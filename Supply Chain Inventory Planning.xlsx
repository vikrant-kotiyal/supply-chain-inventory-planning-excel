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kra\OneDrive\Desktop\"/>
    </mc:Choice>
  </mc:AlternateContent>
  <xr:revisionPtr revIDLastSave="0" documentId="13_ncr:1_{EE1EA257-17D4-45FF-9203-59930A731D68}" xr6:coauthVersionLast="47" xr6:coauthVersionMax="47" xr10:uidLastSave="{00000000-0000-0000-0000-000000000000}"/>
  <bookViews>
    <workbookView xWindow="-108" yWindow="-108" windowWidth="23256" windowHeight="12456" firstSheet="3" activeTab="3" xr2:uid="{9AE0BBA6-D499-E340-84D1-9E9878DA6A0B}"/>
  </bookViews>
  <sheets>
    <sheet name="Vendor -MOQ- Lead time" sheetId="3" r:id="rId1"/>
    <sheet name="Article Type-Days of cover" sheetId="4" r:id="rId2"/>
    <sheet name="Vendor code- SKU mapping" sheetId="6" r:id="rId3"/>
    <sheet name="SKU sales and Inventory" sheetId="1" r:id="rId4"/>
    <sheet name="Task 1" sheetId="15" r:id="rId5"/>
    <sheet name="Task 2" sheetId="8" r:id="rId6"/>
    <sheet name="Task 3" sheetId="7" r:id="rId7"/>
    <sheet name="Task 4" sheetId="12" r:id="rId8"/>
  </sheets>
  <definedNames>
    <definedName name="_xlnm._FilterDatabase" localSheetId="3" hidden="1">'SKU sales and Inventory'!$B$2:$Q$764</definedName>
    <definedName name="_xlnm._FilterDatabase" localSheetId="5" hidden="1">'Task 2'!$A$1:$G$763</definedName>
    <definedName name="_xlnm._FilterDatabase" localSheetId="6" hidden="1">'Task 3'!$A$1:$H$763</definedName>
    <definedName name="_xlnm._FilterDatabase" localSheetId="0" hidden="1">'Vendor -MOQ- Lead time'!$A$1:$C$45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2" l="1"/>
  <c r="F2" i="7"/>
  <c r="E2" i="8"/>
  <c r="D12" i="8" a="1"/>
  <c r="D12" i="8"/>
  <c r="D13" i="8" a="1"/>
  <c r="D13" i="8"/>
  <c r="D14" i="8" a="1"/>
  <c r="D14" i="8" s="1"/>
  <c r="D15" i="8" a="1"/>
  <c r="D15" i="8"/>
  <c r="D16" i="8" a="1"/>
  <c r="D16" i="8"/>
  <c r="D17" i="8" a="1"/>
  <c r="D17" i="8"/>
  <c r="D18" i="8" a="1"/>
  <c r="D18" i="8"/>
  <c r="D19" i="8" a="1"/>
  <c r="D19" i="8"/>
  <c r="D20" i="8" a="1"/>
  <c r="D20" i="8"/>
  <c r="D21" i="8" a="1"/>
  <c r="D21" i="8"/>
  <c r="D22" i="8" a="1"/>
  <c r="D22" i="8"/>
  <c r="D23" i="8" a="1"/>
  <c r="D23" i="8"/>
  <c r="C23" i="12" s="1"/>
  <c r="D24" i="8" a="1"/>
  <c r="D24" i="8"/>
  <c r="D25" i="8" a="1"/>
  <c r="D25" i="8"/>
  <c r="D26" i="8" a="1"/>
  <c r="D26" i="8"/>
  <c r="D27" i="8" a="1"/>
  <c r="D27" i="8"/>
  <c r="D28" i="8" a="1"/>
  <c r="D28" i="8"/>
  <c r="D29" i="8" a="1"/>
  <c r="D29" i="8"/>
  <c r="D30" i="8" a="1"/>
  <c r="D30" i="8"/>
  <c r="D31" i="8" a="1"/>
  <c r="D31" i="8"/>
  <c r="D32" i="8" a="1"/>
  <c r="D32" i="8"/>
  <c r="D33" i="8" a="1"/>
  <c r="D33" i="8"/>
  <c r="D34" i="8" a="1"/>
  <c r="D34" i="8"/>
  <c r="D35" i="8" a="1"/>
  <c r="D35" i="8"/>
  <c r="E35" i="7" s="1"/>
  <c r="D36" i="8" a="1"/>
  <c r="D36" i="8"/>
  <c r="D37" i="8" a="1"/>
  <c r="D37" i="8"/>
  <c r="D38" i="8" a="1"/>
  <c r="D38" i="8"/>
  <c r="D39" i="8" a="1"/>
  <c r="D39" i="8"/>
  <c r="D40" i="8" a="1"/>
  <c r="D40" i="8"/>
  <c r="D41" i="8" a="1"/>
  <c r="D41" i="8"/>
  <c r="D42" i="8" a="1"/>
  <c r="D42" i="8"/>
  <c r="D43" i="8" a="1"/>
  <c r="D43" i="8" s="1"/>
  <c r="D44" i="8" a="1"/>
  <c r="D44" i="8" s="1"/>
  <c r="D45" i="8" a="1"/>
  <c r="D45" i="8"/>
  <c r="D46" i="8" a="1"/>
  <c r="D46" i="8"/>
  <c r="D47" i="8" a="1"/>
  <c r="D47" i="8" s="1"/>
  <c r="C47" i="12" s="1"/>
  <c r="D47" i="12" s="1"/>
  <c r="D48" i="8" a="1"/>
  <c r="D48" i="8"/>
  <c r="D49" i="8" a="1"/>
  <c r="D49" i="8"/>
  <c r="D50" i="8" a="1"/>
  <c r="D50" i="8" s="1"/>
  <c r="D51" i="8" a="1"/>
  <c r="D51" i="8"/>
  <c r="D52" i="8" a="1"/>
  <c r="D52" i="8"/>
  <c r="D53" i="8" a="1"/>
  <c r="D53" i="8"/>
  <c r="D54" i="8" a="1"/>
  <c r="D54" i="8"/>
  <c r="D55" i="8" a="1"/>
  <c r="D55" i="8" s="1"/>
  <c r="D56" i="8" a="1"/>
  <c r="D56" i="8"/>
  <c r="D57" i="8" a="1"/>
  <c r="D57" i="8" s="1"/>
  <c r="D58" i="8" a="1"/>
  <c r="D58" i="8"/>
  <c r="E58" i="7" s="1"/>
  <c r="D59" i="8" a="1"/>
  <c r="D59" i="8"/>
  <c r="D60" i="8" a="1"/>
  <c r="D60" i="8"/>
  <c r="D61" i="8" a="1"/>
  <c r="D61" i="8" s="1"/>
  <c r="D62" i="8" a="1"/>
  <c r="D62" i="8" s="1"/>
  <c r="E62" i="8" s="1"/>
  <c r="G62" i="8" s="1"/>
  <c r="D62" i="7" s="1"/>
  <c r="D63" i="8" a="1"/>
  <c r="D63" i="8" s="1"/>
  <c r="D64" i="8" a="1"/>
  <c r="D64" i="8" s="1"/>
  <c r="E64" i="8" s="1"/>
  <c r="G64" i="8" s="1"/>
  <c r="D64" i="7" s="1"/>
  <c r="D65" i="8" a="1"/>
  <c r="D65" i="8"/>
  <c r="D66" i="8" a="1"/>
  <c r="D66" i="8"/>
  <c r="D67" i="8" a="1"/>
  <c r="D67" i="8" s="1"/>
  <c r="D68" i="8" a="1"/>
  <c r="D68" i="8" s="1"/>
  <c r="D69" i="8" a="1"/>
  <c r="D69" i="8" s="1"/>
  <c r="E69" i="7" s="1"/>
  <c r="D70" i="8" a="1"/>
  <c r="D70" i="8"/>
  <c r="D71" i="8" a="1"/>
  <c r="D71" i="8" s="1"/>
  <c r="E71" i="8" s="1"/>
  <c r="G71" i="8" s="1"/>
  <c r="D71" i="7" s="1"/>
  <c r="D72" i="8" a="1"/>
  <c r="D72" i="8"/>
  <c r="D73" i="8" a="1"/>
  <c r="D73" i="8" s="1"/>
  <c r="D74" i="8" a="1"/>
  <c r="D74" i="8" s="1"/>
  <c r="E74" i="8" s="1"/>
  <c r="G74" i="8" s="1"/>
  <c r="D74" i="7" s="1"/>
  <c r="D75" i="8" a="1"/>
  <c r="D75" i="8" s="1"/>
  <c r="D76" i="8" a="1"/>
  <c r="D76" i="8" s="1"/>
  <c r="E76" i="8" s="1"/>
  <c r="G76" i="8" s="1"/>
  <c r="D76" i="7" s="1"/>
  <c r="D77" i="8" a="1"/>
  <c r="D77" i="8"/>
  <c r="D78" i="8" a="1"/>
  <c r="D78" i="8"/>
  <c r="D79" i="8" a="1"/>
  <c r="D79" i="8" s="1"/>
  <c r="D80" i="8" a="1"/>
  <c r="D80" i="8" s="1"/>
  <c r="D81" i="8" a="1"/>
  <c r="D81" i="8" s="1"/>
  <c r="E81" i="7" s="1"/>
  <c r="D82" i="8" a="1"/>
  <c r="D82" i="8" s="1"/>
  <c r="E82" i="8" s="1"/>
  <c r="G82" i="8" s="1"/>
  <c r="D82" i="7" s="1"/>
  <c r="D83" i="8" a="1"/>
  <c r="D83" i="8"/>
  <c r="D84" i="8" a="1"/>
  <c r="D84" i="8" s="1"/>
  <c r="D85" i="8" a="1"/>
  <c r="D85" i="8" s="1"/>
  <c r="D86" i="8" a="1"/>
  <c r="D86" i="8" s="1"/>
  <c r="D87" i="8" a="1"/>
  <c r="D87" i="8" s="1"/>
  <c r="D88" i="8" a="1"/>
  <c r="D88" i="8" s="1"/>
  <c r="E88" i="8" s="1"/>
  <c r="G88" i="8" s="1"/>
  <c r="D88" i="7" s="1"/>
  <c r="D89" i="8" a="1"/>
  <c r="D89" i="8" s="1"/>
  <c r="E89" i="7" s="1"/>
  <c r="D90" i="8" a="1"/>
  <c r="D90" i="8" s="1"/>
  <c r="D91" i="8" a="1"/>
  <c r="D91" i="8" s="1"/>
  <c r="D92" i="8" a="1"/>
  <c r="D92" i="8" s="1"/>
  <c r="D93" i="8" a="1"/>
  <c r="D93" i="8"/>
  <c r="D94" i="8" a="1"/>
  <c r="D94" i="8"/>
  <c r="D95" i="8" a="1"/>
  <c r="D95" i="8" s="1"/>
  <c r="D96" i="8" a="1"/>
  <c r="D96" i="8" s="1"/>
  <c r="D97" i="8" a="1"/>
  <c r="D97" i="8" s="1"/>
  <c r="E97" i="8" s="1"/>
  <c r="G97" i="8" s="1"/>
  <c r="D97" i="7" s="1"/>
  <c r="D98" i="8" a="1"/>
  <c r="D98" i="8" s="1"/>
  <c r="C98" i="12" s="1"/>
  <c r="D99" i="8" a="1"/>
  <c r="D99" i="8" s="1"/>
  <c r="D100" i="8" a="1"/>
  <c r="D100" i="8"/>
  <c r="D101" i="8" a="1"/>
  <c r="D101" i="8"/>
  <c r="D102" i="8" a="1"/>
  <c r="D102" i="8" s="1"/>
  <c r="D103" i="8" a="1"/>
  <c r="D103" i="8" s="1"/>
  <c r="D104" i="8" a="1"/>
  <c r="D104" i="8"/>
  <c r="D105" i="8" a="1"/>
  <c r="D105" i="8"/>
  <c r="D106" i="8" a="1"/>
  <c r="D106" i="8"/>
  <c r="D107" i="8" a="1"/>
  <c r="D107" i="8" s="1"/>
  <c r="D108" i="8" a="1"/>
  <c r="D108" i="8"/>
  <c r="C108" i="12" s="1"/>
  <c r="D109" i="8" a="1"/>
  <c r="D109" i="8" s="1"/>
  <c r="D110" i="8" a="1"/>
  <c r="D110" i="8"/>
  <c r="D111" i="8" a="1"/>
  <c r="D111" i="8"/>
  <c r="D112" i="8" a="1"/>
  <c r="D112" i="8" s="1"/>
  <c r="C112" i="12" s="1"/>
  <c r="D113" i="8" a="1"/>
  <c r="D113" i="8"/>
  <c r="D114" i="8" a="1"/>
  <c r="D114" i="8"/>
  <c r="D115" i="8" a="1"/>
  <c r="D115" i="8" s="1"/>
  <c r="D116" i="8" a="1"/>
  <c r="D116" i="8"/>
  <c r="D117" i="8" a="1"/>
  <c r="D117" i="8"/>
  <c r="D118" i="8" a="1"/>
  <c r="D118" i="8"/>
  <c r="E118" i="7" s="1"/>
  <c r="D119" i="8" a="1"/>
  <c r="D119" i="8"/>
  <c r="D120" i="8" a="1"/>
  <c r="D120" i="8" s="1"/>
  <c r="D121" i="8" a="1"/>
  <c r="D121" i="8" s="1"/>
  <c r="D122" i="8" a="1"/>
  <c r="D122" i="8" s="1"/>
  <c r="D123" i="8" a="1"/>
  <c r="D123" i="8"/>
  <c r="D124" i="8" a="1"/>
  <c r="D124" i="8" s="1"/>
  <c r="E124" i="8" s="1"/>
  <c r="G124" i="8" s="1"/>
  <c r="D124" i="7" s="1"/>
  <c r="D125" i="8" a="1"/>
  <c r="D125" i="8" s="1"/>
  <c r="D126" i="8" a="1"/>
  <c r="D126" i="8"/>
  <c r="D127" i="8" a="1"/>
  <c r="D127" i="8" s="1"/>
  <c r="D128" i="8" a="1"/>
  <c r="D128" i="8"/>
  <c r="D129" i="8" a="1"/>
  <c r="D129" i="8"/>
  <c r="D130" i="8" a="1"/>
  <c r="D130" i="8"/>
  <c r="D131" i="8" a="1"/>
  <c r="D131" i="8" s="1"/>
  <c r="D132" i="8" a="1"/>
  <c r="D132" i="8"/>
  <c r="D133" i="8" a="1"/>
  <c r="D133" i="8" s="1"/>
  <c r="D134" i="8" a="1"/>
  <c r="D134" i="8"/>
  <c r="D135" i="8" a="1"/>
  <c r="D135" i="8" s="1"/>
  <c r="D136" i="8" a="1"/>
  <c r="D136" i="8"/>
  <c r="D137" i="8" a="1"/>
  <c r="D137" i="8"/>
  <c r="E137" i="8" s="1"/>
  <c r="G137" i="8" s="1"/>
  <c r="D137" i="7" s="1"/>
  <c r="D138" i="8" a="1"/>
  <c r="D138" i="8" s="1"/>
  <c r="E138" i="7" s="1"/>
  <c r="D139" i="8" a="1"/>
  <c r="D139" i="8" s="1"/>
  <c r="D140" i="8" a="1"/>
  <c r="D140" i="8" s="1"/>
  <c r="D141" i="8" a="1"/>
  <c r="D141" i="8"/>
  <c r="D142" i="8" a="1"/>
  <c r="D142" i="8"/>
  <c r="E142" i="8" s="1"/>
  <c r="G142" i="8" s="1"/>
  <c r="D142" i="7" s="1"/>
  <c r="D143" i="8" a="1"/>
  <c r="D143" i="8" s="1"/>
  <c r="D144" i="8" a="1"/>
  <c r="D144" i="8" s="1"/>
  <c r="D145" i="8" a="1"/>
  <c r="D145" i="8" s="1"/>
  <c r="D146" i="8" a="1"/>
  <c r="D146" i="8"/>
  <c r="D147" i="8" a="1"/>
  <c r="D147" i="8"/>
  <c r="D148" i="8" a="1"/>
  <c r="D148" i="8" s="1"/>
  <c r="E148" i="8" s="1"/>
  <c r="G148" i="8" s="1"/>
  <c r="D148" i="7" s="1"/>
  <c r="D149" i="8" a="1"/>
  <c r="D149" i="8"/>
  <c r="E149" i="7" s="1"/>
  <c r="D150" i="8" a="1"/>
  <c r="D150" i="8" s="1"/>
  <c r="D151" i="8" a="1"/>
  <c r="D151" i="8" s="1"/>
  <c r="D152" i="8" a="1"/>
  <c r="D152" i="8"/>
  <c r="D153" i="8" a="1"/>
  <c r="D153" i="8" s="1"/>
  <c r="D154" i="8" a="1"/>
  <c r="D154" i="8"/>
  <c r="D155" i="8" a="1"/>
  <c r="D155" i="8"/>
  <c r="E155" i="8" s="1"/>
  <c r="G155" i="8" s="1"/>
  <c r="D155" i="7" s="1"/>
  <c r="D156" i="8" a="1"/>
  <c r="D156" i="8"/>
  <c r="C156" i="12" s="1"/>
  <c r="D157" i="8" a="1"/>
  <c r="D157" i="8" s="1"/>
  <c r="D158" i="8" a="1"/>
  <c r="D158" i="8" s="1"/>
  <c r="D159" i="8" a="1"/>
  <c r="D159" i="8"/>
  <c r="D160" i="8" a="1"/>
  <c r="D160" i="8"/>
  <c r="D161" i="8" a="1"/>
  <c r="D161" i="8" s="1"/>
  <c r="D162" i="8" a="1"/>
  <c r="D162" i="8" s="1"/>
  <c r="E162" i="8" s="1"/>
  <c r="G162" i="8" s="1"/>
  <c r="D162" i="7" s="1"/>
  <c r="D163" i="8" a="1"/>
  <c r="D163" i="8" s="1"/>
  <c r="E163" i="7" s="1"/>
  <c r="D164" i="8" a="1"/>
  <c r="D164" i="8"/>
  <c r="D165" i="8" a="1"/>
  <c r="D165" i="8"/>
  <c r="D166" i="8" a="1"/>
  <c r="D166" i="8" s="1"/>
  <c r="D167" i="8" a="1"/>
  <c r="D167" i="8"/>
  <c r="C167" i="12" s="1"/>
  <c r="D168" i="8" a="1"/>
  <c r="D168" i="8"/>
  <c r="D169" i="8" a="1"/>
  <c r="D169" i="8" s="1"/>
  <c r="D170" i="8" a="1"/>
  <c r="D170" i="8"/>
  <c r="D171" i="8" a="1"/>
  <c r="D171" i="8" s="1"/>
  <c r="D172" i="8" a="1"/>
  <c r="D172" i="8"/>
  <c r="D173" i="8" a="1"/>
  <c r="D173" i="8"/>
  <c r="D174" i="8" a="1"/>
  <c r="D174" i="8" s="1"/>
  <c r="D175" i="8" a="1"/>
  <c r="D175" i="8" s="1"/>
  <c r="D176" i="8" a="1"/>
  <c r="D176" i="8" s="1"/>
  <c r="D177" i="8" a="1"/>
  <c r="D177" i="8" s="1"/>
  <c r="D178" i="8" a="1"/>
  <c r="D178" i="8"/>
  <c r="D179" i="8" a="1"/>
  <c r="D179" i="8" s="1"/>
  <c r="D180" i="8" a="1"/>
  <c r="D180" i="8"/>
  <c r="D181" i="8" a="1"/>
  <c r="D181" i="8" s="1"/>
  <c r="D182" i="8" a="1"/>
  <c r="D182" i="8"/>
  <c r="D183" i="8" a="1"/>
  <c r="D183" i="8" s="1"/>
  <c r="D184" i="8" a="1"/>
  <c r="D184" i="8" s="1"/>
  <c r="D185" i="8" a="1"/>
  <c r="D185" i="8"/>
  <c r="E185" i="8" s="1"/>
  <c r="G185" i="8" s="1"/>
  <c r="D185" i="7" s="1"/>
  <c r="D186" i="8" a="1"/>
  <c r="D186" i="8"/>
  <c r="D187" i="8" a="1"/>
  <c r="D187" i="8" s="1"/>
  <c r="D188" i="8" a="1"/>
  <c r="D188" i="8"/>
  <c r="D189" i="8" a="1"/>
  <c r="D189" i="8"/>
  <c r="C189" i="12" s="1"/>
  <c r="D189" i="12" s="1"/>
  <c r="E189" i="12" s="1"/>
  <c r="D190" i="8" a="1"/>
  <c r="D190" i="8" s="1"/>
  <c r="D191" i="8" a="1"/>
  <c r="D191" i="8"/>
  <c r="D192" i="8" a="1"/>
  <c r="D192" i="8" s="1"/>
  <c r="E192" i="8" s="1"/>
  <c r="G192" i="8" s="1"/>
  <c r="D192" i="7" s="1"/>
  <c r="D193" i="8" a="1"/>
  <c r="D193" i="8" s="1"/>
  <c r="D194" i="8" a="1"/>
  <c r="D194" i="8" s="1"/>
  <c r="D195" i="8" a="1"/>
  <c r="D195" i="8" s="1"/>
  <c r="E195" i="7" s="1"/>
  <c r="D196" i="8" a="1"/>
  <c r="D196" i="8" s="1"/>
  <c r="E196" i="7" s="1"/>
  <c r="D197" i="8" a="1"/>
  <c r="D197" i="8" s="1"/>
  <c r="D198" i="8" a="1"/>
  <c r="D198" i="8" s="1"/>
  <c r="D199" i="8" a="1"/>
  <c r="D199" i="8" s="1"/>
  <c r="D200" i="8" a="1"/>
  <c r="D200" i="8"/>
  <c r="E200" i="7" s="1"/>
  <c r="D201" i="8" a="1"/>
  <c r="D201" i="8"/>
  <c r="C201" i="12" s="1"/>
  <c r="D202" i="8" a="1"/>
  <c r="D202" i="8" s="1"/>
  <c r="E202" i="7" s="1"/>
  <c r="D203" i="8" a="1"/>
  <c r="D203" i="8" s="1"/>
  <c r="D204" i="8" a="1"/>
  <c r="D204" i="8"/>
  <c r="D205" i="8" a="1"/>
  <c r="D205" i="8" s="1"/>
  <c r="D206" i="8" a="1"/>
  <c r="D206" i="8"/>
  <c r="D207" i="8" a="1"/>
  <c r="D207" i="8" s="1"/>
  <c r="E207" i="7" s="1"/>
  <c r="D208" i="8" a="1"/>
  <c r="D208" i="8"/>
  <c r="D209" i="8" a="1"/>
  <c r="D209" i="8" s="1"/>
  <c r="D210" i="8" a="1"/>
  <c r="D210" i="8" s="1"/>
  <c r="D211" i="8" a="1"/>
  <c r="D211" i="8" s="1"/>
  <c r="D212" i="8" a="1"/>
  <c r="D212" i="8" s="1"/>
  <c r="D213" i="8" a="1"/>
  <c r="D213" i="8"/>
  <c r="D214" i="8" a="1"/>
  <c r="D214" i="8"/>
  <c r="D215" i="8" a="1"/>
  <c r="D215" i="8"/>
  <c r="E215" i="8" s="1"/>
  <c r="G215" i="8" s="1"/>
  <c r="D215" i="7" s="1"/>
  <c r="D216" i="8" a="1"/>
  <c r="D216" i="8" s="1"/>
  <c r="D217" i="8" a="1"/>
  <c r="D217" i="8" s="1"/>
  <c r="D218" i="8" a="1"/>
  <c r="D218" i="8" s="1"/>
  <c r="E218" i="8" s="1"/>
  <c r="G218" i="8" s="1"/>
  <c r="D218" i="7" s="1"/>
  <c r="D219" i="8" a="1"/>
  <c r="D219" i="8"/>
  <c r="D220" i="8" a="1"/>
  <c r="D220" i="8" s="1"/>
  <c r="D221" i="8" a="1"/>
  <c r="D221" i="8" s="1"/>
  <c r="D222" i="8" a="1"/>
  <c r="D222" i="8"/>
  <c r="E222" i="7" s="1"/>
  <c r="D223" i="8" a="1"/>
  <c r="D223" i="8" s="1"/>
  <c r="D224" i="8" a="1"/>
  <c r="D224" i="8"/>
  <c r="D225" i="8" a="1"/>
  <c r="D225" i="8" s="1"/>
  <c r="E225" i="8" s="1"/>
  <c r="G225" i="8" s="1"/>
  <c r="D225" i="7" s="1"/>
  <c r="D226" i="8" a="1"/>
  <c r="D226" i="8"/>
  <c r="E226" i="8" s="1"/>
  <c r="G226" i="8" s="1"/>
  <c r="D226" i="7" s="1"/>
  <c r="D227" i="8" a="1"/>
  <c r="D227" i="8"/>
  <c r="D228" i="8" a="1"/>
  <c r="D228" i="8" s="1"/>
  <c r="D229" i="8" a="1"/>
  <c r="D229" i="8" s="1"/>
  <c r="E229" i="7" s="1"/>
  <c r="D230" i="8" a="1"/>
  <c r="D230" i="8" s="1"/>
  <c r="E230" i="8" s="1"/>
  <c r="G230" i="8" s="1"/>
  <c r="D230" i="7" s="1"/>
  <c r="D231" i="8" a="1"/>
  <c r="D231" i="8" s="1"/>
  <c r="E231" i="8" s="1"/>
  <c r="G231" i="8" s="1"/>
  <c r="D231" i="7" s="1"/>
  <c r="D232" i="8" a="1"/>
  <c r="D232" i="8"/>
  <c r="D233" i="8" a="1"/>
  <c r="D233" i="8" s="1"/>
  <c r="D234" i="8" a="1"/>
  <c r="D234" i="8"/>
  <c r="D235" i="8" a="1"/>
  <c r="D235" i="8" s="1"/>
  <c r="D236" i="8" a="1"/>
  <c r="D236" i="8" s="1"/>
  <c r="E236" i="7" s="1"/>
  <c r="D237" i="8" a="1"/>
  <c r="D237" i="8"/>
  <c r="D238" i="8" a="1"/>
  <c r="D238" i="8" s="1"/>
  <c r="D239" i="8" a="1"/>
  <c r="D239" i="8"/>
  <c r="D240" i="8" a="1"/>
  <c r="D240" i="8"/>
  <c r="D241" i="8" a="1"/>
  <c r="D241" i="8" s="1"/>
  <c r="C241" i="12" s="1"/>
  <c r="D241" i="12" s="1"/>
  <c r="D242" i="8" a="1"/>
  <c r="D242" i="8" s="1"/>
  <c r="E242" i="7" s="1"/>
  <c r="D243" i="8" a="1"/>
  <c r="D243" i="8" s="1"/>
  <c r="D244" i="8" a="1"/>
  <c r="D244" i="8"/>
  <c r="D245" i="8" a="1"/>
  <c r="D245" i="8"/>
  <c r="D246" i="8" a="1"/>
  <c r="D246" i="8" s="1"/>
  <c r="D247" i="8" a="1"/>
  <c r="D247" i="8" s="1"/>
  <c r="C247" i="12" s="1"/>
  <c r="D248" i="8" a="1"/>
  <c r="D248" i="8"/>
  <c r="D249" i="8" a="1"/>
  <c r="D249" i="8" s="1"/>
  <c r="E249" i="8" s="1"/>
  <c r="G249" i="8" s="1"/>
  <c r="D249" i="7" s="1"/>
  <c r="D250" i="8" a="1"/>
  <c r="D250" i="8"/>
  <c r="D251" i="8" a="1"/>
  <c r="D251" i="8" s="1"/>
  <c r="D252" i="8" a="1"/>
  <c r="D252" i="8"/>
  <c r="C252" i="12" s="1"/>
  <c r="D253" i="8" a="1"/>
  <c r="D253" i="8" s="1"/>
  <c r="D254" i="8" a="1"/>
  <c r="D254" i="8"/>
  <c r="D255" i="8" a="1"/>
  <c r="D255" i="8"/>
  <c r="D256" i="8" a="1"/>
  <c r="D256" i="8" s="1"/>
  <c r="C256" i="12" s="1"/>
  <c r="D256" i="12" s="1"/>
  <c r="D257" i="8" a="1"/>
  <c r="D257" i="8"/>
  <c r="D258" i="8" a="1"/>
  <c r="D258" i="8"/>
  <c r="D259" i="8" a="1"/>
  <c r="D259" i="8" s="1"/>
  <c r="E259" i="7" s="1"/>
  <c r="D260" i="8" a="1"/>
  <c r="D260" i="8" s="1"/>
  <c r="D261" i="8" a="1"/>
  <c r="D261" i="8"/>
  <c r="D262" i="8" a="1"/>
  <c r="D262" i="8"/>
  <c r="D263" i="8" a="1"/>
  <c r="D263" i="8"/>
  <c r="D264" i="8" a="1"/>
  <c r="D264" i="8" s="1"/>
  <c r="D265" i="8" a="1"/>
  <c r="D265" i="8" s="1"/>
  <c r="D266" i="8" a="1"/>
  <c r="D266" i="8"/>
  <c r="E266" i="8" s="1"/>
  <c r="G266" i="8" s="1"/>
  <c r="D266" i="7" s="1"/>
  <c r="D267" i="8" a="1"/>
  <c r="D267" i="8" s="1"/>
  <c r="E267" i="7" s="1"/>
  <c r="D268" i="8" a="1"/>
  <c r="D268" i="8"/>
  <c r="D269" i="8" a="1"/>
  <c r="D269" i="8" s="1"/>
  <c r="D270" i="8" a="1"/>
  <c r="D270" i="8"/>
  <c r="E270" i="8" s="1"/>
  <c r="G270" i="8" s="1"/>
  <c r="D270" i="7" s="1"/>
  <c r="D271" i="8" a="1"/>
  <c r="D271" i="8" s="1"/>
  <c r="D272" i="8" a="1"/>
  <c r="D272" i="8"/>
  <c r="D273" i="8" a="1"/>
  <c r="D273" i="8"/>
  <c r="E273" i="8" s="1"/>
  <c r="G273" i="8" s="1"/>
  <c r="D273" i="7" s="1"/>
  <c r="D274" i="8" a="1"/>
  <c r="D274" i="8" s="1"/>
  <c r="D275" i="8" a="1"/>
  <c r="D275" i="8"/>
  <c r="D276" i="8" a="1"/>
  <c r="D276" i="8"/>
  <c r="C276" i="12" s="1"/>
  <c r="D277" i="8" a="1"/>
  <c r="D277" i="8" s="1"/>
  <c r="E277" i="8" s="1"/>
  <c r="G277" i="8" s="1"/>
  <c r="D277" i="7" s="1"/>
  <c r="D278" i="8" a="1"/>
  <c r="D278" i="8"/>
  <c r="D279" i="8" a="1"/>
  <c r="D279" i="8"/>
  <c r="E279" i="8" s="1"/>
  <c r="G279" i="8" s="1"/>
  <c r="D279" i="7" s="1"/>
  <c r="D280" i="8" a="1"/>
  <c r="D280" i="8"/>
  <c r="E280" i="8" s="1"/>
  <c r="G280" i="8" s="1"/>
  <c r="D280" i="7" s="1"/>
  <c r="D281" i="8" a="1"/>
  <c r="D281" i="8" s="1"/>
  <c r="D282" i="8" a="1"/>
  <c r="D282" i="8" s="1"/>
  <c r="D283" i="8" a="1"/>
  <c r="D283" i="8" s="1"/>
  <c r="D284" i="8" a="1"/>
  <c r="D284" i="8" s="1"/>
  <c r="D285" i="8" a="1"/>
  <c r="D285" i="8"/>
  <c r="D286" i="8" a="1"/>
  <c r="D286" i="8" s="1"/>
  <c r="D287" i="8" a="1"/>
  <c r="D287" i="8"/>
  <c r="D288" i="8" a="1"/>
  <c r="D288" i="8" s="1"/>
  <c r="D289" i="8" a="1"/>
  <c r="D289" i="8" s="1"/>
  <c r="D290" i="8" a="1"/>
  <c r="D290" i="8" s="1"/>
  <c r="D291" i="8" a="1"/>
  <c r="D291" i="8"/>
  <c r="D292" i="8" a="1"/>
  <c r="D292" i="8"/>
  <c r="D293" i="8" a="1"/>
  <c r="D293" i="8"/>
  <c r="E293" i="7" s="1"/>
  <c r="D294" i="8" a="1"/>
  <c r="D294" i="8"/>
  <c r="C294" i="12" s="1"/>
  <c r="D294" i="12" s="1"/>
  <c r="D295" i="8" a="1"/>
  <c r="D295" i="8" s="1"/>
  <c r="D296" i="8" a="1"/>
  <c r="D296" i="8"/>
  <c r="D297" i="8" a="1"/>
  <c r="D297" i="8" s="1"/>
  <c r="D298" i="8" a="1"/>
  <c r="D298" i="8"/>
  <c r="D299" i="8" a="1"/>
  <c r="D299" i="8"/>
  <c r="D300" i="8" a="1"/>
  <c r="D300" i="8"/>
  <c r="C300" i="12" s="1"/>
  <c r="D301" i="8" a="1"/>
  <c r="D301" i="8" s="1"/>
  <c r="C301" i="12" s="1"/>
  <c r="D302" i="8" a="1"/>
  <c r="D302" i="8" s="1"/>
  <c r="D303" i="8" a="1"/>
  <c r="D303" i="8" s="1"/>
  <c r="E303" i="7" s="1"/>
  <c r="D304" i="8" a="1"/>
  <c r="D304" i="8"/>
  <c r="D305" i="8" a="1"/>
  <c r="D305" i="8"/>
  <c r="D306" i="8" a="1"/>
  <c r="D306" i="8"/>
  <c r="D307" i="8" a="1"/>
  <c r="D307" i="8" s="1"/>
  <c r="C307" i="12" s="1"/>
  <c r="D307" i="12" s="1"/>
  <c r="E307" i="12" s="1"/>
  <c r="D308" i="8" a="1"/>
  <c r="D308" i="8"/>
  <c r="D309" i="8" a="1"/>
  <c r="D309" i="8"/>
  <c r="D310" i="8" a="1"/>
  <c r="D310" i="8" s="1"/>
  <c r="E310" i="8" s="1"/>
  <c r="G310" i="8" s="1"/>
  <c r="D310" i="7" s="1"/>
  <c r="D311" i="8" a="1"/>
  <c r="D311" i="8"/>
  <c r="D312" i="8" a="1"/>
  <c r="D312" i="8"/>
  <c r="D313" i="8" a="1"/>
  <c r="D313" i="8" s="1"/>
  <c r="D314" i="8" a="1"/>
  <c r="D314" i="8" s="1"/>
  <c r="E314" i="7" s="1"/>
  <c r="D315" i="8" a="1"/>
  <c r="D315" i="8" s="1"/>
  <c r="D316" i="8" a="1"/>
  <c r="D316" i="8"/>
  <c r="E316" i="8" s="1"/>
  <c r="G316" i="8" s="1"/>
  <c r="D316" i="7" s="1"/>
  <c r="D317" i="8" a="1"/>
  <c r="D317" i="8"/>
  <c r="D318" i="8" a="1"/>
  <c r="D318" i="8" s="1"/>
  <c r="D319" i="8" a="1"/>
  <c r="D319" i="8" s="1"/>
  <c r="D320" i="8" a="1"/>
  <c r="D320" i="8" s="1"/>
  <c r="D321" i="8" a="1"/>
  <c r="D321" i="8" s="1"/>
  <c r="D322" i="8" a="1"/>
  <c r="D322" i="8"/>
  <c r="E322" i="8" s="1"/>
  <c r="G322" i="8" s="1"/>
  <c r="D322" i="7" s="1"/>
  <c r="D323" i="8" a="1"/>
  <c r="D323" i="8" s="1"/>
  <c r="E323" i="7" s="1"/>
  <c r="D324" i="8" a="1"/>
  <c r="D324" i="8"/>
  <c r="D325" i="8" a="1"/>
  <c r="D325" i="8" s="1"/>
  <c r="D326" i="8" a="1"/>
  <c r="D326" i="8"/>
  <c r="C326" i="12" s="1"/>
  <c r="D326" i="12" s="1"/>
  <c r="D327" i="8" a="1"/>
  <c r="D327" i="8" s="1"/>
  <c r="E327" i="8" s="1"/>
  <c r="G327" i="8" s="1"/>
  <c r="D327" i="7" s="1"/>
  <c r="D328" i="8" a="1"/>
  <c r="D328" i="8" s="1"/>
  <c r="D329" i="8" a="1"/>
  <c r="D329" i="8"/>
  <c r="E329" i="8" s="1"/>
  <c r="G329" i="8" s="1"/>
  <c r="D329" i="7" s="1"/>
  <c r="D330" i="8" a="1"/>
  <c r="D330" i="8"/>
  <c r="D331" i="8" a="1"/>
  <c r="D331" i="8" s="1"/>
  <c r="D332" i="8" a="1"/>
  <c r="D332" i="8"/>
  <c r="E332" i="8" s="1"/>
  <c r="G332" i="8" s="1"/>
  <c r="D332" i="7" s="1"/>
  <c r="D333" i="8" a="1"/>
  <c r="D333" i="8"/>
  <c r="D334" i="8" a="1"/>
  <c r="D334" i="8" s="1"/>
  <c r="D335" i="8" a="1"/>
  <c r="D335" i="8"/>
  <c r="D336" i="8" a="1"/>
  <c r="D336" i="8" s="1"/>
  <c r="E336" i="8" s="1"/>
  <c r="G336" i="8" s="1"/>
  <c r="D336" i="7" s="1"/>
  <c r="D337" i="8" a="1"/>
  <c r="D337" i="8" s="1"/>
  <c r="D338" i="8" a="1"/>
  <c r="D338" i="8" s="1"/>
  <c r="E338" i="7" s="1"/>
  <c r="D339" i="8" a="1"/>
  <c r="D339" i="8"/>
  <c r="D340" i="8" a="1"/>
  <c r="D340" i="8"/>
  <c r="D341" i="8" a="1"/>
  <c r="D341" i="8" s="1"/>
  <c r="C341" i="12" s="1"/>
  <c r="D342" i="8" a="1"/>
  <c r="D342" i="8"/>
  <c r="D343" i="8" a="1"/>
  <c r="D343" i="8" s="1"/>
  <c r="D344" i="8" a="1"/>
  <c r="D344" i="8"/>
  <c r="D345" i="8" a="1"/>
  <c r="D345" i="8" s="1"/>
  <c r="E345" i="8" s="1"/>
  <c r="G345" i="8" s="1"/>
  <c r="D345" i="7" s="1"/>
  <c r="D346" i="8" a="1"/>
  <c r="D346" i="8"/>
  <c r="D347" i="8" a="1"/>
  <c r="D347" i="8"/>
  <c r="D348" i="8" a="1"/>
  <c r="D348" i="8"/>
  <c r="D349" i="8" a="1"/>
  <c r="D349" i="8" s="1"/>
  <c r="D350" i="8" a="1"/>
  <c r="D350" i="8"/>
  <c r="D351" i="8" a="1"/>
  <c r="D351" i="8"/>
  <c r="C351" i="12" s="1"/>
  <c r="D351" i="12" s="1"/>
  <c r="D352" i="8" a="1"/>
  <c r="D352" i="8" s="1"/>
  <c r="D353" i="8" a="1"/>
  <c r="D353" i="8" s="1"/>
  <c r="D354" i="8" a="1"/>
  <c r="D354" i="8" s="1"/>
  <c r="D355" i="8" a="1"/>
  <c r="D355" i="8" s="1"/>
  <c r="D356" i="8" a="1"/>
  <c r="D356" i="8" s="1"/>
  <c r="D357" i="8" a="1"/>
  <c r="D357" i="8"/>
  <c r="D358" i="8" a="1"/>
  <c r="D358" i="8"/>
  <c r="D359" i="8" a="1"/>
  <c r="D359" i="8" s="1"/>
  <c r="E359" i="8" s="1"/>
  <c r="G359" i="8" s="1"/>
  <c r="D359" i="7" s="1"/>
  <c r="D360" i="8" a="1"/>
  <c r="D360" i="8"/>
  <c r="D361" i="8" a="1"/>
  <c r="D361" i="8" s="1"/>
  <c r="D362" i="8" a="1"/>
  <c r="D362" i="8"/>
  <c r="C362" i="12" s="1"/>
  <c r="D363" i="8" a="1"/>
  <c r="D363" i="8"/>
  <c r="D364" i="8" a="1"/>
  <c r="D364" i="8"/>
  <c r="E364" i="8" s="1"/>
  <c r="G364" i="8" s="1"/>
  <c r="D364" i="7" s="1"/>
  <c r="D365" i="8" a="1"/>
  <c r="D365" i="8"/>
  <c r="C365" i="12" s="1"/>
  <c r="D366" i="8" a="1"/>
  <c r="D366" i="8" s="1"/>
  <c r="D367" i="8" a="1"/>
  <c r="D367" i="8" s="1"/>
  <c r="D368" i="8" a="1"/>
  <c r="D368" i="8"/>
  <c r="D369" i="8" a="1"/>
  <c r="D369" i="8" s="1"/>
  <c r="D370" i="8" a="1"/>
  <c r="D370" i="8"/>
  <c r="D371" i="8" a="1"/>
  <c r="D371" i="8"/>
  <c r="E371" i="7" s="1"/>
  <c r="D372" i="8" a="1"/>
  <c r="D372" i="8"/>
  <c r="D373" i="8" a="1"/>
  <c r="D373" i="8" s="1"/>
  <c r="D374" i="8" a="1"/>
  <c r="D374" i="8" s="1"/>
  <c r="D375" i="8" a="1"/>
  <c r="D375" i="8" s="1"/>
  <c r="D376" i="8" a="1"/>
  <c r="D376" i="8"/>
  <c r="D377" i="8" a="1"/>
  <c r="D377" i="8"/>
  <c r="D378" i="8" a="1"/>
  <c r="D378" i="8"/>
  <c r="E378" i="7" s="1"/>
  <c r="D379" i="8" a="1"/>
  <c r="D379" i="8" s="1"/>
  <c r="D380" i="8" a="1"/>
  <c r="D380" i="8" s="1"/>
  <c r="D381" i="8" a="1"/>
  <c r="D381" i="8"/>
  <c r="D382" i="8" a="1"/>
  <c r="D382" i="8" s="1"/>
  <c r="D383" i="8" a="1"/>
  <c r="D383" i="8"/>
  <c r="D384" i="8" a="1"/>
  <c r="D384" i="8"/>
  <c r="D385" i="8" a="1"/>
  <c r="D385" i="8" s="1"/>
  <c r="D386" i="8" a="1"/>
  <c r="D386" i="8"/>
  <c r="D387" i="8" a="1"/>
  <c r="D387" i="8" s="1"/>
  <c r="C387" i="12" s="1"/>
  <c r="D387" i="12" s="1"/>
  <c r="D388" i="8" a="1"/>
  <c r="D388" i="8" s="1"/>
  <c r="E388" i="8" s="1"/>
  <c r="G388" i="8" s="1"/>
  <c r="D388" i="7" s="1"/>
  <c r="D389" i="8" a="1"/>
  <c r="D389" i="8"/>
  <c r="D390" i="8" a="1"/>
  <c r="D390" i="8"/>
  <c r="C390" i="12" s="1"/>
  <c r="D391" i="8" a="1"/>
  <c r="D391" i="8" s="1"/>
  <c r="D392" i="8" a="1"/>
  <c r="D392" i="8" s="1"/>
  <c r="D393" i="8" a="1"/>
  <c r="D393" i="8"/>
  <c r="C393" i="12" s="1"/>
  <c r="D393" i="12" s="1"/>
  <c r="D394" i="8" a="1"/>
  <c r="D394" i="8"/>
  <c r="D395" i="8" a="1"/>
  <c r="D395" i="8" s="1"/>
  <c r="D396" i="8" a="1"/>
  <c r="D396" i="8"/>
  <c r="D397" i="8" a="1"/>
  <c r="D397" i="8" s="1"/>
  <c r="E397" i="7" s="1"/>
  <c r="D398" i="8" a="1"/>
  <c r="D398" i="8" s="1"/>
  <c r="C398" i="12" s="1"/>
  <c r="D399" i="8" a="1"/>
  <c r="D399" i="8" s="1"/>
  <c r="E399" i="8" s="1"/>
  <c r="G399" i="8" s="1"/>
  <c r="D399" i="7" s="1"/>
  <c r="D400" i="8" a="1"/>
  <c r="D400" i="8" s="1"/>
  <c r="E400" i="8" s="1"/>
  <c r="G400" i="8" s="1"/>
  <c r="D400" i="7" s="1"/>
  <c r="D401" i="8" a="1"/>
  <c r="D401" i="8"/>
  <c r="E401" i="8" s="1"/>
  <c r="G401" i="8" s="1"/>
  <c r="D401" i="7" s="1"/>
  <c r="D402" i="8" a="1"/>
  <c r="D402" i="8"/>
  <c r="D403" i="8" a="1"/>
  <c r="D403" i="8" s="1"/>
  <c r="D404" i="8" a="1"/>
  <c r="D404" i="8"/>
  <c r="D405" i="8" a="1"/>
  <c r="D405" i="8" s="1"/>
  <c r="D406" i="8" a="1"/>
  <c r="D406" i="8" s="1"/>
  <c r="D407" i="8" a="1"/>
  <c r="D407" i="8"/>
  <c r="C407" i="12" s="1"/>
  <c r="D407" i="12" s="1"/>
  <c r="D408" i="8" a="1"/>
  <c r="D408" i="8" s="1"/>
  <c r="E408" i="8" s="1"/>
  <c r="G408" i="8" s="1"/>
  <c r="D408" i="7" s="1"/>
  <c r="D409" i="8" a="1"/>
  <c r="D409" i="8" s="1"/>
  <c r="D410" i="8" a="1"/>
  <c r="D410" i="8"/>
  <c r="D411" i="8" a="1"/>
  <c r="D411" i="8"/>
  <c r="E411" i="7" s="1"/>
  <c r="D412" i="8" a="1"/>
  <c r="D412" i="8" s="1"/>
  <c r="D413" i="8" a="1"/>
  <c r="D413" i="8" s="1"/>
  <c r="D414" i="8" a="1"/>
  <c r="D414" i="8"/>
  <c r="D415" i="8" a="1"/>
  <c r="D415" i="8" s="1"/>
  <c r="D416" i="8" a="1"/>
  <c r="D416" i="8" s="1"/>
  <c r="E416" i="8" s="1"/>
  <c r="G416" i="8" s="1"/>
  <c r="D416" i="7" s="1"/>
  <c r="D417" i="8" a="1"/>
  <c r="D417" i="8"/>
  <c r="E417" i="8" s="1"/>
  <c r="G417" i="8" s="1"/>
  <c r="D417" i="7" s="1"/>
  <c r="D418" i="8" a="1"/>
  <c r="D418" i="8"/>
  <c r="D419" i="8" a="1"/>
  <c r="D419" i="8" s="1"/>
  <c r="D420" i="8" a="1"/>
  <c r="D420" i="8"/>
  <c r="D421" i="8" a="1"/>
  <c r="D421" i="8" s="1"/>
  <c r="E421" i="7" s="1"/>
  <c r="D422" i="8" a="1"/>
  <c r="D422" i="8"/>
  <c r="E422" i="8" s="1"/>
  <c r="G422" i="8" s="1"/>
  <c r="D422" i="7" s="1"/>
  <c r="D423" i="8" a="1"/>
  <c r="D423" i="8" s="1"/>
  <c r="E423" i="7" s="1"/>
  <c r="D424" i="8" a="1"/>
  <c r="D424" i="8" s="1"/>
  <c r="D425" i="8" a="1"/>
  <c r="D425" i="8"/>
  <c r="D426" i="8" a="1"/>
  <c r="D426" i="8" s="1"/>
  <c r="D427" i="8" a="1"/>
  <c r="D427" i="8" s="1"/>
  <c r="E427" i="8" s="1"/>
  <c r="G427" i="8" s="1"/>
  <c r="D427" i="7" s="1"/>
  <c r="D428" i="8" a="1"/>
  <c r="D428" i="8" s="1"/>
  <c r="D429" i="8" a="1"/>
  <c r="D429" i="8"/>
  <c r="D430" i="8" a="1"/>
  <c r="D430" i="8" s="1"/>
  <c r="C430" i="12" s="1"/>
  <c r="D430" i="12" s="1"/>
  <c r="D431" i="8" a="1"/>
  <c r="D431" i="8"/>
  <c r="D432" i="8" a="1"/>
  <c r="D432" i="8"/>
  <c r="D433" i="8" a="1"/>
  <c r="D433" i="8" s="1"/>
  <c r="D434" i="8" a="1"/>
  <c r="D434" i="8"/>
  <c r="D435" i="8" a="1"/>
  <c r="D435" i="8"/>
  <c r="D436" i="8" a="1"/>
  <c r="D436" i="8"/>
  <c r="D437" i="8" a="1"/>
  <c r="D437" i="8" s="1"/>
  <c r="E437" i="7" s="1"/>
  <c r="D438" i="8" a="1"/>
  <c r="D438" i="8" s="1"/>
  <c r="D439" i="8" a="1"/>
  <c r="D439" i="8" s="1"/>
  <c r="D440" i="8" a="1"/>
  <c r="D440" i="8"/>
  <c r="D441" i="8" a="1"/>
  <c r="D441" i="8" s="1"/>
  <c r="C441" i="12" s="1"/>
  <c r="D442" i="8" a="1"/>
  <c r="D442" i="8"/>
  <c r="D443" i="8" a="1"/>
  <c r="D443" i="8"/>
  <c r="D444" i="8" a="1"/>
  <c r="D444" i="8" s="1"/>
  <c r="D445" i="8" a="1"/>
  <c r="D445" i="8" s="1"/>
  <c r="D446" i="8" a="1"/>
  <c r="D446" i="8" s="1"/>
  <c r="D447" i="8" a="1"/>
  <c r="D447" i="8"/>
  <c r="D448" i="8" a="1"/>
  <c r="D448" i="8"/>
  <c r="D449" i="8" a="1"/>
  <c r="D449" i="8"/>
  <c r="E449" i="7" s="1"/>
  <c r="D450" i="8" a="1"/>
  <c r="D450" i="8"/>
  <c r="E450" i="8" s="1"/>
  <c r="G450" i="8" s="1"/>
  <c r="D450" i="7" s="1"/>
  <c r="D451" i="8" a="1"/>
  <c r="D451" i="8" s="1"/>
  <c r="C451" i="12" s="1"/>
  <c r="D451" i="12" s="1"/>
  <c r="D452" i="8" a="1"/>
  <c r="D452" i="8"/>
  <c r="D453" i="8" a="1"/>
  <c r="D453" i="8"/>
  <c r="E453" i="7" s="1"/>
  <c r="D454" i="8" a="1"/>
  <c r="D454" i="8" s="1"/>
  <c r="E454" i="7" s="1"/>
  <c r="D455" i="8" a="1"/>
  <c r="D455" i="8"/>
  <c r="D456" i="8" a="1"/>
  <c r="D456" i="8"/>
  <c r="E456" i="7" s="1"/>
  <c r="D457" i="8" a="1"/>
  <c r="D457" i="8" s="1"/>
  <c r="D458" i="8" a="1"/>
  <c r="D458" i="8" s="1"/>
  <c r="D459" i="8" a="1"/>
  <c r="D459" i="8" s="1"/>
  <c r="D460" i="8" a="1"/>
  <c r="D460" i="8" s="1"/>
  <c r="E460" i="8" s="1"/>
  <c r="G460" i="8" s="1"/>
  <c r="D460" i="7" s="1"/>
  <c r="D461" i="8" a="1"/>
  <c r="D461" i="8"/>
  <c r="D462" i="8" a="1"/>
  <c r="D462" i="8"/>
  <c r="D463" i="8" a="1"/>
  <c r="D463" i="8" s="1"/>
  <c r="D464" i="8" a="1"/>
  <c r="D464" i="8"/>
  <c r="E464" i="7" s="1"/>
  <c r="D465" i="8" a="1"/>
  <c r="D465" i="8" s="1"/>
  <c r="E465" i="7" s="1"/>
  <c r="D466" i="8" a="1"/>
  <c r="D466" i="8"/>
  <c r="D467" i="8" a="1"/>
  <c r="D467" i="8" s="1"/>
  <c r="D468" i="8" a="1"/>
  <c r="D468" i="8"/>
  <c r="D469" i="8" a="1"/>
  <c r="D469" i="8" s="1"/>
  <c r="C469" i="12" s="1"/>
  <c r="D470" i="8" a="1"/>
  <c r="D470" i="8" s="1"/>
  <c r="D471" i="8" a="1"/>
  <c r="D471" i="8"/>
  <c r="D472" i="8" a="1"/>
  <c r="D472" i="8" s="1"/>
  <c r="E472" i="8" s="1"/>
  <c r="G472" i="8" s="1"/>
  <c r="D472" i="7" s="1"/>
  <c r="D473" i="8" a="1"/>
  <c r="D473" i="8" s="1"/>
  <c r="E473" i="8" s="1"/>
  <c r="G473" i="8" s="1"/>
  <c r="D473" i="7" s="1"/>
  <c r="D474" i="8" a="1"/>
  <c r="D474" i="8"/>
  <c r="D475" i="8" a="1"/>
  <c r="D475" i="8" s="1"/>
  <c r="D476" i="8" a="1"/>
  <c r="D476" i="8" s="1"/>
  <c r="E476" i="8" s="1"/>
  <c r="G476" i="8" s="1"/>
  <c r="D476" i="7" s="1"/>
  <c r="D477" i="8" a="1"/>
  <c r="D477" i="8" s="1"/>
  <c r="E477" i="8" s="1"/>
  <c r="G477" i="8" s="1"/>
  <c r="D477" i="7" s="1"/>
  <c r="D478" i="8" a="1"/>
  <c r="D478" i="8"/>
  <c r="D479" i="8" a="1"/>
  <c r="D479" i="8"/>
  <c r="D480" i="8" a="1"/>
  <c r="D480" i="8" s="1"/>
  <c r="D481" i="8" a="1"/>
  <c r="D481" i="8" s="1"/>
  <c r="D482" i="8" a="1"/>
  <c r="D482" i="8"/>
  <c r="D483" i="8" a="1"/>
  <c r="D483" i="8" s="1"/>
  <c r="D484" i="8" a="1"/>
  <c r="D484" i="8" s="1"/>
  <c r="E484" i="8" s="1"/>
  <c r="G484" i="8" s="1"/>
  <c r="D484" i="7" s="1"/>
  <c r="D485" i="8" a="1"/>
  <c r="D485" i="8" s="1"/>
  <c r="D486" i="8" a="1"/>
  <c r="D486" i="8"/>
  <c r="C486" i="12" s="1"/>
  <c r="D486" i="12" s="1"/>
  <c r="D487" i="8" a="1"/>
  <c r="D487" i="8" s="1"/>
  <c r="D488" i="8" a="1"/>
  <c r="D488" i="8"/>
  <c r="D489" i="8" a="1"/>
  <c r="D489" i="8"/>
  <c r="D490" i="8" a="1"/>
  <c r="D490" i="8" s="1"/>
  <c r="D491" i="8" a="1"/>
  <c r="D491" i="8" s="1"/>
  <c r="C491" i="12" s="1"/>
  <c r="D491" i="12" s="1"/>
  <c r="D492" i="8" a="1"/>
  <c r="D492" i="8"/>
  <c r="D493" i="8" a="1"/>
  <c r="D493" i="8" s="1"/>
  <c r="E493" i="8" s="1"/>
  <c r="G493" i="8" s="1"/>
  <c r="D493" i="7" s="1"/>
  <c r="D494" i="8" a="1"/>
  <c r="D494" i="8"/>
  <c r="D495" i="8" a="1"/>
  <c r="D495" i="8" s="1"/>
  <c r="E495" i="8" s="1"/>
  <c r="G495" i="8" s="1"/>
  <c r="D495" i="7" s="1"/>
  <c r="D496" i="8" a="1"/>
  <c r="D496" i="8"/>
  <c r="E496" i="8" s="1"/>
  <c r="G496" i="8" s="1"/>
  <c r="D496" i="7" s="1"/>
  <c r="D497" i="8" a="1"/>
  <c r="D497" i="8"/>
  <c r="E497" i="7" s="1"/>
  <c r="D498" i="8" a="1"/>
  <c r="D498" i="8" s="1"/>
  <c r="D499" i="8" a="1"/>
  <c r="D499" i="8" s="1"/>
  <c r="D500" i="8" a="1"/>
  <c r="D500" i="8" s="1"/>
  <c r="D501" i="8" a="1"/>
  <c r="D501" i="8" s="1"/>
  <c r="C501" i="12" s="1"/>
  <c r="D502" i="8" a="1"/>
  <c r="D502" i="8"/>
  <c r="D503" i="8" a="1"/>
  <c r="D503" i="8"/>
  <c r="E503" i="8" s="1"/>
  <c r="G503" i="8" s="1"/>
  <c r="D503" i="7" s="1"/>
  <c r="D504" i="8" a="1"/>
  <c r="D504" i="8" s="1"/>
  <c r="D505" i="8" a="1"/>
  <c r="D505" i="8" s="1"/>
  <c r="D506" i="8" a="1"/>
  <c r="D506" i="8"/>
  <c r="D507" i="8" a="1"/>
  <c r="D507" i="8"/>
  <c r="D508" i="8" a="1"/>
  <c r="D508" i="8" s="1"/>
  <c r="E508" i="8" s="1"/>
  <c r="G508" i="8" s="1"/>
  <c r="D508" i="7" s="1"/>
  <c r="D509" i="8" a="1"/>
  <c r="D509" i="8" s="1"/>
  <c r="C509" i="12" s="1"/>
  <c r="D510" i="8" a="1"/>
  <c r="D510" i="8"/>
  <c r="E510" i="8" s="1"/>
  <c r="G510" i="8" s="1"/>
  <c r="D510" i="7" s="1"/>
  <c r="D511" i="8" a="1"/>
  <c r="D511" i="8" s="1"/>
  <c r="D512" i="8" a="1"/>
  <c r="D512" i="8"/>
  <c r="D513" i="8" a="1"/>
  <c r="D513" i="8" s="1"/>
  <c r="E513" i="8" s="1"/>
  <c r="G513" i="8" s="1"/>
  <c r="D513" i="7" s="1"/>
  <c r="D514" i="8" a="1"/>
  <c r="D514" i="8"/>
  <c r="E514" i="8" s="1"/>
  <c r="G514" i="8" s="1"/>
  <c r="D514" i="7" s="1"/>
  <c r="D515" i="8" a="1"/>
  <c r="D515" i="8" s="1"/>
  <c r="D516" i="8" a="1"/>
  <c r="D516" i="8" s="1"/>
  <c r="C516" i="12" s="1"/>
  <c r="D516" i="12" s="1"/>
  <c r="D517" i="8" a="1"/>
  <c r="D517" i="8" s="1"/>
  <c r="C517" i="12" s="1"/>
  <c r="D518" i="8" a="1"/>
  <c r="D518" i="8" s="1"/>
  <c r="E518" i="8" s="1"/>
  <c r="G518" i="8" s="1"/>
  <c r="D518" i="7" s="1"/>
  <c r="D519" i="8" a="1"/>
  <c r="D519" i="8"/>
  <c r="D520" i="8" a="1"/>
  <c r="D520" i="8"/>
  <c r="D521" i="8" a="1"/>
  <c r="D521" i="8"/>
  <c r="C521" i="12" s="1"/>
  <c r="D522" i="8" a="1"/>
  <c r="D522" i="8" s="1"/>
  <c r="D523" i="8" a="1"/>
  <c r="D523" i="8" s="1"/>
  <c r="D524" i="8" a="1"/>
  <c r="D524" i="8"/>
  <c r="D525" i="8" a="1"/>
  <c r="D525" i="8"/>
  <c r="D526" i="8" a="1"/>
  <c r="D526" i="8" s="1"/>
  <c r="E526" i="8" s="1"/>
  <c r="G526" i="8" s="1"/>
  <c r="D526" i="7" s="1"/>
  <c r="D527" i="8" a="1"/>
  <c r="D527" i="8"/>
  <c r="D528" i="8" a="1"/>
  <c r="D528" i="8"/>
  <c r="E528" i="8" s="1"/>
  <c r="G528" i="8" s="1"/>
  <c r="D528" i="7" s="1"/>
  <c r="D529" i="8" a="1"/>
  <c r="D529" i="8" s="1"/>
  <c r="D530" i="8" a="1"/>
  <c r="D530" i="8"/>
  <c r="D531" i="8" a="1"/>
  <c r="D531" i="8" s="1"/>
  <c r="D532" i="8" a="1"/>
  <c r="D532" i="8"/>
  <c r="E532" i="8" s="1"/>
  <c r="G532" i="8" s="1"/>
  <c r="D532" i="7" s="1"/>
  <c r="D533" i="8" a="1"/>
  <c r="D533" i="8"/>
  <c r="D534" i="8" a="1"/>
  <c r="D534" i="8"/>
  <c r="D535" i="8" a="1"/>
  <c r="D535" i="8" s="1"/>
  <c r="D536" i="8" a="1"/>
  <c r="D536" i="8" s="1"/>
  <c r="D537" i="8" a="1"/>
  <c r="D537" i="8"/>
  <c r="D538" i="8" a="1"/>
  <c r="D538" i="8"/>
  <c r="D539" i="8" a="1"/>
  <c r="D539" i="8" s="1"/>
  <c r="D540" i="8" a="1"/>
  <c r="D540" i="8"/>
  <c r="D541" i="8" a="1"/>
  <c r="D541" i="8" s="1"/>
  <c r="D542" i="8" a="1"/>
  <c r="D542" i="8"/>
  <c r="C542" i="12" s="1"/>
  <c r="D543" i="8" a="1"/>
  <c r="D543" i="8" s="1"/>
  <c r="E543" i="7" s="1"/>
  <c r="D544" i="8" a="1"/>
  <c r="D544" i="8" s="1"/>
  <c r="D545" i="8" a="1"/>
  <c r="D545" i="8" s="1"/>
  <c r="E545" i="8" s="1"/>
  <c r="G545" i="8" s="1"/>
  <c r="D545" i="7" s="1"/>
  <c r="D546" i="8" a="1"/>
  <c r="D546" i="8"/>
  <c r="E546" i="7" s="1"/>
  <c r="D547" i="8" a="1"/>
  <c r="D547" i="8" s="1"/>
  <c r="D548" i="8" a="1"/>
  <c r="D548" i="8" s="1"/>
  <c r="D549" i="8" a="1"/>
  <c r="D549" i="8"/>
  <c r="D550" i="8" a="1"/>
  <c r="D550" i="8" s="1"/>
  <c r="D551" i="8" a="1"/>
  <c r="D551" i="8"/>
  <c r="D552" i="8" a="1"/>
  <c r="D552" i="8" s="1"/>
  <c r="D553" i="8" a="1"/>
  <c r="D553" i="8" s="1"/>
  <c r="D554" i="8" a="1"/>
  <c r="D554" i="8" s="1"/>
  <c r="E554" i="7" s="1"/>
  <c r="D555" i="8" a="1"/>
  <c r="D555" i="8" s="1"/>
  <c r="C555" i="12" s="1"/>
  <c r="D555" i="12" s="1"/>
  <c r="D556" i="8" a="1"/>
  <c r="D556" i="8"/>
  <c r="E556" i="8" s="1"/>
  <c r="G556" i="8" s="1"/>
  <c r="D556" i="7" s="1"/>
  <c r="D557" i="8" a="1"/>
  <c r="D557" i="8" s="1"/>
  <c r="E557" i="8" s="1"/>
  <c r="G557" i="8" s="1"/>
  <c r="D557" i="7" s="1"/>
  <c r="D558" i="8" a="1"/>
  <c r="D558" i="8" s="1"/>
  <c r="D559" i="8" a="1"/>
  <c r="D559" i="8"/>
  <c r="D560" i="8" a="1"/>
  <c r="D560" i="8"/>
  <c r="D561" i="8" a="1"/>
  <c r="D561" i="8"/>
  <c r="D562" i="8" a="1"/>
  <c r="D562" i="8"/>
  <c r="D563" i="8" a="1"/>
  <c r="D563" i="8" s="1"/>
  <c r="C563" i="12" s="1"/>
  <c r="D563" i="12" s="1"/>
  <c r="E563" i="12" s="1"/>
  <c r="D564" i="8" a="1"/>
  <c r="D564" i="8" s="1"/>
  <c r="D565" i="8" a="1"/>
  <c r="D565" i="8"/>
  <c r="D566" i="8" a="1"/>
  <c r="D566" i="8"/>
  <c r="E566" i="8" s="1"/>
  <c r="G566" i="8" s="1"/>
  <c r="D566" i="7" s="1"/>
  <c r="D567" i="8" a="1"/>
  <c r="D567" i="8" s="1"/>
  <c r="D568" i="8" a="1"/>
  <c r="D568" i="8" s="1"/>
  <c r="C568" i="12" s="1"/>
  <c r="D569" i="8" a="1"/>
  <c r="D569" i="8" s="1"/>
  <c r="D570" i="8" a="1"/>
  <c r="D570" i="8"/>
  <c r="C570" i="12" s="1"/>
  <c r="D570" i="12" s="1"/>
  <c r="D571" i="8" a="1"/>
  <c r="D571" i="8"/>
  <c r="D572" i="8" a="1"/>
  <c r="D572" i="8" s="1"/>
  <c r="E572" i="8" s="1"/>
  <c r="G572" i="8" s="1"/>
  <c r="D572" i="7" s="1"/>
  <c r="D573" i="8" a="1"/>
  <c r="D573" i="8"/>
  <c r="D574" i="8" a="1"/>
  <c r="D574" i="8"/>
  <c r="D575" i="8" a="1"/>
  <c r="D575" i="8" s="1"/>
  <c r="D576" i="8" a="1"/>
  <c r="D576" i="8"/>
  <c r="E576" i="8" s="1"/>
  <c r="G576" i="8" s="1"/>
  <c r="D576" i="7" s="1"/>
  <c r="D577" i="8" a="1"/>
  <c r="D577" i="8"/>
  <c r="D578" i="8" a="1"/>
  <c r="D578" i="8"/>
  <c r="D579" i="8" a="1"/>
  <c r="D579" i="8"/>
  <c r="D580" i="8" a="1"/>
  <c r="D580" i="8" s="1"/>
  <c r="E580" i="8" s="1"/>
  <c r="G580" i="8" s="1"/>
  <c r="D580" i="7" s="1"/>
  <c r="D581" i="8" a="1"/>
  <c r="D581" i="8" s="1"/>
  <c r="D582" i="8" a="1"/>
  <c r="D582" i="8"/>
  <c r="D583" i="8" a="1"/>
  <c r="D583" i="8"/>
  <c r="D584" i="8" a="1"/>
  <c r="D584" i="8" s="1"/>
  <c r="D585" i="8" a="1"/>
  <c r="D585" i="8" s="1"/>
  <c r="E585" i="8" s="1"/>
  <c r="G585" i="8" s="1"/>
  <c r="D585" i="7" s="1"/>
  <c r="D586" i="8" a="1"/>
  <c r="D586" i="8"/>
  <c r="E586" i="7" s="1"/>
  <c r="D587" i="8" a="1"/>
  <c r="D587" i="8" s="1"/>
  <c r="D588" i="8" a="1"/>
  <c r="D588" i="8" s="1"/>
  <c r="D589" i="8" a="1"/>
  <c r="D589" i="8"/>
  <c r="C589" i="12" s="1"/>
  <c r="D590" i="8" a="1"/>
  <c r="D590" i="8" s="1"/>
  <c r="D591" i="8" a="1"/>
  <c r="D591" i="8"/>
  <c r="D592" i="8" a="1"/>
  <c r="D592" i="8"/>
  <c r="D593" i="8" a="1"/>
  <c r="D593" i="8" s="1"/>
  <c r="C593" i="12" s="1"/>
  <c r="D593" i="12" s="1"/>
  <c r="D594" i="8" a="1"/>
  <c r="D594" i="8"/>
  <c r="E594" i="8" s="1"/>
  <c r="G594" i="8" s="1"/>
  <c r="D594" i="7" s="1"/>
  <c r="D595" i="8" a="1"/>
  <c r="D595" i="8"/>
  <c r="E595" i="7" s="1"/>
  <c r="D596" i="8" a="1"/>
  <c r="D596" i="8"/>
  <c r="E596" i="8" s="1"/>
  <c r="G596" i="8" s="1"/>
  <c r="D596" i="7" s="1"/>
  <c r="D597" i="8" a="1"/>
  <c r="D597" i="8" s="1"/>
  <c r="E597" i="8" s="1"/>
  <c r="G597" i="8" s="1"/>
  <c r="D597" i="7" s="1"/>
  <c r="D598" i="8" a="1"/>
  <c r="D598" i="8" s="1"/>
  <c r="E598" i="8" s="1"/>
  <c r="G598" i="8" s="1"/>
  <c r="D598" i="7" s="1"/>
  <c r="D599" i="8" a="1"/>
  <c r="D599" i="8" s="1"/>
  <c r="D600" i="8" a="1"/>
  <c r="D600" i="8" s="1"/>
  <c r="D601" i="8" a="1"/>
  <c r="D601" i="8"/>
  <c r="D602" i="8" a="1"/>
  <c r="D602" i="8"/>
  <c r="E602" i="8" s="1"/>
  <c r="G602" i="8" s="1"/>
  <c r="D602" i="7" s="1"/>
  <c r="D603" i="8" a="1"/>
  <c r="D603" i="8" s="1"/>
  <c r="E603" i="7" s="1"/>
  <c r="D604" i="8" a="1"/>
  <c r="D604" i="8"/>
  <c r="D605" i="8" a="1"/>
  <c r="D605" i="8" s="1"/>
  <c r="D606" i="8" a="1"/>
  <c r="D606" i="8"/>
  <c r="D607" i="8" a="1"/>
  <c r="D607" i="8"/>
  <c r="E607" i="8" s="1"/>
  <c r="G607" i="8" s="1"/>
  <c r="D607" i="7" s="1"/>
  <c r="D608" i="8" a="1"/>
  <c r="D608" i="8"/>
  <c r="D609" i="8" a="1"/>
  <c r="D609" i="8"/>
  <c r="E609" i="7" s="1"/>
  <c r="D610" i="8" a="1"/>
  <c r="D610" i="8" s="1"/>
  <c r="E610" i="8" s="1"/>
  <c r="G610" i="8" s="1"/>
  <c r="D610" i="7" s="1"/>
  <c r="D611" i="8" a="1"/>
  <c r="D611" i="8" s="1"/>
  <c r="D612" i="8" a="1"/>
  <c r="D612" i="8"/>
  <c r="E612" i="7" s="1"/>
  <c r="D613" i="8" a="1"/>
  <c r="D613" i="8"/>
  <c r="D614" i="8" a="1"/>
  <c r="D614" i="8" s="1"/>
  <c r="D615" i="8" a="1"/>
  <c r="D615" i="8"/>
  <c r="E615" i="8" s="1"/>
  <c r="G615" i="8" s="1"/>
  <c r="D615" i="7" s="1"/>
  <c r="D616" i="8" a="1"/>
  <c r="D616" i="8" s="1"/>
  <c r="E616" i="8" s="1"/>
  <c r="G616" i="8" s="1"/>
  <c r="D616" i="7" s="1"/>
  <c r="D617" i="8" a="1"/>
  <c r="D617" i="8" s="1"/>
  <c r="D618" i="8" a="1"/>
  <c r="D618" i="8" s="1"/>
  <c r="D619" i="8" a="1"/>
  <c r="D619" i="8"/>
  <c r="D620" i="8" a="1"/>
  <c r="D620" i="8"/>
  <c r="D621" i="8" a="1"/>
  <c r="D621" i="8"/>
  <c r="D622" i="8" a="1"/>
  <c r="D622" i="8"/>
  <c r="C622" i="12" s="1"/>
  <c r="D622" i="12" s="1"/>
  <c r="D623" i="8" a="1"/>
  <c r="D623" i="8" s="1"/>
  <c r="D624" i="8" a="1"/>
  <c r="D624" i="8"/>
  <c r="D625" i="8" a="1"/>
  <c r="D625" i="8"/>
  <c r="D626" i="8" a="1"/>
  <c r="D626" i="8" s="1"/>
  <c r="D627" i="8" a="1"/>
  <c r="D627" i="8" s="1"/>
  <c r="E627" i="8" s="1"/>
  <c r="G627" i="8" s="1"/>
  <c r="D627" i="7" s="1"/>
  <c r="D628" i="8" a="1"/>
  <c r="D628" i="8"/>
  <c r="E628" i="8" s="1"/>
  <c r="G628" i="8" s="1"/>
  <c r="D628" i="7" s="1"/>
  <c r="D629" i="8" a="1"/>
  <c r="D629" i="8" s="1"/>
  <c r="E629" i="8" s="1"/>
  <c r="G629" i="8" s="1"/>
  <c r="D629" i="7" s="1"/>
  <c r="D630" i="8" a="1"/>
  <c r="D630" i="8" s="1"/>
  <c r="D631" i="8" a="1"/>
  <c r="D631" i="8"/>
  <c r="D632" i="8" a="1"/>
  <c r="D632" i="8"/>
  <c r="D633" i="8" a="1"/>
  <c r="D633" i="8"/>
  <c r="E633" i="7" s="1"/>
  <c r="D634" i="8" a="1"/>
  <c r="D634" i="8"/>
  <c r="D635" i="8" a="1"/>
  <c r="D635" i="8" s="1"/>
  <c r="D636" i="8" a="1"/>
  <c r="D636" i="8" s="1"/>
  <c r="E636" i="7" s="1"/>
  <c r="D637" i="8" a="1"/>
  <c r="D637" i="8"/>
  <c r="D638" i="8" a="1"/>
  <c r="D638" i="8"/>
  <c r="D639" i="8" a="1"/>
  <c r="D639" i="8" s="1"/>
  <c r="D640" i="8" a="1"/>
  <c r="D640" i="8" s="1"/>
  <c r="E640" i="8" s="1"/>
  <c r="G640" i="8" s="1"/>
  <c r="D640" i="7" s="1"/>
  <c r="D641" i="8" a="1"/>
  <c r="D641" i="8" s="1"/>
  <c r="D642" i="8" a="1"/>
  <c r="D642" i="8"/>
  <c r="D643" i="8" a="1"/>
  <c r="D643" i="8"/>
  <c r="D644" i="8" a="1"/>
  <c r="D644" i="8" s="1"/>
  <c r="E644" i="7" s="1"/>
  <c r="D645" i="8" a="1"/>
  <c r="D645" i="8"/>
  <c r="D646" i="8" a="1"/>
  <c r="D646" i="8"/>
  <c r="C646" i="12" s="1"/>
  <c r="D646" i="12" s="1"/>
  <c r="D647" i="8" a="1"/>
  <c r="D647" i="8" s="1"/>
  <c r="E647" i="7" s="1"/>
  <c r="D648" i="8" a="1"/>
  <c r="D648" i="8"/>
  <c r="D649" i="8" a="1"/>
  <c r="D649" i="8"/>
  <c r="D650" i="8" a="1"/>
  <c r="D650" i="8"/>
  <c r="D651" i="8" a="1"/>
  <c r="D651" i="8"/>
  <c r="D652" i="8" a="1"/>
  <c r="D652" i="8" s="1"/>
  <c r="E652" i="8" s="1"/>
  <c r="G652" i="8" s="1"/>
  <c r="D652" i="7" s="1"/>
  <c r="D653" i="8" a="1"/>
  <c r="D653" i="8" s="1"/>
  <c r="E653" i="8" s="1"/>
  <c r="G653" i="8" s="1"/>
  <c r="D653" i="7" s="1"/>
  <c r="D654" i="8" a="1"/>
  <c r="D654" i="8"/>
  <c r="C654" i="12" s="1"/>
  <c r="D654" i="12" s="1"/>
  <c r="D655" i="8" a="1"/>
  <c r="D655" i="8"/>
  <c r="E655" i="8" s="1"/>
  <c r="G655" i="8" s="1"/>
  <c r="D655" i="7" s="1"/>
  <c r="D656" i="8" a="1"/>
  <c r="D656" i="8" s="1"/>
  <c r="E656" i="7" s="1"/>
  <c r="D657" i="8" a="1"/>
  <c r="D657" i="8" s="1"/>
  <c r="D658" i="8" a="1"/>
  <c r="D658" i="8"/>
  <c r="D659" i="8" a="1"/>
  <c r="D659" i="8" s="1"/>
  <c r="D660" i="8" a="1"/>
  <c r="D660" i="8" s="1"/>
  <c r="E660" i="8" s="1"/>
  <c r="G660" i="8" s="1"/>
  <c r="D660" i="7" s="1"/>
  <c r="D661" i="8" a="1"/>
  <c r="D661" i="8"/>
  <c r="C661" i="12" s="1"/>
  <c r="D662" i="8" a="1"/>
  <c r="D662" i="8" s="1"/>
  <c r="D663" i="8" a="1"/>
  <c r="D663" i="8"/>
  <c r="D664" i="8" a="1"/>
  <c r="D664" i="8"/>
  <c r="D665" i="8" a="1"/>
  <c r="D665" i="8" s="1"/>
  <c r="D666" i="8" a="1"/>
  <c r="D666" i="8"/>
  <c r="D667" i="8" a="1"/>
  <c r="D667" i="8"/>
  <c r="E667" i="8" s="1"/>
  <c r="G667" i="8" s="1"/>
  <c r="D667" i="7" s="1"/>
  <c r="D668" i="8" a="1"/>
  <c r="D668" i="8"/>
  <c r="E668" i="8" s="1"/>
  <c r="G668" i="8" s="1"/>
  <c r="D668" i="7" s="1"/>
  <c r="D669" i="8" a="1"/>
  <c r="D669" i="8" s="1"/>
  <c r="C669" i="12" s="1"/>
  <c r="D670" i="8" a="1"/>
  <c r="D670" i="8" s="1"/>
  <c r="E670" i="7" s="1"/>
  <c r="D671" i="8" a="1"/>
  <c r="D671" i="8" s="1"/>
  <c r="E671" i="8" s="1"/>
  <c r="G671" i="8" s="1"/>
  <c r="D671" i="7" s="1"/>
  <c r="D672" i="8" a="1"/>
  <c r="D672" i="8" s="1"/>
  <c r="E672" i="7" s="1"/>
  <c r="D673" i="8" a="1"/>
  <c r="D673" i="8"/>
  <c r="E673" i="7" s="1"/>
  <c r="D674" i="8" a="1"/>
  <c r="D674" i="8"/>
  <c r="E674" i="8" s="1"/>
  <c r="G674" i="8" s="1"/>
  <c r="D674" i="7" s="1"/>
  <c r="D675" i="8" a="1"/>
  <c r="D675" i="8" s="1"/>
  <c r="E675" i="8" s="1"/>
  <c r="G675" i="8" s="1"/>
  <c r="D675" i="7" s="1"/>
  <c r="D676" i="8" a="1"/>
  <c r="D676" i="8"/>
  <c r="D677" i="8" a="1"/>
  <c r="D677" i="8" s="1"/>
  <c r="D678" i="8" a="1"/>
  <c r="D678" i="8"/>
  <c r="D679" i="8" a="1"/>
  <c r="D679" i="8"/>
  <c r="C679" i="12" s="1"/>
  <c r="D679" i="12" s="1"/>
  <c r="E679" i="12" s="1"/>
  <c r="D680" i="8" a="1"/>
  <c r="D680" i="8"/>
  <c r="D681" i="8" a="1"/>
  <c r="D681" i="8"/>
  <c r="D682" i="8" a="1"/>
  <c r="D682" i="8" s="1"/>
  <c r="E682" i="8" s="1"/>
  <c r="G682" i="8" s="1"/>
  <c r="D682" i="7" s="1"/>
  <c r="D683" i="8" a="1"/>
  <c r="D683" i="8" s="1"/>
  <c r="D684" i="8" a="1"/>
  <c r="D684" i="8"/>
  <c r="D685" i="8" a="1"/>
  <c r="D685" i="8"/>
  <c r="D686" i="8" a="1"/>
  <c r="D686" i="8" s="1"/>
  <c r="C686" i="12" s="1"/>
  <c r="D687" i="8" a="1"/>
  <c r="D687" i="8"/>
  <c r="C687" i="12" s="1"/>
  <c r="D687" i="12" s="1"/>
  <c r="D688" i="8" a="1"/>
  <c r="D688" i="8" s="1"/>
  <c r="E688" i="7" s="1"/>
  <c r="D689" i="8" a="1"/>
  <c r="D689" i="8" s="1"/>
  <c r="D690" i="8" a="1"/>
  <c r="D690" i="8" s="1"/>
  <c r="D691" i="8" a="1"/>
  <c r="D691" i="8"/>
  <c r="D692" i="8" a="1"/>
  <c r="D692" i="8"/>
  <c r="D693" i="8" a="1"/>
  <c r="D693" i="8"/>
  <c r="E693" i="8" s="1"/>
  <c r="G693" i="8" s="1"/>
  <c r="D693" i="7" s="1"/>
  <c r="D694" i="8" a="1"/>
  <c r="D694" i="8"/>
  <c r="D695" i="8" a="1"/>
  <c r="D695" i="8" s="1"/>
  <c r="D696" i="8" a="1"/>
  <c r="D696" i="8"/>
  <c r="D697" i="8" a="1"/>
  <c r="D697" i="8"/>
  <c r="E697" i="7" s="1"/>
  <c r="D698" i="8" a="1"/>
  <c r="D698" i="8" s="1"/>
  <c r="C698" i="12" s="1"/>
  <c r="D698" i="12" s="1"/>
  <c r="D699" i="8" a="1"/>
  <c r="D699" i="8" s="1"/>
  <c r="C699" i="12" s="1"/>
  <c r="D700" i="8" a="1"/>
  <c r="D700" i="8"/>
  <c r="D701" i="8" a="1"/>
  <c r="D701" i="8" s="1"/>
  <c r="C701" i="12" s="1"/>
  <c r="D701" i="12" s="1"/>
  <c r="D702" i="8" a="1"/>
  <c r="D702" i="8" s="1"/>
  <c r="C702" i="12" s="1"/>
  <c r="D703" i="8" a="1"/>
  <c r="D703" i="8"/>
  <c r="D704" i="8" a="1"/>
  <c r="D704" i="8"/>
  <c r="D705" i="8" a="1"/>
  <c r="D705" i="8"/>
  <c r="E705" i="8" s="1"/>
  <c r="G705" i="8" s="1"/>
  <c r="D705" i="7" s="1"/>
  <c r="D706" i="8" a="1"/>
  <c r="D706" i="8"/>
  <c r="C706" i="12" s="1"/>
  <c r="D706" i="12" s="1"/>
  <c r="D707" i="8" a="1"/>
  <c r="D707" i="8" s="1"/>
  <c r="D708" i="8" a="1"/>
  <c r="D708" i="8" s="1"/>
  <c r="C708" i="12" s="1"/>
  <c r="D708" i="12" s="1"/>
  <c r="D709" i="8" a="1"/>
  <c r="D709" i="8"/>
  <c r="D710" i="8" a="1"/>
  <c r="D710" i="8"/>
  <c r="D711" i="8" a="1"/>
  <c r="D711" i="8" s="1"/>
  <c r="D712" i="8" a="1"/>
  <c r="D712" i="8" s="1"/>
  <c r="E712" i="7" s="1"/>
  <c r="D713" i="8" a="1"/>
  <c r="D713" i="8" s="1"/>
  <c r="D714" i="8" a="1"/>
  <c r="D714" i="8"/>
  <c r="D715" i="8" a="1"/>
  <c r="D715" i="8"/>
  <c r="D716" i="8" a="1"/>
  <c r="D716" i="8" s="1"/>
  <c r="E716" i="7" s="1"/>
  <c r="D717" i="8" a="1"/>
  <c r="D717" i="8"/>
  <c r="E717" i="8" s="1"/>
  <c r="G717" i="8" s="1"/>
  <c r="D717" i="7" s="1"/>
  <c r="D718" i="8" a="1"/>
  <c r="D718" i="8"/>
  <c r="D719" i="8" a="1"/>
  <c r="D719" i="8" s="1"/>
  <c r="D720" i="8" a="1"/>
  <c r="D720" i="8"/>
  <c r="D721" i="8" a="1"/>
  <c r="D721" i="8"/>
  <c r="D722" i="8" a="1"/>
  <c r="D722" i="8"/>
  <c r="D723" i="8" a="1"/>
  <c r="D723" i="8"/>
  <c r="D724" i="8" a="1"/>
  <c r="D724" i="8" s="1"/>
  <c r="C724" i="12" s="1"/>
  <c r="D724" i="12" s="1"/>
  <c r="D725" i="8" a="1"/>
  <c r="D725" i="8" s="1"/>
  <c r="D726" i="8" a="1"/>
  <c r="D726" i="8"/>
  <c r="D727" i="8" a="1"/>
  <c r="D727" i="8"/>
  <c r="C727" i="12" s="1"/>
  <c r="D727" i="12" s="1"/>
  <c r="D728" i="8" a="1"/>
  <c r="D728" i="8" s="1"/>
  <c r="C728" i="12" s="1"/>
  <c r="D729" i="8" a="1"/>
  <c r="D729" i="8" s="1"/>
  <c r="C729" i="12" s="1"/>
  <c r="D729" i="12" s="1"/>
  <c r="D730" i="8" a="1"/>
  <c r="D730" i="8"/>
  <c r="E730" i="8" s="1"/>
  <c r="G730" i="8" s="1"/>
  <c r="D730" i="7" s="1"/>
  <c r="D731" i="8" a="1"/>
  <c r="D731" i="8" s="1"/>
  <c r="D732" i="8" a="1"/>
  <c r="D732" i="8" s="1"/>
  <c r="D733" i="8" a="1"/>
  <c r="D733" i="8"/>
  <c r="E733" i="7" s="1"/>
  <c r="D734" i="8" a="1"/>
  <c r="D734" i="8" s="1"/>
  <c r="D735" i="8" a="1"/>
  <c r="D735" i="8"/>
  <c r="D736" i="8" a="1"/>
  <c r="D736" i="8"/>
  <c r="D737" i="8" a="1"/>
  <c r="D737" i="8" s="1"/>
  <c r="D738" i="8" a="1"/>
  <c r="D738" i="8"/>
  <c r="D739" i="8" a="1"/>
  <c r="D739" i="8"/>
  <c r="D740" i="8" a="1"/>
  <c r="D740" i="8"/>
  <c r="D741" i="8" a="1"/>
  <c r="D741" i="8" s="1"/>
  <c r="D742" i="8" a="1"/>
  <c r="D742" i="8" s="1"/>
  <c r="E742" i="8" s="1"/>
  <c r="G742" i="8" s="1"/>
  <c r="D742" i="7" s="1"/>
  <c r="D743" i="8" a="1"/>
  <c r="D743" i="8" s="1"/>
  <c r="E743" i="7" s="1"/>
  <c r="D744" i="8" a="1"/>
  <c r="D744" i="8" s="1"/>
  <c r="C744" i="12" s="1"/>
  <c r="D745" i="8" a="1"/>
  <c r="D745" i="8"/>
  <c r="D746" i="8" a="1"/>
  <c r="D746" i="8"/>
  <c r="E746" i="8" s="1"/>
  <c r="G746" i="8" s="1"/>
  <c r="D746" i="7" s="1"/>
  <c r="D747" i="8" a="1"/>
  <c r="D747" i="8" s="1"/>
  <c r="D748" i="8" a="1"/>
  <c r="D748" i="8"/>
  <c r="C748" i="12" s="1"/>
  <c r="D749" i="8" a="1"/>
  <c r="D749" i="8" s="1"/>
  <c r="D750" i="8" a="1"/>
  <c r="D750" i="8"/>
  <c r="C750" i="12" s="1"/>
  <c r="D750" i="12" s="1"/>
  <c r="D751" i="8" a="1"/>
  <c r="D751" i="8"/>
  <c r="D752" i="8" a="1"/>
  <c r="D752" i="8"/>
  <c r="D753" i="8" a="1"/>
  <c r="D753" i="8"/>
  <c r="C753" i="12" s="1"/>
  <c r="D753" i="12" s="1"/>
  <c r="D754" i="8" a="1"/>
  <c r="D754" i="8" s="1"/>
  <c r="D755" i="8" a="1"/>
  <c r="D755" i="8" s="1"/>
  <c r="D756" i="8" a="1"/>
  <c r="D756" i="8"/>
  <c r="D757" i="8" a="1"/>
  <c r="D757" i="8"/>
  <c r="D758" i="8" a="1"/>
  <c r="D758" i="8" s="1"/>
  <c r="D759" i="8" a="1"/>
  <c r="D759" i="8"/>
  <c r="E759" i="8" s="1"/>
  <c r="G759" i="8" s="1"/>
  <c r="D759" i="7" s="1"/>
  <c r="D760" i="8" a="1"/>
  <c r="D760" i="8" s="1"/>
  <c r="D761" i="8" a="1"/>
  <c r="D761" i="8" s="1"/>
  <c r="D762" i="8" a="1"/>
  <c r="D762" i="8" s="1"/>
  <c r="E762" i="8" s="1"/>
  <c r="G762" i="8" s="1"/>
  <c r="D762" i="7" s="1"/>
  <c r="D763" i="8" a="1"/>
  <c r="D763" i="8"/>
  <c r="E763" i="8" s="1"/>
  <c r="G763" i="8" s="1"/>
  <c r="D763" i="7" s="1"/>
  <c r="E20" i="8"/>
  <c r="G20" i="8" s="1"/>
  <c r="D20" i="7" s="1"/>
  <c r="C21" i="12"/>
  <c r="D21" i="12" s="1"/>
  <c r="E44" i="7"/>
  <c r="C53" i="12"/>
  <c r="D53" i="12" s="1"/>
  <c r="E80" i="7"/>
  <c r="E107" i="8"/>
  <c r="G107" i="8" s="1"/>
  <c r="D107" i="7" s="1"/>
  <c r="E117" i="7"/>
  <c r="C119" i="12"/>
  <c r="D119" i="12" s="1"/>
  <c r="E119" i="12" s="1"/>
  <c r="E121" i="7"/>
  <c r="C128" i="12"/>
  <c r="E141" i="8"/>
  <c r="G141" i="8" s="1"/>
  <c r="D141" i="7" s="1"/>
  <c r="E153" i="7"/>
  <c r="C154" i="12"/>
  <c r="C174" i="12"/>
  <c r="E213" i="8"/>
  <c r="G213" i="8" s="1"/>
  <c r="D213" i="7" s="1"/>
  <c r="E224" i="7"/>
  <c r="C248" i="12"/>
  <c r="E251" i="7"/>
  <c r="C261" i="12"/>
  <c r="D261" i="12" s="1"/>
  <c r="E261" i="12" s="1"/>
  <c r="E275" i="8"/>
  <c r="G275" i="8" s="1"/>
  <c r="D275" i="7" s="1"/>
  <c r="E285" i="8"/>
  <c r="G285" i="8" s="1"/>
  <c r="D285" i="7" s="1"/>
  <c r="E296" i="8"/>
  <c r="G296" i="8" s="1"/>
  <c r="D296" i="7" s="1"/>
  <c r="E298" i="8"/>
  <c r="G298" i="8" s="1"/>
  <c r="D298" i="7" s="1"/>
  <c r="C299" i="12"/>
  <c r="D299" i="12" s="1"/>
  <c r="E357" i="7"/>
  <c r="E369" i="8"/>
  <c r="G369" i="8" s="1"/>
  <c r="D369" i="7" s="1"/>
  <c r="E381" i="7"/>
  <c r="E431" i="8"/>
  <c r="G431" i="8" s="1"/>
  <c r="D431" i="7" s="1"/>
  <c r="E489" i="8"/>
  <c r="G489" i="8" s="1"/>
  <c r="D489" i="7" s="1"/>
  <c r="E527" i="7"/>
  <c r="C547" i="12"/>
  <c r="E561" i="8"/>
  <c r="G561" i="8" s="1"/>
  <c r="D561" i="7" s="1"/>
  <c r="E573" i="8"/>
  <c r="G573" i="8" s="1"/>
  <c r="D573" i="7" s="1"/>
  <c r="E574" i="8"/>
  <c r="G574" i="8" s="1"/>
  <c r="D574" i="7" s="1"/>
  <c r="E575" i="8"/>
  <c r="G575" i="8" s="1"/>
  <c r="D575" i="7" s="1"/>
  <c r="E591" i="7"/>
  <c r="E599" i="7"/>
  <c r="E608" i="7"/>
  <c r="E611" i="8"/>
  <c r="G611" i="8" s="1"/>
  <c r="D611" i="7" s="1"/>
  <c r="E623" i="7"/>
  <c r="C635" i="12"/>
  <c r="D635" i="12" s="1"/>
  <c r="E659" i="8"/>
  <c r="G659" i="8" s="1"/>
  <c r="D659" i="7" s="1"/>
  <c r="C683" i="12"/>
  <c r="E704" i="8"/>
  <c r="G704" i="8" s="1"/>
  <c r="D704" i="7" s="1"/>
  <c r="E719" i="8"/>
  <c r="G719" i="8" s="1"/>
  <c r="D719" i="7" s="1"/>
  <c r="E731" i="8"/>
  <c r="G731" i="8" s="1"/>
  <c r="D731" i="7" s="1"/>
  <c r="E752" i="7"/>
  <c r="E26" i="8"/>
  <c r="G26" i="8" s="1"/>
  <c r="D26" i="7" s="1"/>
  <c r="C31" i="12"/>
  <c r="D31" i="12" s="1"/>
  <c r="C33" i="12"/>
  <c r="D33" i="12" s="1"/>
  <c r="E50" i="8"/>
  <c r="G50" i="8" s="1"/>
  <c r="D50" i="7" s="1"/>
  <c r="E54" i="7"/>
  <c r="E72" i="8"/>
  <c r="G72" i="8" s="1"/>
  <c r="D72" i="7" s="1"/>
  <c r="C109" i="12"/>
  <c r="E123" i="7"/>
  <c r="C127" i="12"/>
  <c r="D127" i="12" s="1"/>
  <c r="E134" i="8"/>
  <c r="G134" i="8" s="1"/>
  <c r="D134" i="7" s="1"/>
  <c r="E140" i="8"/>
  <c r="G140" i="8" s="1"/>
  <c r="D140" i="7" s="1"/>
  <c r="E146" i="8"/>
  <c r="G146" i="8" s="1"/>
  <c r="D146" i="7" s="1"/>
  <c r="E173" i="7"/>
  <c r="E180" i="8"/>
  <c r="G180" i="8" s="1"/>
  <c r="D180" i="7" s="1"/>
  <c r="E182" i="8"/>
  <c r="G182" i="8" s="1"/>
  <c r="D182" i="7" s="1"/>
  <c r="C184" i="12"/>
  <c r="E197" i="8"/>
  <c r="G197" i="8" s="1"/>
  <c r="D197" i="7" s="1"/>
  <c r="E206" i="7"/>
  <c r="E220" i="8"/>
  <c r="G220" i="8" s="1"/>
  <c r="D220" i="7" s="1"/>
  <c r="C235" i="12"/>
  <c r="D235" i="12" s="1"/>
  <c r="E255" i="7"/>
  <c r="C289" i="12"/>
  <c r="D289" i="12" s="1"/>
  <c r="E295" i="7"/>
  <c r="C304" i="12"/>
  <c r="C317" i="12"/>
  <c r="C325" i="12"/>
  <c r="E331" i="8"/>
  <c r="G331" i="8" s="1"/>
  <c r="D331" i="7" s="1"/>
  <c r="E337" i="8"/>
  <c r="G337" i="8" s="1"/>
  <c r="D337" i="7" s="1"/>
  <c r="E348" i="7"/>
  <c r="E351" i="7"/>
  <c r="E361" i="8"/>
  <c r="G361" i="8" s="1"/>
  <c r="D361" i="7" s="1"/>
  <c r="C363" i="12"/>
  <c r="D363" i="12" s="1"/>
  <c r="C385" i="12"/>
  <c r="D385" i="12" s="1"/>
  <c r="C391" i="12"/>
  <c r="D391" i="12" s="1"/>
  <c r="E396" i="8"/>
  <c r="G396" i="8" s="1"/>
  <c r="D396" i="7" s="1"/>
  <c r="E403" i="7"/>
  <c r="E413" i="8"/>
  <c r="G413" i="8" s="1"/>
  <c r="D413" i="7" s="1"/>
  <c r="E426" i="7"/>
  <c r="E433" i="8"/>
  <c r="G433" i="8" s="1"/>
  <c r="D433" i="7" s="1"/>
  <c r="E434" i="7"/>
  <c r="C459" i="12"/>
  <c r="C480" i="12"/>
  <c r="E481" i="7"/>
  <c r="E494" i="8"/>
  <c r="G494" i="8" s="1"/>
  <c r="D494" i="7" s="1"/>
  <c r="E505" i="8"/>
  <c r="G505" i="8" s="1"/>
  <c r="D505" i="7" s="1"/>
  <c r="E512" i="7"/>
  <c r="C519" i="12"/>
  <c r="E520" i="8"/>
  <c r="G520" i="8" s="1"/>
  <c r="D520" i="7" s="1"/>
  <c r="C525" i="12"/>
  <c r="D525" i="12" s="1"/>
  <c r="E544" i="8"/>
  <c r="G544" i="8" s="1"/>
  <c r="D544" i="7" s="1"/>
  <c r="E577" i="7"/>
  <c r="E578" i="7"/>
  <c r="E581" i="8"/>
  <c r="G581" i="8" s="1"/>
  <c r="D581" i="7" s="1"/>
  <c r="E634" i="7"/>
  <c r="C663" i="12"/>
  <c r="C676" i="12"/>
  <c r="D676" i="12" s="1"/>
  <c r="E678" i="7"/>
  <c r="E684" i="8"/>
  <c r="G684" i="8" s="1"/>
  <c r="D684" i="7" s="1"/>
  <c r="E685" i="7"/>
  <c r="C689" i="12"/>
  <c r="E718" i="8"/>
  <c r="G718" i="8" s="1"/>
  <c r="D718" i="7" s="1"/>
  <c r="C725" i="12"/>
  <c r="D725" i="12" s="1"/>
  <c r="C733" i="12"/>
  <c r="E757" i="7"/>
  <c r="E22" i="8"/>
  <c r="G22" i="8" s="1"/>
  <c r="D22" i="7" s="1"/>
  <c r="E28" i="8"/>
  <c r="G28" i="8" s="1"/>
  <c r="D28" i="7" s="1"/>
  <c r="E55" i="8"/>
  <c r="G55" i="8" s="1"/>
  <c r="D55" i="7" s="1"/>
  <c r="C85" i="12"/>
  <c r="E99" i="7"/>
  <c r="E115" i="8"/>
  <c r="G115" i="8" s="1"/>
  <c r="D115" i="7" s="1"/>
  <c r="E125" i="8"/>
  <c r="G125" i="8" s="1"/>
  <c r="D125" i="7" s="1"/>
  <c r="E130" i="7"/>
  <c r="E135" i="8"/>
  <c r="G135" i="8" s="1"/>
  <c r="D135" i="7" s="1"/>
  <c r="C172" i="12"/>
  <c r="D172" i="12" s="1"/>
  <c r="E211" i="8"/>
  <c r="G211" i="8" s="1"/>
  <c r="D211" i="7" s="1"/>
  <c r="E214" i="8"/>
  <c r="G214" i="8" s="1"/>
  <c r="D214" i="7" s="1"/>
  <c r="E239" i="8"/>
  <c r="G239" i="8" s="1"/>
  <c r="D239" i="7" s="1"/>
  <c r="E268" i="7"/>
  <c r="E271" i="7"/>
  <c r="C295" i="12"/>
  <c r="D295" i="12" s="1"/>
  <c r="E376" i="7"/>
  <c r="C382" i="12"/>
  <c r="C389" i="12"/>
  <c r="E468" i="8"/>
  <c r="G468" i="8" s="1"/>
  <c r="D468" i="7" s="1"/>
  <c r="E565" i="7"/>
  <c r="E605" i="7"/>
  <c r="E637" i="7"/>
  <c r="E641" i="8"/>
  <c r="G641" i="8" s="1"/>
  <c r="D641" i="7" s="1"/>
  <c r="E658" i="8"/>
  <c r="G658" i="8" s="1"/>
  <c r="D658" i="7" s="1"/>
  <c r="E673" i="8"/>
  <c r="G673" i="8" s="1"/>
  <c r="D673" i="7" s="1"/>
  <c r="C749" i="12"/>
  <c r="C13" i="12"/>
  <c r="C14" i="12"/>
  <c r="E25" i="7"/>
  <c r="E37" i="7"/>
  <c r="E38" i="8"/>
  <c r="G38" i="8" s="1"/>
  <c r="D38" i="7" s="1"/>
  <c r="E39" i="7"/>
  <c r="E43" i="8"/>
  <c r="G43" i="8" s="1"/>
  <c r="D43" i="7" s="1"/>
  <c r="E63" i="8"/>
  <c r="G63" i="8" s="1"/>
  <c r="D63" i="7" s="1"/>
  <c r="E86" i="8"/>
  <c r="G86" i="8" s="1"/>
  <c r="D86" i="7" s="1"/>
  <c r="E91" i="8"/>
  <c r="G91" i="8" s="1"/>
  <c r="D91" i="7" s="1"/>
  <c r="C110" i="12"/>
  <c r="C122" i="12"/>
  <c r="E151" i="8"/>
  <c r="G151" i="8" s="1"/>
  <c r="D151" i="7" s="1"/>
  <c r="E157" i="7"/>
  <c r="C158" i="12"/>
  <c r="D158" i="12" s="1"/>
  <c r="E175" i="7"/>
  <c r="E199" i="8"/>
  <c r="G199" i="8" s="1"/>
  <c r="D199" i="7" s="1"/>
  <c r="E232" i="8"/>
  <c r="G232" i="8" s="1"/>
  <c r="D232" i="7" s="1"/>
  <c r="E235" i="7"/>
  <c r="E244" i="7"/>
  <c r="E254" i="8"/>
  <c r="G254" i="8" s="1"/>
  <c r="D254" i="7" s="1"/>
  <c r="C278" i="12"/>
  <c r="C279" i="12"/>
  <c r="C291" i="12"/>
  <c r="E292" i="7"/>
  <c r="E313" i="7"/>
  <c r="E348" i="8"/>
  <c r="G348" i="8" s="1"/>
  <c r="D348" i="7" s="1"/>
  <c r="E360" i="8"/>
  <c r="G360" i="8" s="1"/>
  <c r="D360" i="7" s="1"/>
  <c r="E410" i="8"/>
  <c r="G410" i="8" s="1"/>
  <c r="D410" i="7" s="1"/>
  <c r="E420" i="7"/>
  <c r="E446" i="8"/>
  <c r="G446" i="8" s="1"/>
  <c r="D446" i="7" s="1"/>
  <c r="C448" i="12"/>
  <c r="D448" i="12" s="1"/>
  <c r="C452" i="12"/>
  <c r="E506" i="7"/>
  <c r="E533" i="8"/>
  <c r="G533" i="8" s="1"/>
  <c r="D533" i="7" s="1"/>
  <c r="E552" i="8"/>
  <c r="G552" i="8" s="1"/>
  <c r="D552" i="7" s="1"/>
  <c r="E601" i="8"/>
  <c r="G601" i="8" s="1"/>
  <c r="D601" i="7" s="1"/>
  <c r="E604" i="8"/>
  <c r="G604" i="8" s="1"/>
  <c r="D604" i="7" s="1"/>
  <c r="E650" i="8"/>
  <c r="G650" i="8" s="1"/>
  <c r="D650" i="7" s="1"/>
  <c r="E651" i="8"/>
  <c r="G651" i="8" s="1"/>
  <c r="D651" i="7" s="1"/>
  <c r="C666" i="12"/>
  <c r="E27" i="8"/>
  <c r="G27" i="8" s="1"/>
  <c r="D27" i="7" s="1"/>
  <c r="C52" i="12"/>
  <c r="D52" i="12" s="1"/>
  <c r="C129" i="12"/>
  <c r="E738" i="7"/>
  <c r="C39" i="12"/>
  <c r="E243" i="7"/>
  <c r="C258" i="12"/>
  <c r="E264" i="8"/>
  <c r="G264" i="8" s="1"/>
  <c r="D264" i="7" s="1"/>
  <c r="E282" i="7"/>
  <c r="E289" i="7"/>
  <c r="E328" i="8"/>
  <c r="G328" i="8" s="1"/>
  <c r="D328" i="7" s="1"/>
  <c r="E342" i="7"/>
  <c r="E354" i="7"/>
  <c r="C402" i="12"/>
  <c r="D402" i="12" s="1"/>
  <c r="C426" i="12"/>
  <c r="D426" i="12" s="1"/>
  <c r="E445" i="7"/>
  <c r="E571" i="7"/>
  <c r="E624" i="7"/>
  <c r="C649" i="12"/>
  <c r="E748" i="7"/>
  <c r="E187" i="7"/>
  <c r="E374" i="8"/>
  <c r="G374" i="8" s="1"/>
  <c r="D374" i="7" s="1"/>
  <c r="C79" i="12"/>
  <c r="D79" i="12" s="1"/>
  <c r="E186" i="7"/>
  <c r="E258" i="7"/>
  <c r="C607" i="12"/>
  <c r="D607" i="12" s="1"/>
  <c r="E330" i="7"/>
  <c r="D11" i="8" a="1"/>
  <c r="D11" i="8" s="1"/>
  <c r="E11" i="8" s="1"/>
  <c r="G11" i="8" s="1"/>
  <c r="D11" i="7" s="1"/>
  <c r="D10" i="8" a="1"/>
  <c r="D10" i="8"/>
  <c r="D9" i="8" a="1"/>
  <c r="D9" i="8" s="1"/>
  <c r="D8" i="8" a="1"/>
  <c r="D8" i="8" s="1"/>
  <c r="C8" i="12" s="1"/>
  <c r="D7" i="8" a="1"/>
  <c r="D7" i="8"/>
  <c r="E7" i="7" s="1"/>
  <c r="D6" i="8" a="1"/>
  <c r="D6" i="8"/>
  <c r="D5" i="8" a="1"/>
  <c r="D5" i="8" s="1"/>
  <c r="D4" i="8" a="1"/>
  <c r="D4" i="8"/>
  <c r="D3" i="8" a="1"/>
  <c r="D3" i="8" s="1"/>
  <c r="D2" i="8" a="1"/>
  <c r="D2" i="8" s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2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3" i="15"/>
  <c r="B2" i="15"/>
  <c r="I6" i="7" a="1"/>
  <c r="I6" i="7"/>
  <c r="I7" i="7" a="1"/>
  <c r="I7" i="7" s="1"/>
  <c r="I8" i="7" a="1"/>
  <c r="I8" i="7"/>
  <c r="I9" i="7" a="1"/>
  <c r="I9" i="7" s="1"/>
  <c r="I10" i="7" a="1"/>
  <c r="I10" i="7"/>
  <c r="I11" i="7" a="1"/>
  <c r="I11" i="7"/>
  <c r="I12" i="7" a="1"/>
  <c r="I12" i="7" s="1"/>
  <c r="I13" i="7" a="1"/>
  <c r="I13" i="7" s="1"/>
  <c r="I14" i="7" a="1"/>
  <c r="I14" i="7"/>
  <c r="I15" i="7" a="1"/>
  <c r="I15" i="7"/>
  <c r="I16" i="7" a="1"/>
  <c r="I16" i="7"/>
  <c r="I17" i="7" a="1"/>
  <c r="I17" i="7"/>
  <c r="I18" i="7" a="1"/>
  <c r="I18" i="7"/>
  <c r="I19" i="7" a="1"/>
  <c r="I19" i="7" s="1"/>
  <c r="I20" i="7" a="1"/>
  <c r="I20" i="7" s="1"/>
  <c r="I21" i="7" a="1"/>
  <c r="I21" i="7"/>
  <c r="I22" i="7" a="1"/>
  <c r="I22" i="7" s="1"/>
  <c r="I23" i="7" a="1"/>
  <c r="I23" i="7"/>
  <c r="I24" i="7" a="1"/>
  <c r="I24" i="7"/>
  <c r="I25" i="7" a="1"/>
  <c r="I25" i="7" s="1"/>
  <c r="I26" i="7" a="1"/>
  <c r="I26" i="7"/>
  <c r="I27" i="7" a="1"/>
  <c r="I27" i="7"/>
  <c r="I28" i="7" a="1"/>
  <c r="I28" i="7"/>
  <c r="I29" i="7" a="1"/>
  <c r="I29" i="7"/>
  <c r="I30" i="7" a="1"/>
  <c r="I30" i="7"/>
  <c r="I31" i="7" a="1"/>
  <c r="I31" i="7" s="1"/>
  <c r="I32" i="7" a="1"/>
  <c r="I32" i="7" s="1"/>
  <c r="I33" i="7" a="1"/>
  <c r="I33" i="7" s="1"/>
  <c r="I34" i="7" a="1"/>
  <c r="I34" i="7"/>
  <c r="I35" i="7" a="1"/>
  <c r="I35" i="7" s="1"/>
  <c r="I36" i="7" a="1"/>
  <c r="I36" i="7"/>
  <c r="I37" i="7" a="1"/>
  <c r="I37" i="7" s="1"/>
  <c r="I38" i="7" a="1"/>
  <c r="I38" i="7"/>
  <c r="I39" i="7" a="1"/>
  <c r="I39" i="7"/>
  <c r="I40" i="7" a="1"/>
  <c r="I40" i="7"/>
  <c r="I41" i="7" a="1"/>
  <c r="I41" i="7"/>
  <c r="I42" i="7" a="1"/>
  <c r="I42" i="7"/>
  <c r="I43" i="7" a="1"/>
  <c r="I43" i="7" s="1"/>
  <c r="I44" i="7" a="1"/>
  <c r="I44" i="7"/>
  <c r="I45" i="7" a="1"/>
  <c r="I45" i="7" s="1"/>
  <c r="I46" i="7" a="1"/>
  <c r="I46" i="7" s="1"/>
  <c r="I47" i="7" a="1"/>
  <c r="I47" i="7"/>
  <c r="I48" i="7" a="1"/>
  <c r="I48" i="7" s="1"/>
  <c r="I49" i="7" a="1"/>
  <c r="I49" i="7" s="1"/>
  <c r="I50" i="7" a="1"/>
  <c r="I50" i="7"/>
  <c r="I51" i="7" a="1"/>
  <c r="I51" i="7"/>
  <c r="I52" i="7" a="1"/>
  <c r="I52" i="7"/>
  <c r="I53" i="7" a="1"/>
  <c r="I53" i="7"/>
  <c r="I54" i="7" a="1"/>
  <c r="I54" i="7"/>
  <c r="I55" i="7" a="1"/>
  <c r="I55" i="7" s="1"/>
  <c r="I56" i="7" a="1"/>
  <c r="I56" i="7"/>
  <c r="I57" i="7" a="1"/>
  <c r="I57" i="7"/>
  <c r="I58" i="7" a="1"/>
  <c r="I58" i="7" s="1"/>
  <c r="I59" i="7" a="1"/>
  <c r="I59" i="7" s="1"/>
  <c r="I60" i="7" a="1"/>
  <c r="I60" i="7"/>
  <c r="I61" i="7" a="1"/>
  <c r="I61" i="7" s="1"/>
  <c r="I62" i="7" a="1"/>
  <c r="I62" i="7"/>
  <c r="I63" i="7" a="1"/>
  <c r="I63" i="7"/>
  <c r="I64" i="7" a="1"/>
  <c r="I64" i="7"/>
  <c r="I65" i="7" a="1"/>
  <c r="I65" i="7"/>
  <c r="I66" i="7" a="1"/>
  <c r="I66" i="7"/>
  <c r="I67" i="7" a="1"/>
  <c r="I67" i="7" s="1"/>
  <c r="I68" i="7" a="1"/>
  <c r="I68" i="7" s="1"/>
  <c r="I69" i="7" a="1"/>
  <c r="I69" i="7"/>
  <c r="I70" i="7" a="1"/>
  <c r="I70" i="7"/>
  <c r="I71" i="7" a="1"/>
  <c r="I71" i="7" s="1"/>
  <c r="I72" i="7" a="1"/>
  <c r="I72" i="7" s="1"/>
  <c r="I73" i="7" a="1"/>
  <c r="I73" i="7" s="1"/>
  <c r="I74" i="7" a="1"/>
  <c r="I74" i="7"/>
  <c r="I75" i="7" a="1"/>
  <c r="I75" i="7"/>
  <c r="I76" i="7" a="1"/>
  <c r="I76" i="7"/>
  <c r="I77" i="7" a="1"/>
  <c r="I77" i="7"/>
  <c r="I78" i="7" a="1"/>
  <c r="I78" i="7"/>
  <c r="I79" i="7" a="1"/>
  <c r="I79" i="7" s="1"/>
  <c r="I80" i="7" a="1"/>
  <c r="I80" i="7"/>
  <c r="I81" i="7" a="1"/>
  <c r="I81" i="7" s="1"/>
  <c r="I82" i="7" a="1"/>
  <c r="I82" i="7"/>
  <c r="I83" i="7" a="1"/>
  <c r="I83" i="7"/>
  <c r="I84" i="7" a="1"/>
  <c r="I84" i="7" s="1"/>
  <c r="I85" i="7" a="1"/>
  <c r="I85" i="7" s="1"/>
  <c r="I86" i="7" a="1"/>
  <c r="I86" i="7"/>
  <c r="I87" i="7" a="1"/>
  <c r="I87" i="7"/>
  <c r="I88" i="7" a="1"/>
  <c r="I88" i="7"/>
  <c r="I89" i="7" a="1"/>
  <c r="I89" i="7"/>
  <c r="I90" i="7" a="1"/>
  <c r="I90" i="7"/>
  <c r="I91" i="7" a="1"/>
  <c r="I91" i="7" s="1"/>
  <c r="I92" i="7" a="1"/>
  <c r="I92" i="7" s="1"/>
  <c r="I93" i="7" a="1"/>
  <c r="I93" i="7"/>
  <c r="I94" i="7" a="1"/>
  <c r="I94" i="7" s="1"/>
  <c r="I95" i="7" a="1"/>
  <c r="I95" i="7"/>
  <c r="I96" i="7" a="1"/>
  <c r="I96" i="7"/>
  <c r="I97" i="7" a="1"/>
  <c r="I97" i="7" s="1"/>
  <c r="I98" i="7" a="1"/>
  <c r="I98" i="7"/>
  <c r="I99" i="7" a="1"/>
  <c r="I99" i="7"/>
  <c r="I100" i="7" a="1"/>
  <c r="I100" i="7"/>
  <c r="I101" i="7" a="1"/>
  <c r="I101" i="7"/>
  <c r="I102" i="7" a="1"/>
  <c r="I102" i="7"/>
  <c r="I103" i="7" a="1"/>
  <c r="I103" i="7" s="1"/>
  <c r="I104" i="7" a="1"/>
  <c r="I104" i="7" s="1"/>
  <c r="I105" i="7" a="1"/>
  <c r="I105" i="7" s="1"/>
  <c r="I106" i="7" a="1"/>
  <c r="I106" i="7"/>
  <c r="I107" i="7" a="1"/>
  <c r="I107" i="7" s="1"/>
  <c r="I108" i="7" a="1"/>
  <c r="I108" i="7"/>
  <c r="I109" i="7" a="1"/>
  <c r="I109" i="7" s="1"/>
  <c r="I110" i="7" a="1"/>
  <c r="I110" i="7"/>
  <c r="I111" i="7" a="1"/>
  <c r="I111" i="7"/>
  <c r="I112" i="7" a="1"/>
  <c r="I112" i="7"/>
  <c r="I113" i="7" a="1"/>
  <c r="I113" i="7"/>
  <c r="I114" i="7" a="1"/>
  <c r="I114" i="7"/>
  <c r="I115" i="7" a="1"/>
  <c r="I115" i="7" s="1"/>
  <c r="I116" i="7" a="1"/>
  <c r="I116" i="7"/>
  <c r="I117" i="7" a="1"/>
  <c r="I117" i="7" s="1"/>
  <c r="I118" i="7" a="1"/>
  <c r="I118" i="7" s="1"/>
  <c r="I119" i="7" a="1"/>
  <c r="I119" i="7"/>
  <c r="I120" i="7" a="1"/>
  <c r="I120" i="7" s="1"/>
  <c r="I121" i="7" a="1"/>
  <c r="I121" i="7" s="1"/>
  <c r="I122" i="7" a="1"/>
  <c r="I122" i="7"/>
  <c r="I123" i="7" a="1"/>
  <c r="I123" i="7"/>
  <c r="I124" i="7" a="1"/>
  <c r="I124" i="7"/>
  <c r="I125" i="7" a="1"/>
  <c r="I125" i="7"/>
  <c r="I126" i="7" a="1"/>
  <c r="I126" i="7"/>
  <c r="I127" i="7" a="1"/>
  <c r="I127" i="7" s="1"/>
  <c r="I128" i="7" a="1"/>
  <c r="I128" i="7"/>
  <c r="I129" i="7" a="1"/>
  <c r="I129" i="7"/>
  <c r="I130" i="7" a="1"/>
  <c r="I130" i="7" s="1"/>
  <c r="I131" i="7" a="1"/>
  <c r="I131" i="7" s="1"/>
  <c r="I132" i="7" a="1"/>
  <c r="I132" i="7"/>
  <c r="I133" i="7" a="1"/>
  <c r="I133" i="7" s="1"/>
  <c r="I134" i="7" a="1"/>
  <c r="I134" i="7"/>
  <c r="I135" i="7" a="1"/>
  <c r="I135" i="7"/>
  <c r="I136" i="7" a="1"/>
  <c r="I136" i="7"/>
  <c r="I137" i="7" a="1"/>
  <c r="I137" i="7"/>
  <c r="I138" i="7" a="1"/>
  <c r="I138" i="7"/>
  <c r="I139" i="7" a="1"/>
  <c r="I139" i="7" s="1"/>
  <c r="I140" i="7" a="1"/>
  <c r="I140" i="7" s="1"/>
  <c r="I141" i="7" a="1"/>
  <c r="I141" i="7"/>
  <c r="I142" i="7" a="1"/>
  <c r="I142" i="7"/>
  <c r="I143" i="7" a="1"/>
  <c r="I143" i="7" s="1"/>
  <c r="I144" i="7" a="1"/>
  <c r="I144" i="7" s="1"/>
  <c r="I145" i="7" a="1"/>
  <c r="I145" i="7" s="1"/>
  <c r="I146" i="7" a="1"/>
  <c r="I146" i="7"/>
  <c r="I147" i="7" a="1"/>
  <c r="I147" i="7"/>
  <c r="I148" i="7" a="1"/>
  <c r="I148" i="7"/>
  <c r="I149" i="7" a="1"/>
  <c r="I149" i="7"/>
  <c r="I150" i="7" a="1"/>
  <c r="I150" i="7"/>
  <c r="I151" i="7" a="1"/>
  <c r="I151" i="7" s="1"/>
  <c r="I152" i="7" a="1"/>
  <c r="I152" i="7"/>
  <c r="I153" i="7" a="1"/>
  <c r="I153" i="7" s="1"/>
  <c r="I154" i="7" a="1"/>
  <c r="I154" i="7"/>
  <c r="I155" i="7" a="1"/>
  <c r="I155" i="7"/>
  <c r="I156" i="7" a="1"/>
  <c r="I156" i="7" s="1"/>
  <c r="I157" i="7" a="1"/>
  <c r="I157" i="7" s="1"/>
  <c r="I158" i="7" a="1"/>
  <c r="I158" i="7"/>
  <c r="I159" i="7" a="1"/>
  <c r="I159" i="7"/>
  <c r="I160" i="7" a="1"/>
  <c r="I160" i="7"/>
  <c r="I161" i="7" a="1"/>
  <c r="I161" i="7"/>
  <c r="I162" i="7" a="1"/>
  <c r="I162" i="7"/>
  <c r="I163" i="7" a="1"/>
  <c r="I163" i="7" s="1"/>
  <c r="I164" i="7" a="1"/>
  <c r="I164" i="7" s="1"/>
  <c r="I165" i="7" a="1"/>
  <c r="I165" i="7"/>
  <c r="I166" i="7" a="1"/>
  <c r="I166" i="7" s="1"/>
  <c r="I167" i="7" a="1"/>
  <c r="I167" i="7"/>
  <c r="I168" i="7" a="1"/>
  <c r="I168" i="7"/>
  <c r="I169" i="7" a="1"/>
  <c r="I169" i="7" s="1"/>
  <c r="I170" i="7" a="1"/>
  <c r="I170" i="7"/>
  <c r="I171" i="7" a="1"/>
  <c r="I171" i="7"/>
  <c r="I172" i="7" a="1"/>
  <c r="I172" i="7"/>
  <c r="I173" i="7" a="1"/>
  <c r="I173" i="7"/>
  <c r="I174" i="7" a="1"/>
  <c r="I174" i="7"/>
  <c r="I175" i="7" a="1"/>
  <c r="I175" i="7" s="1"/>
  <c r="I176" i="7" a="1"/>
  <c r="I176" i="7" s="1"/>
  <c r="I177" i="7" a="1"/>
  <c r="I177" i="7" s="1"/>
  <c r="I178" i="7" a="1"/>
  <c r="I178" i="7"/>
  <c r="I179" i="7" a="1"/>
  <c r="I179" i="7" s="1"/>
  <c r="I180" i="7" a="1"/>
  <c r="I180" i="7"/>
  <c r="I181" i="7" a="1"/>
  <c r="I181" i="7" s="1"/>
  <c r="I182" i="7" a="1"/>
  <c r="I182" i="7"/>
  <c r="I183" i="7" a="1"/>
  <c r="I183" i="7"/>
  <c r="I184" i="7" a="1"/>
  <c r="I184" i="7"/>
  <c r="I185" i="7" a="1"/>
  <c r="I185" i="7"/>
  <c r="I186" i="7" a="1"/>
  <c r="I186" i="7"/>
  <c r="I187" i="7" a="1"/>
  <c r="I187" i="7" s="1"/>
  <c r="I188" i="7" a="1"/>
  <c r="I188" i="7"/>
  <c r="I189" i="7" a="1"/>
  <c r="I189" i="7" s="1"/>
  <c r="I190" i="7" a="1"/>
  <c r="I190" i="7" s="1"/>
  <c r="I191" i="7" a="1"/>
  <c r="I191" i="7"/>
  <c r="I192" i="7" a="1"/>
  <c r="I192" i="7" s="1"/>
  <c r="I193" i="7" a="1"/>
  <c r="I193" i="7" s="1"/>
  <c r="I194" i="7" a="1"/>
  <c r="I194" i="7"/>
  <c r="I195" i="7" a="1"/>
  <c r="I195" i="7"/>
  <c r="I196" i="7" a="1"/>
  <c r="I196" i="7"/>
  <c r="I197" i="7" a="1"/>
  <c r="I197" i="7"/>
  <c r="I198" i="7" a="1"/>
  <c r="I198" i="7"/>
  <c r="I199" i="7" a="1"/>
  <c r="I199" i="7" s="1"/>
  <c r="I200" i="7" a="1"/>
  <c r="I200" i="7"/>
  <c r="I201" i="7" a="1"/>
  <c r="I201" i="7"/>
  <c r="I202" i="7" a="1"/>
  <c r="I202" i="7" s="1"/>
  <c r="I203" i="7" a="1"/>
  <c r="I203" i="7" s="1"/>
  <c r="I204" i="7" a="1"/>
  <c r="I204" i="7"/>
  <c r="I205" i="7" a="1"/>
  <c r="I205" i="7" s="1"/>
  <c r="I206" i="7" a="1"/>
  <c r="I206" i="7"/>
  <c r="I207" i="7" a="1"/>
  <c r="I207" i="7"/>
  <c r="I208" i="7" a="1"/>
  <c r="I208" i="7"/>
  <c r="I209" i="7" a="1"/>
  <c r="I209" i="7"/>
  <c r="I210" i="7" a="1"/>
  <c r="I210" i="7"/>
  <c r="I211" i="7" a="1"/>
  <c r="I211" i="7" s="1"/>
  <c r="I212" i="7" a="1"/>
  <c r="I212" i="7" s="1"/>
  <c r="I213" i="7" a="1"/>
  <c r="I213" i="7"/>
  <c r="I214" i="7" a="1"/>
  <c r="I214" i="7"/>
  <c r="I215" i="7" a="1"/>
  <c r="I215" i="7" s="1"/>
  <c r="I216" i="7" a="1"/>
  <c r="I216" i="7" s="1"/>
  <c r="I217" i="7" a="1"/>
  <c r="I217" i="7" s="1"/>
  <c r="I218" i="7" a="1"/>
  <c r="I218" i="7"/>
  <c r="I219" i="7" a="1"/>
  <c r="I219" i="7"/>
  <c r="I220" i="7" a="1"/>
  <c r="I220" i="7"/>
  <c r="I221" i="7" a="1"/>
  <c r="I221" i="7"/>
  <c r="I222" i="7" a="1"/>
  <c r="I222" i="7"/>
  <c r="I223" i="7" a="1"/>
  <c r="I223" i="7" s="1"/>
  <c r="I224" i="7" a="1"/>
  <c r="I224" i="7"/>
  <c r="I225" i="7" a="1"/>
  <c r="I225" i="7" s="1"/>
  <c r="I226" i="7" a="1"/>
  <c r="I226" i="7"/>
  <c r="I227" i="7" a="1"/>
  <c r="I227" i="7"/>
  <c r="I228" i="7" a="1"/>
  <c r="I228" i="7" s="1"/>
  <c r="I229" i="7" a="1"/>
  <c r="I229" i="7" s="1"/>
  <c r="I230" i="7" a="1"/>
  <c r="I230" i="7"/>
  <c r="I231" i="7" a="1"/>
  <c r="I231" i="7"/>
  <c r="I232" i="7" a="1"/>
  <c r="I232" i="7"/>
  <c r="I233" i="7" a="1"/>
  <c r="I233" i="7"/>
  <c r="I234" i="7" a="1"/>
  <c r="I234" i="7"/>
  <c r="I235" i="7" a="1"/>
  <c r="I235" i="7" s="1"/>
  <c r="I236" i="7" a="1"/>
  <c r="I236" i="7" s="1"/>
  <c r="I237" i="7" a="1"/>
  <c r="I237" i="7"/>
  <c r="I238" i="7" a="1"/>
  <c r="I238" i="7" s="1"/>
  <c r="I239" i="7" a="1"/>
  <c r="I239" i="7"/>
  <c r="I240" i="7" a="1"/>
  <c r="I240" i="7"/>
  <c r="I241" i="7" a="1"/>
  <c r="I241" i="7" s="1"/>
  <c r="I242" i="7" a="1"/>
  <c r="I242" i="7"/>
  <c r="I243" i="7" a="1"/>
  <c r="I243" i="7"/>
  <c r="I244" i="7" a="1"/>
  <c r="I244" i="7"/>
  <c r="I245" i="7" a="1"/>
  <c r="I245" i="7"/>
  <c r="I246" i="7" a="1"/>
  <c r="I246" i="7"/>
  <c r="I247" i="7" a="1"/>
  <c r="I247" i="7" s="1"/>
  <c r="I248" i="7" a="1"/>
  <c r="I248" i="7" s="1"/>
  <c r="I249" i="7" a="1"/>
  <c r="I249" i="7" s="1"/>
  <c r="I250" i="7" a="1"/>
  <c r="I250" i="7"/>
  <c r="I251" i="7" a="1"/>
  <c r="I251" i="7" s="1"/>
  <c r="I252" i="7" a="1"/>
  <c r="I252" i="7"/>
  <c r="I253" i="7" a="1"/>
  <c r="I253" i="7" s="1"/>
  <c r="I254" i="7" a="1"/>
  <c r="I254" i="7"/>
  <c r="I255" i="7" a="1"/>
  <c r="I255" i="7"/>
  <c r="I256" i="7" a="1"/>
  <c r="I256" i="7"/>
  <c r="I257" i="7" a="1"/>
  <c r="I257" i="7"/>
  <c r="I258" i="7" a="1"/>
  <c r="I258" i="7"/>
  <c r="I259" i="7" a="1"/>
  <c r="I259" i="7" s="1"/>
  <c r="I260" i="7" a="1"/>
  <c r="I260" i="7"/>
  <c r="I261" i="7" a="1"/>
  <c r="I261" i="7" s="1"/>
  <c r="I262" i="7" a="1"/>
  <c r="I262" i="7" s="1"/>
  <c r="I263" i="7" a="1"/>
  <c r="I263" i="7"/>
  <c r="I264" i="7" a="1"/>
  <c r="I264" i="7" s="1"/>
  <c r="I265" i="7" a="1"/>
  <c r="I265" i="7" s="1"/>
  <c r="I266" i="7" a="1"/>
  <c r="I266" i="7"/>
  <c r="I267" i="7" a="1"/>
  <c r="I267" i="7"/>
  <c r="I268" i="7" a="1"/>
  <c r="I268" i="7"/>
  <c r="I269" i="7" a="1"/>
  <c r="I269" i="7"/>
  <c r="I270" i="7" a="1"/>
  <c r="I270" i="7"/>
  <c r="I271" i="7" a="1"/>
  <c r="I271" i="7" s="1"/>
  <c r="I272" i="7" a="1"/>
  <c r="I272" i="7"/>
  <c r="I273" i="7" a="1"/>
  <c r="I273" i="7"/>
  <c r="I274" i="7" a="1"/>
  <c r="I274" i="7" s="1"/>
  <c r="I275" i="7" a="1"/>
  <c r="I275" i="7" s="1"/>
  <c r="I276" i="7" a="1"/>
  <c r="I276" i="7"/>
  <c r="I277" i="7" a="1"/>
  <c r="I277" i="7" s="1"/>
  <c r="I278" i="7" a="1"/>
  <c r="I278" i="7"/>
  <c r="I279" i="7" a="1"/>
  <c r="I279" i="7"/>
  <c r="I280" i="7" a="1"/>
  <c r="I280" i="7"/>
  <c r="I281" i="7" a="1"/>
  <c r="I281" i="7"/>
  <c r="I282" i="7" a="1"/>
  <c r="I282" i="7"/>
  <c r="I283" i="7" a="1"/>
  <c r="I283" i="7" s="1"/>
  <c r="I284" i="7" a="1"/>
  <c r="I284" i="7" s="1"/>
  <c r="I285" i="7" a="1"/>
  <c r="I285" i="7"/>
  <c r="I286" i="7" a="1"/>
  <c r="I286" i="7"/>
  <c r="I287" i="7" a="1"/>
  <c r="I287" i="7" s="1"/>
  <c r="I288" i="7" a="1"/>
  <c r="I288" i="7" s="1"/>
  <c r="I289" i="7" a="1"/>
  <c r="I289" i="7" s="1"/>
  <c r="I290" i="7" a="1"/>
  <c r="I290" i="7"/>
  <c r="I291" i="7" a="1"/>
  <c r="I291" i="7"/>
  <c r="I292" i="7" a="1"/>
  <c r="I292" i="7"/>
  <c r="I293" i="7" a="1"/>
  <c r="I293" i="7"/>
  <c r="I294" i="7" a="1"/>
  <c r="I294" i="7"/>
  <c r="I295" i="7" a="1"/>
  <c r="I295" i="7" s="1"/>
  <c r="I296" i="7" a="1"/>
  <c r="I296" i="7"/>
  <c r="I297" i="7" a="1"/>
  <c r="I297" i="7" s="1"/>
  <c r="I298" i="7" a="1"/>
  <c r="I298" i="7"/>
  <c r="I299" i="7" a="1"/>
  <c r="I299" i="7"/>
  <c r="I300" i="7" a="1"/>
  <c r="I300" i="7" s="1"/>
  <c r="I301" i="7" a="1"/>
  <c r="I301" i="7" s="1"/>
  <c r="I302" i="7" a="1"/>
  <c r="I302" i="7"/>
  <c r="I303" i="7" a="1"/>
  <c r="I303" i="7"/>
  <c r="I304" i="7" a="1"/>
  <c r="I304" i="7"/>
  <c r="I305" i="7" a="1"/>
  <c r="I305" i="7"/>
  <c r="I306" i="7" a="1"/>
  <c r="I306" i="7"/>
  <c r="I307" i="7" a="1"/>
  <c r="I307" i="7" s="1"/>
  <c r="I308" i="7" a="1"/>
  <c r="I308" i="7" s="1"/>
  <c r="I309" i="7" a="1"/>
  <c r="I309" i="7"/>
  <c r="I310" i="7" a="1"/>
  <c r="I310" i="7" s="1"/>
  <c r="I311" i="7" a="1"/>
  <c r="I311" i="7"/>
  <c r="I312" i="7" a="1"/>
  <c r="I312" i="7"/>
  <c r="I313" i="7" a="1"/>
  <c r="I313" i="7" s="1"/>
  <c r="I314" i="7" a="1"/>
  <c r="I314" i="7"/>
  <c r="I315" i="7" a="1"/>
  <c r="I315" i="7"/>
  <c r="I316" i="7" a="1"/>
  <c r="I316" i="7"/>
  <c r="I317" i="7" a="1"/>
  <c r="I317" i="7"/>
  <c r="I318" i="7" a="1"/>
  <c r="I318" i="7"/>
  <c r="I319" i="7" a="1"/>
  <c r="I319" i="7" s="1"/>
  <c r="I320" i="7" a="1"/>
  <c r="I320" i="7" s="1"/>
  <c r="I321" i="7" a="1"/>
  <c r="I321" i="7" s="1"/>
  <c r="I322" i="7" a="1"/>
  <c r="I322" i="7"/>
  <c r="I323" i="7" a="1"/>
  <c r="I323" i="7" s="1"/>
  <c r="I324" i="7" a="1"/>
  <c r="I324" i="7"/>
  <c r="I325" i="7" a="1"/>
  <c r="I325" i="7" s="1"/>
  <c r="I326" i="7" a="1"/>
  <c r="I326" i="7"/>
  <c r="I327" i="7" a="1"/>
  <c r="I327" i="7"/>
  <c r="I328" i="7" a="1"/>
  <c r="I328" i="7"/>
  <c r="I329" i="7" a="1"/>
  <c r="I329" i="7"/>
  <c r="I330" i="7" a="1"/>
  <c r="I330" i="7"/>
  <c r="I331" i="7" a="1"/>
  <c r="I331" i="7" s="1"/>
  <c r="I332" i="7" a="1"/>
  <c r="I332" i="7"/>
  <c r="I333" i="7" a="1"/>
  <c r="I333" i="7" s="1"/>
  <c r="I334" i="7" a="1"/>
  <c r="I334" i="7" s="1"/>
  <c r="I335" i="7" a="1"/>
  <c r="I335" i="7"/>
  <c r="I336" i="7" a="1"/>
  <c r="I336" i="7" s="1"/>
  <c r="I337" i="7" a="1"/>
  <c r="I337" i="7" s="1"/>
  <c r="I338" i="7" a="1"/>
  <c r="I338" i="7"/>
  <c r="I339" i="7" a="1"/>
  <c r="I339" i="7"/>
  <c r="I340" i="7" a="1"/>
  <c r="I340" i="7"/>
  <c r="I341" i="7" a="1"/>
  <c r="I341" i="7"/>
  <c r="I342" i="7" a="1"/>
  <c r="I342" i="7"/>
  <c r="I343" i="7" a="1"/>
  <c r="I343" i="7" s="1"/>
  <c r="I344" i="7" a="1"/>
  <c r="I344" i="7"/>
  <c r="I345" i="7" a="1"/>
  <c r="I345" i="7"/>
  <c r="I346" i="7" a="1"/>
  <c r="I346" i="7" s="1"/>
  <c r="I347" i="7" a="1"/>
  <c r="I347" i="7" s="1"/>
  <c r="I348" i="7" a="1"/>
  <c r="I348" i="7"/>
  <c r="I349" i="7" a="1"/>
  <c r="I349" i="7" s="1"/>
  <c r="I350" i="7" a="1"/>
  <c r="I350" i="7"/>
  <c r="I351" i="7" a="1"/>
  <c r="I351" i="7"/>
  <c r="I352" i="7" a="1"/>
  <c r="I352" i="7"/>
  <c r="I353" i="7" a="1"/>
  <c r="I353" i="7"/>
  <c r="I354" i="7" a="1"/>
  <c r="I354" i="7"/>
  <c r="I355" i="7" a="1"/>
  <c r="I355" i="7" s="1"/>
  <c r="I356" i="7" a="1"/>
  <c r="I356" i="7" s="1"/>
  <c r="I357" i="7" a="1"/>
  <c r="I357" i="7"/>
  <c r="I358" i="7" a="1"/>
  <c r="I358" i="7"/>
  <c r="I359" i="7" a="1"/>
  <c r="I359" i="7" s="1"/>
  <c r="I360" i="7" a="1"/>
  <c r="I360" i="7" s="1"/>
  <c r="I361" i="7" a="1"/>
  <c r="I361" i="7" s="1"/>
  <c r="I362" i="7" a="1"/>
  <c r="I362" i="7"/>
  <c r="I363" i="7" a="1"/>
  <c r="I363" i="7"/>
  <c r="I364" i="7" a="1"/>
  <c r="I364" i="7"/>
  <c r="I365" i="7" a="1"/>
  <c r="I365" i="7"/>
  <c r="I366" i="7" a="1"/>
  <c r="I366" i="7"/>
  <c r="I367" i="7" a="1"/>
  <c r="I367" i="7" s="1"/>
  <c r="I368" i="7" a="1"/>
  <c r="I368" i="7"/>
  <c r="I369" i="7" a="1"/>
  <c r="I369" i="7" s="1"/>
  <c r="I370" i="7" a="1"/>
  <c r="I370" i="7"/>
  <c r="I371" i="7" a="1"/>
  <c r="I371" i="7"/>
  <c r="I372" i="7" a="1"/>
  <c r="I372" i="7" s="1"/>
  <c r="I373" i="7" a="1"/>
  <c r="I373" i="7" s="1"/>
  <c r="I374" i="7" a="1"/>
  <c r="I374" i="7"/>
  <c r="I375" i="7" a="1"/>
  <c r="I375" i="7"/>
  <c r="I376" i="7" a="1"/>
  <c r="I376" i="7"/>
  <c r="I377" i="7" a="1"/>
  <c r="I377" i="7"/>
  <c r="I378" i="7" a="1"/>
  <c r="I378" i="7"/>
  <c r="I379" i="7" a="1"/>
  <c r="I379" i="7" s="1"/>
  <c r="I380" i="7" a="1"/>
  <c r="I380" i="7" s="1"/>
  <c r="I381" i="7" a="1"/>
  <c r="I381" i="7"/>
  <c r="I382" i="7" a="1"/>
  <c r="I382" i="7" s="1"/>
  <c r="I383" i="7" a="1"/>
  <c r="I383" i="7"/>
  <c r="I384" i="7" a="1"/>
  <c r="I384" i="7"/>
  <c r="I385" i="7" a="1"/>
  <c r="I385" i="7" s="1"/>
  <c r="I386" i="7" a="1"/>
  <c r="I386" i="7"/>
  <c r="I387" i="7" a="1"/>
  <c r="I387" i="7"/>
  <c r="I388" i="7" a="1"/>
  <c r="I388" i="7"/>
  <c r="I389" i="7" a="1"/>
  <c r="I389" i="7"/>
  <c r="I390" i="7" a="1"/>
  <c r="I390" i="7"/>
  <c r="I391" i="7" a="1"/>
  <c r="I391" i="7" s="1"/>
  <c r="I392" i="7" a="1"/>
  <c r="I392" i="7" s="1"/>
  <c r="I393" i="7" a="1"/>
  <c r="I393" i="7" s="1"/>
  <c r="I394" i="7" a="1"/>
  <c r="I394" i="7"/>
  <c r="I395" i="7" a="1"/>
  <c r="I395" i="7" s="1"/>
  <c r="I396" i="7" a="1"/>
  <c r="I396" i="7"/>
  <c r="I397" i="7" a="1"/>
  <c r="I397" i="7" s="1"/>
  <c r="I398" i="7" a="1"/>
  <c r="I398" i="7"/>
  <c r="I399" i="7" a="1"/>
  <c r="I399" i="7"/>
  <c r="I400" i="7" a="1"/>
  <c r="I400" i="7"/>
  <c r="I401" i="7" a="1"/>
  <c r="I401" i="7"/>
  <c r="I402" i="7" a="1"/>
  <c r="I402" i="7"/>
  <c r="I403" i="7" a="1"/>
  <c r="I403" i="7" s="1"/>
  <c r="I404" i="7" a="1"/>
  <c r="I404" i="7"/>
  <c r="I405" i="7" a="1"/>
  <c r="I405" i="7" s="1"/>
  <c r="I406" i="7" a="1"/>
  <c r="I406" i="7" s="1"/>
  <c r="I407" i="7" a="1"/>
  <c r="I407" i="7"/>
  <c r="I408" i="7" a="1"/>
  <c r="I408" i="7" s="1"/>
  <c r="I409" i="7" a="1"/>
  <c r="I409" i="7" s="1"/>
  <c r="I410" i="7" a="1"/>
  <c r="I410" i="7"/>
  <c r="I411" i="7" a="1"/>
  <c r="I411" i="7"/>
  <c r="I412" i="7" a="1"/>
  <c r="I412" i="7"/>
  <c r="I413" i="7" a="1"/>
  <c r="I413" i="7"/>
  <c r="I414" i="7" a="1"/>
  <c r="I414" i="7"/>
  <c r="I415" i="7" a="1"/>
  <c r="I415" i="7" s="1"/>
  <c r="I416" i="7" a="1"/>
  <c r="I416" i="7"/>
  <c r="I417" i="7" a="1"/>
  <c r="I417" i="7"/>
  <c r="I418" i="7" a="1"/>
  <c r="I418" i="7" s="1"/>
  <c r="I419" i="7" a="1"/>
  <c r="I419" i="7" s="1"/>
  <c r="I420" i="7" a="1"/>
  <c r="I420" i="7"/>
  <c r="I421" i="7" a="1"/>
  <c r="I421" i="7" s="1"/>
  <c r="I422" i="7" a="1"/>
  <c r="I422" i="7"/>
  <c r="I423" i="7" a="1"/>
  <c r="I423" i="7"/>
  <c r="I424" i="7" a="1"/>
  <c r="I424" i="7"/>
  <c r="I425" i="7" a="1"/>
  <c r="I425" i="7"/>
  <c r="I426" i="7" a="1"/>
  <c r="I426" i="7"/>
  <c r="I427" i="7" a="1"/>
  <c r="I427" i="7" s="1"/>
  <c r="I428" i="7" a="1"/>
  <c r="I428" i="7" s="1"/>
  <c r="I429" i="7" a="1"/>
  <c r="I429" i="7"/>
  <c r="I430" i="7" a="1"/>
  <c r="I430" i="7"/>
  <c r="I431" i="7" a="1"/>
  <c r="I431" i="7" s="1"/>
  <c r="I432" i="7" a="1"/>
  <c r="I432" i="7" s="1"/>
  <c r="I433" i="7" a="1"/>
  <c r="I433" i="7" s="1"/>
  <c r="I434" i="7" a="1"/>
  <c r="I434" i="7"/>
  <c r="I435" i="7" a="1"/>
  <c r="I435" i="7"/>
  <c r="I436" i="7" a="1"/>
  <c r="I436" i="7"/>
  <c r="I437" i="7" a="1"/>
  <c r="I437" i="7"/>
  <c r="I438" i="7" a="1"/>
  <c r="I438" i="7"/>
  <c r="I439" i="7" a="1"/>
  <c r="I439" i="7" s="1"/>
  <c r="I440" i="7" a="1"/>
  <c r="I440" i="7"/>
  <c r="I441" i="7" a="1"/>
  <c r="I441" i="7" s="1"/>
  <c r="I442" i="7" a="1"/>
  <c r="I442" i="7"/>
  <c r="I443" i="7" a="1"/>
  <c r="I443" i="7"/>
  <c r="I444" i="7" a="1"/>
  <c r="I444" i="7" s="1"/>
  <c r="I445" i="7" a="1"/>
  <c r="I445" i="7" s="1"/>
  <c r="I446" i="7" a="1"/>
  <c r="I446" i="7"/>
  <c r="I447" i="7" a="1"/>
  <c r="I447" i="7"/>
  <c r="I448" i="7" a="1"/>
  <c r="I448" i="7"/>
  <c r="I449" i="7" a="1"/>
  <c r="I449" i="7"/>
  <c r="I450" i="7" a="1"/>
  <c r="I450" i="7"/>
  <c r="I451" i="7" a="1"/>
  <c r="I451" i="7" s="1"/>
  <c r="I452" i="7" a="1"/>
  <c r="I452" i="7" s="1"/>
  <c r="I453" i="7" a="1"/>
  <c r="I453" i="7"/>
  <c r="I454" i="7" a="1"/>
  <c r="I454" i="7" s="1"/>
  <c r="I455" i="7" a="1"/>
  <c r="I455" i="7"/>
  <c r="I456" i="7" a="1"/>
  <c r="I456" i="7"/>
  <c r="I457" i="7" a="1"/>
  <c r="I457" i="7" s="1"/>
  <c r="I458" i="7" a="1"/>
  <c r="I458" i="7"/>
  <c r="I459" i="7" a="1"/>
  <c r="I459" i="7"/>
  <c r="I460" i="7" a="1"/>
  <c r="I460" i="7"/>
  <c r="I461" i="7" a="1"/>
  <c r="I461" i="7"/>
  <c r="I462" i="7" a="1"/>
  <c r="I462" i="7"/>
  <c r="I463" i="7" a="1"/>
  <c r="I463" i="7" s="1"/>
  <c r="I464" i="7" a="1"/>
  <c r="I464" i="7" s="1"/>
  <c r="I465" i="7" a="1"/>
  <c r="I465" i="7" s="1"/>
  <c r="I466" i="7" a="1"/>
  <c r="I466" i="7"/>
  <c r="I467" i="7" a="1"/>
  <c r="I467" i="7" s="1"/>
  <c r="I468" i="7" a="1"/>
  <c r="I468" i="7"/>
  <c r="I469" i="7" a="1"/>
  <c r="I469" i="7" s="1"/>
  <c r="I470" i="7" a="1"/>
  <c r="I470" i="7"/>
  <c r="I471" i="7" a="1"/>
  <c r="I471" i="7"/>
  <c r="I472" i="7" a="1"/>
  <c r="I472" i="7"/>
  <c r="I473" i="7" a="1"/>
  <c r="I473" i="7"/>
  <c r="I474" i="7" a="1"/>
  <c r="I474" i="7"/>
  <c r="I475" i="7" a="1"/>
  <c r="I475" i="7" s="1"/>
  <c r="I476" i="7" a="1"/>
  <c r="I476" i="7"/>
  <c r="I477" i="7" a="1"/>
  <c r="I477" i="7" s="1"/>
  <c r="I478" i="7" a="1"/>
  <c r="I478" i="7" s="1"/>
  <c r="I479" i="7" a="1"/>
  <c r="I479" i="7"/>
  <c r="I480" i="7" a="1"/>
  <c r="I480" i="7" s="1"/>
  <c r="I481" i="7" a="1"/>
  <c r="I481" i="7" s="1"/>
  <c r="I482" i="7" a="1"/>
  <c r="I482" i="7"/>
  <c r="I483" i="7" a="1"/>
  <c r="I483" i="7"/>
  <c r="I484" i="7" a="1"/>
  <c r="I484" i="7"/>
  <c r="I485" i="7" a="1"/>
  <c r="I485" i="7"/>
  <c r="I486" i="7" a="1"/>
  <c r="I486" i="7"/>
  <c r="I487" i="7" a="1"/>
  <c r="I487" i="7" s="1"/>
  <c r="I488" i="7" a="1"/>
  <c r="I488" i="7"/>
  <c r="I489" i="7" a="1"/>
  <c r="I489" i="7"/>
  <c r="I490" i="7" a="1"/>
  <c r="I490" i="7" s="1"/>
  <c r="I491" i="7" a="1"/>
  <c r="I491" i="7" s="1"/>
  <c r="I492" i="7" a="1"/>
  <c r="I492" i="7"/>
  <c r="I493" i="7" a="1"/>
  <c r="I493" i="7" s="1"/>
  <c r="I494" i="7" a="1"/>
  <c r="I494" i="7"/>
  <c r="I495" i="7" a="1"/>
  <c r="I495" i="7"/>
  <c r="I496" i="7" a="1"/>
  <c r="I496" i="7"/>
  <c r="I497" i="7" a="1"/>
  <c r="I497" i="7"/>
  <c r="I498" i="7" a="1"/>
  <c r="I498" i="7"/>
  <c r="I499" i="7" a="1"/>
  <c r="I499" i="7" s="1"/>
  <c r="I500" i="7" a="1"/>
  <c r="I500" i="7" s="1"/>
  <c r="I501" i="7" a="1"/>
  <c r="I501" i="7"/>
  <c r="I502" i="7" a="1"/>
  <c r="I502" i="7"/>
  <c r="I503" i="7" a="1"/>
  <c r="I503" i="7" s="1"/>
  <c r="I504" i="7" a="1"/>
  <c r="I504" i="7" s="1"/>
  <c r="I505" i="7" a="1"/>
  <c r="I505" i="7" s="1"/>
  <c r="I506" i="7" a="1"/>
  <c r="I506" i="7"/>
  <c r="I507" i="7" a="1"/>
  <c r="I507" i="7"/>
  <c r="I508" i="7" a="1"/>
  <c r="I508" i="7"/>
  <c r="I509" i="7" a="1"/>
  <c r="I509" i="7"/>
  <c r="I510" i="7" a="1"/>
  <c r="I510" i="7"/>
  <c r="I511" i="7" a="1"/>
  <c r="I511" i="7" s="1"/>
  <c r="I512" i="7" a="1"/>
  <c r="I512" i="7"/>
  <c r="I513" i="7" a="1"/>
  <c r="I513" i="7" s="1"/>
  <c r="I514" i="7" a="1"/>
  <c r="I514" i="7"/>
  <c r="I515" i="7" a="1"/>
  <c r="I515" i="7"/>
  <c r="I516" i="7" a="1"/>
  <c r="I516" i="7" s="1"/>
  <c r="I517" i="7" a="1"/>
  <c r="I517" i="7" s="1"/>
  <c r="I518" i="7" a="1"/>
  <c r="I518" i="7"/>
  <c r="I519" i="7" a="1"/>
  <c r="I519" i="7" s="1"/>
  <c r="I520" i="7" a="1"/>
  <c r="I520" i="7"/>
  <c r="I521" i="7" a="1"/>
  <c r="I521" i="7"/>
  <c r="I522" i="7" a="1"/>
  <c r="I522" i="7" s="1"/>
  <c r="I523" i="7" a="1"/>
  <c r="I523" i="7" s="1"/>
  <c r="I524" i="7" a="1"/>
  <c r="I524" i="7"/>
  <c r="I525" i="7" a="1"/>
  <c r="I525" i="7" s="1"/>
  <c r="I526" i="7" a="1"/>
  <c r="I526" i="7"/>
  <c r="I527" i="7" a="1"/>
  <c r="I527" i="7"/>
  <c r="I528" i="7" a="1"/>
  <c r="I528" i="7" s="1"/>
  <c r="I529" i="7" a="1"/>
  <c r="I529" i="7" s="1"/>
  <c r="I530" i="7" a="1"/>
  <c r="I530" i="7"/>
  <c r="I531" i="7" a="1"/>
  <c r="I531" i="7" s="1"/>
  <c r="I532" i="7" a="1"/>
  <c r="I532" i="7"/>
  <c r="I533" i="7" a="1"/>
  <c r="I533" i="7"/>
  <c r="I534" i="7" a="1"/>
  <c r="I534" i="7" s="1"/>
  <c r="I535" i="7" a="1"/>
  <c r="I535" i="7" s="1"/>
  <c r="I536" i="7" a="1"/>
  <c r="I536" i="7"/>
  <c r="I537" i="7" a="1"/>
  <c r="I537" i="7" s="1"/>
  <c r="I538" i="7" a="1"/>
  <c r="I538" i="7"/>
  <c r="I539" i="7" a="1"/>
  <c r="I539" i="7"/>
  <c r="I540" i="7" a="1"/>
  <c r="I540" i="7" s="1"/>
  <c r="I541" i="7" a="1"/>
  <c r="I541" i="7" s="1"/>
  <c r="I542" i="7" a="1"/>
  <c r="I542" i="7"/>
  <c r="I543" i="7" a="1"/>
  <c r="I543" i="7" s="1"/>
  <c r="I544" i="7" a="1"/>
  <c r="I544" i="7"/>
  <c r="I545" i="7" a="1"/>
  <c r="I545" i="7"/>
  <c r="I546" i="7" a="1"/>
  <c r="I546" i="7" s="1"/>
  <c r="I547" i="7" a="1"/>
  <c r="I547" i="7" s="1"/>
  <c r="I548" i="7" a="1"/>
  <c r="I548" i="7"/>
  <c r="I549" i="7" a="1"/>
  <c r="I549" i="7" s="1"/>
  <c r="I550" i="7" a="1"/>
  <c r="I550" i="7"/>
  <c r="I551" i="7" a="1"/>
  <c r="I551" i="7"/>
  <c r="I552" i="7" a="1"/>
  <c r="I552" i="7" s="1"/>
  <c r="I553" i="7" a="1"/>
  <c r="I553" i="7" s="1"/>
  <c r="I554" i="7" a="1"/>
  <c r="I554" i="7"/>
  <c r="I555" i="7" a="1"/>
  <c r="I555" i="7" s="1"/>
  <c r="I556" i="7" a="1"/>
  <c r="I556" i="7"/>
  <c r="I557" i="7" a="1"/>
  <c r="I557" i="7"/>
  <c r="I558" i="7" a="1"/>
  <c r="I558" i="7" s="1"/>
  <c r="I559" i="7" a="1"/>
  <c r="I559" i="7" s="1"/>
  <c r="I560" i="7" a="1"/>
  <c r="I560" i="7"/>
  <c r="I561" i="7" a="1"/>
  <c r="I561" i="7" s="1"/>
  <c r="I562" i="7" a="1"/>
  <c r="I562" i="7"/>
  <c r="I563" i="7" a="1"/>
  <c r="I563" i="7"/>
  <c r="I564" i="7" a="1"/>
  <c r="I564" i="7" s="1"/>
  <c r="I565" i="7" a="1"/>
  <c r="I565" i="7" s="1"/>
  <c r="I566" i="7" a="1"/>
  <c r="I566" i="7"/>
  <c r="I567" i="7" a="1"/>
  <c r="I567" i="7" s="1"/>
  <c r="I568" i="7" a="1"/>
  <c r="I568" i="7"/>
  <c r="I569" i="7" a="1"/>
  <c r="I569" i="7"/>
  <c r="I570" i="7" a="1"/>
  <c r="I570" i="7" s="1"/>
  <c r="I571" i="7" a="1"/>
  <c r="I571" i="7" s="1"/>
  <c r="I572" i="7" a="1"/>
  <c r="I572" i="7"/>
  <c r="I573" i="7" a="1"/>
  <c r="I573" i="7" s="1"/>
  <c r="I574" i="7" a="1"/>
  <c r="I574" i="7"/>
  <c r="I575" i="7" a="1"/>
  <c r="I575" i="7"/>
  <c r="I576" i="7" a="1"/>
  <c r="I576" i="7" s="1"/>
  <c r="I577" i="7" a="1"/>
  <c r="I577" i="7" s="1"/>
  <c r="I578" i="7" a="1"/>
  <c r="I578" i="7"/>
  <c r="I579" i="7" a="1"/>
  <c r="I579" i="7" s="1"/>
  <c r="I580" i="7" a="1"/>
  <c r="I580" i="7"/>
  <c r="I581" i="7" a="1"/>
  <c r="I581" i="7"/>
  <c r="I582" i="7" a="1"/>
  <c r="I582" i="7" s="1"/>
  <c r="I583" i="7" a="1"/>
  <c r="I583" i="7" s="1"/>
  <c r="I584" i="7" a="1"/>
  <c r="I584" i="7"/>
  <c r="I585" i="7" a="1"/>
  <c r="I585" i="7" s="1"/>
  <c r="I586" i="7" a="1"/>
  <c r="I586" i="7"/>
  <c r="I587" i="7" a="1"/>
  <c r="I587" i="7"/>
  <c r="I588" i="7" a="1"/>
  <c r="I588" i="7" s="1"/>
  <c r="I589" i="7" a="1"/>
  <c r="I589" i="7" s="1"/>
  <c r="I590" i="7" a="1"/>
  <c r="I590" i="7"/>
  <c r="I591" i="7" a="1"/>
  <c r="I591" i="7" s="1"/>
  <c r="I592" i="7" a="1"/>
  <c r="I592" i="7"/>
  <c r="I593" i="7" a="1"/>
  <c r="I593" i="7"/>
  <c r="I594" i="7" a="1"/>
  <c r="I594" i="7" s="1"/>
  <c r="I595" i="7" a="1"/>
  <c r="I595" i="7" s="1"/>
  <c r="I596" i="7" a="1"/>
  <c r="I596" i="7"/>
  <c r="I597" i="7" a="1"/>
  <c r="I597" i="7" s="1"/>
  <c r="I598" i="7" a="1"/>
  <c r="I598" i="7"/>
  <c r="I599" i="7" a="1"/>
  <c r="I599" i="7"/>
  <c r="I600" i="7" a="1"/>
  <c r="I600" i="7" s="1"/>
  <c r="I601" i="7" a="1"/>
  <c r="I601" i="7" s="1"/>
  <c r="I602" i="7" a="1"/>
  <c r="I602" i="7"/>
  <c r="I603" i="7" a="1"/>
  <c r="I603" i="7" s="1"/>
  <c r="I604" i="7" a="1"/>
  <c r="I604" i="7"/>
  <c r="I605" i="7" a="1"/>
  <c r="I605" i="7"/>
  <c r="I606" i="7" a="1"/>
  <c r="I606" i="7" s="1"/>
  <c r="I607" i="7" a="1"/>
  <c r="I607" i="7" s="1"/>
  <c r="I608" i="7" a="1"/>
  <c r="I608" i="7"/>
  <c r="I609" i="7" a="1"/>
  <c r="I609" i="7" s="1"/>
  <c r="I610" i="7" a="1"/>
  <c r="I610" i="7"/>
  <c r="I611" i="7" a="1"/>
  <c r="I611" i="7"/>
  <c r="I612" i="7" a="1"/>
  <c r="I612" i="7" s="1"/>
  <c r="I613" i="7" a="1"/>
  <c r="I613" i="7" s="1"/>
  <c r="I614" i="7" a="1"/>
  <c r="I614" i="7"/>
  <c r="I615" i="7" a="1"/>
  <c r="I615" i="7" s="1"/>
  <c r="I616" i="7" a="1"/>
  <c r="I616" i="7"/>
  <c r="I617" i="7" a="1"/>
  <c r="I617" i="7"/>
  <c r="I618" i="7" a="1"/>
  <c r="I618" i="7" s="1"/>
  <c r="I619" i="7" a="1"/>
  <c r="I619" i="7" s="1"/>
  <c r="I620" i="7" a="1"/>
  <c r="I620" i="7"/>
  <c r="I621" i="7" a="1"/>
  <c r="I621" i="7" s="1"/>
  <c r="I622" i="7" a="1"/>
  <c r="I622" i="7"/>
  <c r="I623" i="7" a="1"/>
  <c r="I623" i="7"/>
  <c r="I624" i="7" a="1"/>
  <c r="I624" i="7" s="1"/>
  <c r="I625" i="7" a="1"/>
  <c r="I625" i="7" s="1"/>
  <c r="I626" i="7" a="1"/>
  <c r="I626" i="7"/>
  <c r="I627" i="7" a="1"/>
  <c r="I627" i="7" s="1"/>
  <c r="I628" i="7" a="1"/>
  <c r="I628" i="7"/>
  <c r="I629" i="7" a="1"/>
  <c r="I629" i="7"/>
  <c r="I630" i="7" a="1"/>
  <c r="I630" i="7" s="1"/>
  <c r="I631" i="7" a="1"/>
  <c r="I631" i="7" s="1"/>
  <c r="I632" i="7" a="1"/>
  <c r="I632" i="7"/>
  <c r="I633" i="7" a="1"/>
  <c r="I633" i="7" s="1"/>
  <c r="I634" i="7" a="1"/>
  <c r="I634" i="7"/>
  <c r="I635" i="7" a="1"/>
  <c r="I635" i="7"/>
  <c r="I636" i="7" a="1"/>
  <c r="I636" i="7" s="1"/>
  <c r="I637" i="7" a="1"/>
  <c r="I637" i="7" s="1"/>
  <c r="I638" i="7" a="1"/>
  <c r="I638" i="7"/>
  <c r="I639" i="7" a="1"/>
  <c r="I639" i="7" s="1"/>
  <c r="I640" i="7" a="1"/>
  <c r="I640" i="7"/>
  <c r="I641" i="7" a="1"/>
  <c r="I641" i="7"/>
  <c r="I642" i="7" a="1"/>
  <c r="I642" i="7" s="1"/>
  <c r="I643" i="7" a="1"/>
  <c r="I643" i="7" s="1"/>
  <c r="I644" i="7" a="1"/>
  <c r="I644" i="7"/>
  <c r="I645" i="7" a="1"/>
  <c r="I645" i="7" s="1"/>
  <c r="I646" i="7" a="1"/>
  <c r="I646" i="7"/>
  <c r="I647" i="7" a="1"/>
  <c r="I647" i="7"/>
  <c r="I648" i="7" a="1"/>
  <c r="I648" i="7" s="1"/>
  <c r="I649" i="7" a="1"/>
  <c r="I649" i="7" s="1"/>
  <c r="I650" i="7" a="1"/>
  <c r="I650" i="7"/>
  <c r="I651" i="7" a="1"/>
  <c r="I651" i="7" s="1"/>
  <c r="I652" i="7" a="1"/>
  <c r="I652" i="7"/>
  <c r="I653" i="7" a="1"/>
  <c r="I653" i="7"/>
  <c r="I654" i="7" a="1"/>
  <c r="I654" i="7" s="1"/>
  <c r="I655" i="7" a="1"/>
  <c r="I655" i="7" s="1"/>
  <c r="I656" i="7" a="1"/>
  <c r="I656" i="7"/>
  <c r="I657" i="7" a="1"/>
  <c r="I657" i="7" s="1"/>
  <c r="I658" i="7" a="1"/>
  <c r="I658" i="7"/>
  <c r="I659" i="7" a="1"/>
  <c r="I659" i="7"/>
  <c r="I660" i="7" a="1"/>
  <c r="I660" i="7" s="1"/>
  <c r="I661" i="7" a="1"/>
  <c r="I661" i="7" s="1"/>
  <c r="I662" i="7" a="1"/>
  <c r="I662" i="7"/>
  <c r="I663" i="7" a="1"/>
  <c r="I663" i="7" s="1"/>
  <c r="I664" i="7" a="1"/>
  <c r="I664" i="7"/>
  <c r="I665" i="7" a="1"/>
  <c r="I665" i="7"/>
  <c r="I666" i="7" a="1"/>
  <c r="I666" i="7" s="1"/>
  <c r="I667" i="7" a="1"/>
  <c r="I667" i="7" s="1"/>
  <c r="I668" i="7" a="1"/>
  <c r="I668" i="7"/>
  <c r="I669" i="7" a="1"/>
  <c r="I669" i="7" s="1"/>
  <c r="I670" i="7" a="1"/>
  <c r="I670" i="7"/>
  <c r="I671" i="7" a="1"/>
  <c r="I671" i="7"/>
  <c r="I672" i="7" a="1"/>
  <c r="I672" i="7" s="1"/>
  <c r="I673" i="7" a="1"/>
  <c r="I673" i="7" s="1"/>
  <c r="I674" i="7" a="1"/>
  <c r="I674" i="7"/>
  <c r="I675" i="7" a="1"/>
  <c r="I675" i="7" s="1"/>
  <c r="I676" i="7" a="1"/>
  <c r="I676" i="7"/>
  <c r="I677" i="7" a="1"/>
  <c r="I677" i="7"/>
  <c r="I678" i="7" a="1"/>
  <c r="I678" i="7" s="1"/>
  <c r="I679" i="7" a="1"/>
  <c r="I679" i="7" s="1"/>
  <c r="I680" i="7" a="1"/>
  <c r="I680" i="7"/>
  <c r="I681" i="7" a="1"/>
  <c r="I681" i="7" s="1"/>
  <c r="I682" i="7" a="1"/>
  <c r="I682" i="7"/>
  <c r="I683" i="7" a="1"/>
  <c r="I683" i="7"/>
  <c r="I684" i="7" a="1"/>
  <c r="I684" i="7" s="1"/>
  <c r="I685" i="7" a="1"/>
  <c r="I685" i="7" s="1"/>
  <c r="I686" i="7" a="1"/>
  <c r="I686" i="7"/>
  <c r="I687" i="7" a="1"/>
  <c r="I687" i="7" s="1"/>
  <c r="I688" i="7" a="1"/>
  <c r="I688" i="7"/>
  <c r="I689" i="7" a="1"/>
  <c r="I689" i="7"/>
  <c r="I690" i="7" a="1"/>
  <c r="I690" i="7" s="1"/>
  <c r="I691" i="7" a="1"/>
  <c r="I691" i="7" s="1"/>
  <c r="I692" i="7" a="1"/>
  <c r="I692" i="7"/>
  <c r="I693" i="7" a="1"/>
  <c r="I693" i="7" s="1"/>
  <c r="I694" i="7" a="1"/>
  <c r="I694" i="7"/>
  <c r="I695" i="7" a="1"/>
  <c r="I695" i="7"/>
  <c r="I696" i="7" a="1"/>
  <c r="I696" i="7" s="1"/>
  <c r="I697" i="7" a="1"/>
  <c r="I697" i="7" s="1"/>
  <c r="I698" i="7" a="1"/>
  <c r="I698" i="7"/>
  <c r="I699" i="7" a="1"/>
  <c r="I699" i="7" s="1"/>
  <c r="I700" i="7" a="1"/>
  <c r="I700" i="7"/>
  <c r="I701" i="7" a="1"/>
  <c r="I701" i="7"/>
  <c r="I702" i="7" a="1"/>
  <c r="I702" i="7" s="1"/>
  <c r="I703" i="7" a="1"/>
  <c r="I703" i="7" s="1"/>
  <c r="I704" i="7" a="1"/>
  <c r="I704" i="7"/>
  <c r="I705" i="7" a="1"/>
  <c r="I705" i="7" s="1"/>
  <c r="I706" i="7" a="1"/>
  <c r="I706" i="7"/>
  <c r="I707" i="7" a="1"/>
  <c r="I707" i="7"/>
  <c r="I708" i="7" a="1"/>
  <c r="I708" i="7" s="1"/>
  <c r="I709" i="7" a="1"/>
  <c r="I709" i="7" s="1"/>
  <c r="I710" i="7" a="1"/>
  <c r="I710" i="7"/>
  <c r="I711" i="7" a="1"/>
  <c r="I711" i="7" s="1"/>
  <c r="I712" i="7" a="1"/>
  <c r="I712" i="7"/>
  <c r="I713" i="7" a="1"/>
  <c r="I713" i="7"/>
  <c r="I714" i="7" a="1"/>
  <c r="I714" i="7" s="1"/>
  <c r="I715" i="7" a="1"/>
  <c r="I715" i="7" s="1"/>
  <c r="I716" i="7" a="1"/>
  <c r="I716" i="7"/>
  <c r="I717" i="7" a="1"/>
  <c r="I717" i="7" s="1"/>
  <c r="I718" i="7" a="1"/>
  <c r="I718" i="7"/>
  <c r="I719" i="7" a="1"/>
  <c r="I719" i="7"/>
  <c r="I720" i="7" a="1"/>
  <c r="I720" i="7" s="1"/>
  <c r="I721" i="7" a="1"/>
  <c r="I721" i="7" s="1"/>
  <c r="I722" i="7" a="1"/>
  <c r="I722" i="7"/>
  <c r="I723" i="7" a="1"/>
  <c r="I723" i="7" s="1"/>
  <c r="I724" i="7" a="1"/>
  <c r="I724" i="7"/>
  <c r="I725" i="7" a="1"/>
  <c r="I725" i="7"/>
  <c r="I726" i="7" a="1"/>
  <c r="I726" i="7" s="1"/>
  <c r="I727" i="7" a="1"/>
  <c r="I727" i="7" s="1"/>
  <c r="I728" i="7" a="1"/>
  <c r="I728" i="7"/>
  <c r="I729" i="7" a="1"/>
  <c r="I729" i="7" s="1"/>
  <c r="I730" i="7" a="1"/>
  <c r="I730" i="7"/>
  <c r="I731" i="7" a="1"/>
  <c r="I731" i="7"/>
  <c r="I732" i="7" a="1"/>
  <c r="I732" i="7" s="1"/>
  <c r="I733" i="7" a="1"/>
  <c r="I733" i="7" s="1"/>
  <c r="I734" i="7" a="1"/>
  <c r="I734" i="7"/>
  <c r="I735" i="7" a="1"/>
  <c r="I735" i="7" s="1"/>
  <c r="I736" i="7" a="1"/>
  <c r="I736" i="7"/>
  <c r="I737" i="7" a="1"/>
  <c r="I737" i="7"/>
  <c r="I738" i="7" a="1"/>
  <c r="I738" i="7" s="1"/>
  <c r="I739" i="7" a="1"/>
  <c r="I739" i="7" s="1"/>
  <c r="I740" i="7" a="1"/>
  <c r="I740" i="7"/>
  <c r="I741" i="7" a="1"/>
  <c r="I741" i="7" s="1"/>
  <c r="I742" i="7" a="1"/>
  <c r="I742" i="7"/>
  <c r="I743" i="7" a="1"/>
  <c r="I743" i="7"/>
  <c r="I744" i="7" a="1"/>
  <c r="I744" i="7" s="1"/>
  <c r="I745" i="7" a="1"/>
  <c r="I745" i="7" s="1"/>
  <c r="I746" i="7" a="1"/>
  <c r="I746" i="7"/>
  <c r="I747" i="7" a="1"/>
  <c r="I747" i="7" s="1"/>
  <c r="I748" i="7" a="1"/>
  <c r="I748" i="7"/>
  <c r="I749" i="7" a="1"/>
  <c r="I749" i="7"/>
  <c r="I750" i="7" a="1"/>
  <c r="I750" i="7" s="1"/>
  <c r="I751" i="7" a="1"/>
  <c r="I751" i="7" s="1"/>
  <c r="I752" i="7" a="1"/>
  <c r="I752" i="7"/>
  <c r="I753" i="7" a="1"/>
  <c r="I753" i="7" s="1"/>
  <c r="I754" i="7" a="1"/>
  <c r="I754" i="7"/>
  <c r="I755" i="7" a="1"/>
  <c r="I755" i="7"/>
  <c r="I756" i="7" a="1"/>
  <c r="I756" i="7" s="1"/>
  <c r="I757" i="7" a="1"/>
  <c r="I757" i="7" s="1"/>
  <c r="I758" i="7" a="1"/>
  <c r="I758" i="7"/>
  <c r="I759" i="7" a="1"/>
  <c r="I759" i="7" s="1"/>
  <c r="I760" i="7" a="1"/>
  <c r="I760" i="7"/>
  <c r="I761" i="7" a="1"/>
  <c r="I761" i="7"/>
  <c r="I762" i="7" a="1"/>
  <c r="I762" i="7" s="1"/>
  <c r="I763" i="7" a="1"/>
  <c r="I763" i="7" s="1"/>
  <c r="I5" i="7" a="1"/>
  <c r="I5" i="7" s="1"/>
  <c r="I3" i="7" a="1"/>
  <c r="I3" i="7"/>
  <c r="I4" i="7" a="1"/>
  <c r="I4" i="7"/>
  <c r="I2" i="7" a="1"/>
  <c r="I2" i="7"/>
  <c r="C2" i="8" a="1"/>
  <c r="C2" i="8" s="1"/>
  <c r="C4" i="8" a="1"/>
  <c r="C4" i="8"/>
  <c r="E739" i="7"/>
  <c r="E666" i="7"/>
  <c r="E601" i="7"/>
  <c r="E529" i="7"/>
  <c r="E373" i="7"/>
  <c r="E361" i="7"/>
  <c r="E360" i="7"/>
  <c r="E276" i="7"/>
  <c r="E264" i="7"/>
  <c r="E241" i="7"/>
  <c r="E240" i="7"/>
  <c r="E210" i="7"/>
  <c r="E192" i="7"/>
  <c r="E180" i="7"/>
  <c r="E168" i="7"/>
  <c r="E132" i="7"/>
  <c r="E126" i="7"/>
  <c r="E120" i="7"/>
  <c r="E114" i="7"/>
  <c r="E102" i="7"/>
  <c r="E96" i="7"/>
  <c r="E90" i="7"/>
  <c r="E85" i="7"/>
  <c r="E84" i="7"/>
  <c r="E78" i="7"/>
  <c r="E72" i="7"/>
  <c r="E66" i="7"/>
  <c r="E61" i="7"/>
  <c r="E60" i="7"/>
  <c r="E48" i="7"/>
  <c r="E42" i="7"/>
  <c r="E36" i="7"/>
  <c r="E30" i="7"/>
  <c r="E24" i="7"/>
  <c r="C24" i="12"/>
  <c r="C25" i="12"/>
  <c r="C30" i="12"/>
  <c r="C36" i="12"/>
  <c r="D36" i="12" s="1"/>
  <c r="C42" i="12"/>
  <c r="C48" i="12"/>
  <c r="C54" i="12"/>
  <c r="D54" i="12" s="1"/>
  <c r="C60" i="12"/>
  <c r="C66" i="12"/>
  <c r="C72" i="12"/>
  <c r="C73" i="12"/>
  <c r="C78" i="12"/>
  <c r="C84" i="12"/>
  <c r="C90" i="12"/>
  <c r="C102" i="12"/>
  <c r="D102" i="12" s="1"/>
  <c r="C114" i="12"/>
  <c r="C120" i="12"/>
  <c r="C132" i="12"/>
  <c r="C138" i="12"/>
  <c r="C168" i="12"/>
  <c r="C180" i="12"/>
  <c r="C186" i="12"/>
  <c r="C210" i="12"/>
  <c r="D210" i="12" s="1"/>
  <c r="C229" i="12"/>
  <c r="C240" i="12"/>
  <c r="C264" i="12"/>
  <c r="D264" i="12" s="1"/>
  <c r="C313" i="12"/>
  <c r="C354" i="12"/>
  <c r="D354" i="12" s="1"/>
  <c r="C360" i="12"/>
  <c r="C361" i="12"/>
  <c r="C373" i="12"/>
  <c r="D373" i="12" s="1"/>
  <c r="C397" i="12"/>
  <c r="C414" i="12"/>
  <c r="D414" i="12" s="1"/>
  <c r="C434" i="12"/>
  <c r="C445" i="12"/>
  <c r="D445" i="12" s="1"/>
  <c r="C498" i="12"/>
  <c r="D498" i="12" s="1"/>
  <c r="C529" i="12"/>
  <c r="C541" i="12"/>
  <c r="D541" i="12" s="1"/>
  <c r="C552" i="12"/>
  <c r="D552" i="12" s="1"/>
  <c r="C601" i="12"/>
  <c r="D601" i="12" s="1"/>
  <c r="E601" i="12" s="1"/>
  <c r="C624" i="12"/>
  <c r="C673" i="12"/>
  <c r="D673" i="12" s="1"/>
  <c r="C745" i="12"/>
  <c r="D745" i="12" s="1"/>
  <c r="B758" i="7"/>
  <c r="C758" i="7" s="1"/>
  <c r="B759" i="7"/>
  <c r="F759" i="7" s="1"/>
  <c r="B760" i="7"/>
  <c r="F760" i="7" s="1"/>
  <c r="B761" i="7"/>
  <c r="C761" i="7" s="1"/>
  <c r="B762" i="7"/>
  <c r="B763" i="7"/>
  <c r="B531" i="7"/>
  <c r="F531" i="7" s="1"/>
  <c r="B532" i="7"/>
  <c r="F532" i="7" s="1"/>
  <c r="B533" i="7"/>
  <c r="F533" i="7" s="1"/>
  <c r="B534" i="7"/>
  <c r="F534" i="7" s="1"/>
  <c r="B535" i="7"/>
  <c r="F535" i="7" s="1"/>
  <c r="B536" i="7"/>
  <c r="F536" i="7" s="1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3" i="7"/>
  <c r="B4" i="7"/>
  <c r="B5" i="7"/>
  <c r="F5" i="7" s="1"/>
  <c r="B6" i="7"/>
  <c r="F6" i="7" s="1"/>
  <c r="B7" i="7"/>
  <c r="B8" i="7"/>
  <c r="B9" i="7"/>
  <c r="B10" i="7"/>
  <c r="B11" i="7"/>
  <c r="B12" i="7"/>
  <c r="B13" i="7"/>
  <c r="B14" i="7"/>
  <c r="B15" i="7"/>
  <c r="B16" i="7"/>
  <c r="B17" i="7"/>
  <c r="F17" i="7" s="1"/>
  <c r="B18" i="7"/>
  <c r="F18" i="7" s="1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F58" i="7" s="1"/>
  <c r="B59" i="7"/>
  <c r="B60" i="7"/>
  <c r="B61" i="7"/>
  <c r="B62" i="7"/>
  <c r="B63" i="7"/>
  <c r="B64" i="7"/>
  <c r="B65" i="7"/>
  <c r="B66" i="7"/>
  <c r="B67" i="7"/>
  <c r="B68" i="7"/>
  <c r="B69" i="7"/>
  <c r="B70" i="7"/>
  <c r="F70" i="7" s="1"/>
  <c r="B71" i="7"/>
  <c r="B72" i="7"/>
  <c r="B73" i="7"/>
  <c r="B74" i="7"/>
  <c r="B75" i="7"/>
  <c r="B76" i="7"/>
  <c r="B77" i="7"/>
  <c r="B78" i="7"/>
  <c r="B79" i="7"/>
  <c r="B80" i="7"/>
  <c r="B81" i="7"/>
  <c r="B82" i="7"/>
  <c r="F82" i="7" s="1"/>
  <c r="B83" i="7"/>
  <c r="B84" i="7"/>
  <c r="B85" i="7"/>
  <c r="B86" i="7"/>
  <c r="B87" i="7"/>
  <c r="B88" i="7"/>
  <c r="B89" i="7"/>
  <c r="B90" i="7"/>
  <c r="B91" i="7"/>
  <c r="B92" i="7"/>
  <c r="B93" i="7"/>
  <c r="B94" i="7"/>
  <c r="F94" i="7" s="1"/>
  <c r="B95" i="7"/>
  <c r="B96" i="7"/>
  <c r="B97" i="7"/>
  <c r="B98" i="7"/>
  <c r="B99" i="7"/>
  <c r="B100" i="7"/>
  <c r="B101" i="7"/>
  <c r="B102" i="7"/>
  <c r="B103" i="7"/>
  <c r="B104" i="7"/>
  <c r="B105" i="7"/>
  <c r="B106" i="7"/>
  <c r="F106" i="7" s="1"/>
  <c r="B107" i="7"/>
  <c r="B108" i="7"/>
  <c r="B109" i="7"/>
  <c r="B110" i="7"/>
  <c r="B111" i="7"/>
  <c r="B112" i="7"/>
  <c r="B113" i="7"/>
  <c r="B114" i="7"/>
  <c r="B115" i="7"/>
  <c r="B116" i="7"/>
  <c r="B117" i="7"/>
  <c r="B118" i="7"/>
  <c r="F118" i="7" s="1"/>
  <c r="B119" i="7"/>
  <c r="B120" i="7"/>
  <c r="B121" i="7"/>
  <c r="B122" i="7"/>
  <c r="B123" i="7"/>
  <c r="B124" i="7"/>
  <c r="B125" i="7"/>
  <c r="B126" i="7"/>
  <c r="B127" i="7"/>
  <c r="B128" i="7"/>
  <c r="B129" i="7"/>
  <c r="B130" i="7"/>
  <c r="F130" i="7" s="1"/>
  <c r="B131" i="7"/>
  <c r="B132" i="7"/>
  <c r="B133" i="7"/>
  <c r="B134" i="7"/>
  <c r="B135" i="7"/>
  <c r="B136" i="7"/>
  <c r="B137" i="7"/>
  <c r="B138" i="7"/>
  <c r="B139" i="7"/>
  <c r="B140" i="7"/>
  <c r="B141" i="7"/>
  <c r="B142" i="7"/>
  <c r="F142" i="7" s="1"/>
  <c r="B143" i="7"/>
  <c r="B144" i="7"/>
  <c r="B145" i="7"/>
  <c r="B146" i="7"/>
  <c r="B147" i="7"/>
  <c r="B148" i="7"/>
  <c r="B149" i="7"/>
  <c r="B150" i="7"/>
  <c r="B151" i="7"/>
  <c r="B152" i="7"/>
  <c r="B153" i="7"/>
  <c r="B154" i="7"/>
  <c r="F154" i="7" s="1"/>
  <c r="B155" i="7"/>
  <c r="B156" i="7"/>
  <c r="B157" i="7"/>
  <c r="B158" i="7"/>
  <c r="B159" i="7"/>
  <c r="B160" i="7"/>
  <c r="B161" i="7"/>
  <c r="B162" i="7"/>
  <c r="B163" i="7"/>
  <c r="B164" i="7"/>
  <c r="B165" i="7"/>
  <c r="B166" i="7"/>
  <c r="F166" i="7" s="1"/>
  <c r="B167" i="7"/>
  <c r="B168" i="7"/>
  <c r="B169" i="7"/>
  <c r="B170" i="7"/>
  <c r="B171" i="7"/>
  <c r="B172" i="7"/>
  <c r="B173" i="7"/>
  <c r="B174" i="7"/>
  <c r="B175" i="7"/>
  <c r="B176" i="7"/>
  <c r="B177" i="7"/>
  <c r="B178" i="7"/>
  <c r="F178" i="7" s="1"/>
  <c r="B179" i="7"/>
  <c r="B180" i="7"/>
  <c r="B181" i="7"/>
  <c r="B182" i="7"/>
  <c r="B183" i="7"/>
  <c r="B184" i="7"/>
  <c r="B185" i="7"/>
  <c r="B186" i="7"/>
  <c r="B187" i="7"/>
  <c r="B188" i="7"/>
  <c r="B189" i="7"/>
  <c r="B190" i="7"/>
  <c r="F190" i="7" s="1"/>
  <c r="B191" i="7"/>
  <c r="F191" i="7" s="1"/>
  <c r="B192" i="7"/>
  <c r="B2" i="7"/>
  <c r="E24" i="8"/>
  <c r="G24" i="8" s="1"/>
  <c r="D24" i="7" s="1"/>
  <c r="E25" i="8"/>
  <c r="G25" i="8" s="1"/>
  <c r="D25" i="7" s="1"/>
  <c r="E30" i="8"/>
  <c r="G30" i="8" s="1"/>
  <c r="D30" i="7" s="1"/>
  <c r="E36" i="8"/>
  <c r="G36" i="8" s="1"/>
  <c r="D36" i="7" s="1"/>
  <c r="E42" i="8"/>
  <c r="G42" i="8" s="1"/>
  <c r="D42" i="7" s="1"/>
  <c r="E48" i="8"/>
  <c r="G48" i="8" s="1"/>
  <c r="D48" i="7" s="1"/>
  <c r="E49" i="8"/>
  <c r="G49" i="8" s="1"/>
  <c r="D49" i="7" s="1"/>
  <c r="E54" i="8"/>
  <c r="G54" i="8" s="1"/>
  <c r="D54" i="7" s="1"/>
  <c r="E60" i="8"/>
  <c r="G60" i="8" s="1"/>
  <c r="D60" i="7" s="1"/>
  <c r="E66" i="8"/>
  <c r="G66" i="8" s="1"/>
  <c r="D66" i="7" s="1"/>
  <c r="E78" i="8"/>
  <c r="G78" i="8" s="1"/>
  <c r="D78" i="7" s="1"/>
  <c r="E84" i="8"/>
  <c r="G84" i="8" s="1"/>
  <c r="D84" i="7" s="1"/>
  <c r="E87" i="8"/>
  <c r="G87" i="8" s="1"/>
  <c r="D87" i="7" s="1"/>
  <c r="E90" i="8"/>
  <c r="G90" i="8" s="1"/>
  <c r="D90" i="7" s="1"/>
  <c r="E102" i="8"/>
  <c r="G102" i="8" s="1"/>
  <c r="D102" i="7" s="1"/>
  <c r="E114" i="8"/>
  <c r="G114" i="8" s="1"/>
  <c r="D114" i="7" s="1"/>
  <c r="E120" i="8"/>
  <c r="G120" i="8" s="1"/>
  <c r="D120" i="7" s="1"/>
  <c r="E132" i="8"/>
  <c r="G132" i="8" s="1"/>
  <c r="D132" i="7" s="1"/>
  <c r="E138" i="8"/>
  <c r="G138" i="8" s="1"/>
  <c r="D138" i="7" s="1"/>
  <c r="E163" i="8"/>
  <c r="G163" i="8" s="1"/>
  <c r="D163" i="7" s="1"/>
  <c r="E168" i="8"/>
  <c r="G168" i="8" s="1"/>
  <c r="D168" i="7" s="1"/>
  <c r="E174" i="8"/>
  <c r="G174" i="8" s="1"/>
  <c r="D174" i="7" s="1"/>
  <c r="E186" i="8"/>
  <c r="G186" i="8" s="1"/>
  <c r="D186" i="7" s="1"/>
  <c r="E187" i="8"/>
  <c r="G187" i="8" s="1"/>
  <c r="D187" i="7" s="1"/>
  <c r="E193" i="8"/>
  <c r="G193" i="8" s="1"/>
  <c r="D193" i="7" s="1"/>
  <c r="E204" i="8"/>
  <c r="G204" i="8" s="1"/>
  <c r="D204" i="7" s="1"/>
  <c r="E210" i="8"/>
  <c r="G210" i="8" s="1"/>
  <c r="D210" i="7" s="1"/>
  <c r="E217" i="8"/>
  <c r="G217" i="8" s="1"/>
  <c r="D217" i="7" s="1"/>
  <c r="E240" i="8"/>
  <c r="G240" i="8" s="1"/>
  <c r="D240" i="7" s="1"/>
  <c r="E241" i="8"/>
  <c r="G241" i="8" s="1"/>
  <c r="D241" i="7" s="1"/>
  <c r="E258" i="8"/>
  <c r="G258" i="8" s="1"/>
  <c r="D258" i="7" s="1"/>
  <c r="E306" i="8"/>
  <c r="G306" i="8" s="1"/>
  <c r="D306" i="7" s="1"/>
  <c r="E313" i="8"/>
  <c r="G313" i="8" s="1"/>
  <c r="D313" i="7" s="1"/>
  <c r="E342" i="8"/>
  <c r="G342" i="8" s="1"/>
  <c r="D342" i="7" s="1"/>
  <c r="E354" i="8"/>
  <c r="G354" i="8" s="1"/>
  <c r="D354" i="7" s="1"/>
  <c r="E373" i="8"/>
  <c r="G373" i="8" s="1"/>
  <c r="D373" i="7" s="1"/>
  <c r="E397" i="8"/>
  <c r="G397" i="8" s="1"/>
  <c r="D397" i="7" s="1"/>
  <c r="E426" i="8"/>
  <c r="G426" i="8" s="1"/>
  <c r="D426" i="7" s="1"/>
  <c r="E529" i="8"/>
  <c r="G529" i="8" s="1"/>
  <c r="D529" i="7" s="1"/>
  <c r="E577" i="8"/>
  <c r="G577" i="8" s="1"/>
  <c r="D577" i="7" s="1"/>
  <c r="E595" i="8"/>
  <c r="G595" i="8" s="1"/>
  <c r="D595" i="7" s="1"/>
  <c r="E624" i="8"/>
  <c r="G624" i="8" s="1"/>
  <c r="D624" i="7" s="1"/>
  <c r="E649" i="8"/>
  <c r="G649" i="8" s="1"/>
  <c r="D649" i="7" s="1"/>
  <c r="E666" i="8"/>
  <c r="G666" i="8" s="1"/>
  <c r="D666" i="7" s="1"/>
  <c r="E696" i="8"/>
  <c r="G696" i="8" s="1"/>
  <c r="D696" i="7" s="1"/>
  <c r="C25" i="8" a="1"/>
  <c r="C25" i="8"/>
  <c r="C26" i="8" a="1"/>
  <c r="C26" i="8" s="1"/>
  <c r="C27" i="8" a="1"/>
  <c r="C27" i="8" s="1"/>
  <c r="C28" i="8" a="1"/>
  <c r="C28" i="8" s="1"/>
  <c r="C29" i="8" a="1"/>
  <c r="C29" i="8"/>
  <c r="C30" i="8" a="1"/>
  <c r="C30" i="8"/>
  <c r="C31" i="8" a="1"/>
  <c r="C31" i="8" s="1"/>
  <c r="C32" i="8" a="1"/>
  <c r="C32" i="8" s="1"/>
  <c r="C33" i="8" a="1"/>
  <c r="C33" i="8" s="1"/>
  <c r="C34" i="8" a="1"/>
  <c r="C34" i="8" s="1"/>
  <c r="C35" i="8" a="1"/>
  <c r="C35" i="8"/>
  <c r="C36" i="8" a="1"/>
  <c r="C36" i="8"/>
  <c r="C37" i="8" a="1"/>
  <c r="C37" i="8" s="1"/>
  <c r="C38" i="8" a="1"/>
  <c r="C38" i="8" s="1"/>
  <c r="C39" i="8" a="1"/>
  <c r="C39" i="8" s="1"/>
  <c r="C40" i="8" a="1"/>
  <c r="C40" i="8" s="1"/>
  <c r="C41" i="8" a="1"/>
  <c r="C41" i="8"/>
  <c r="C42" i="8" a="1"/>
  <c r="C42" i="8"/>
  <c r="C43" i="8" a="1"/>
  <c r="C43" i="8" s="1"/>
  <c r="C44" i="8" a="1"/>
  <c r="C44" i="8" s="1"/>
  <c r="C45" i="8" a="1"/>
  <c r="C45" i="8"/>
  <c r="C46" i="8" a="1"/>
  <c r="C46" i="8" s="1"/>
  <c r="C47" i="8" a="1"/>
  <c r="C47" i="8"/>
  <c r="C48" i="8" a="1"/>
  <c r="C48" i="8"/>
  <c r="C49" i="8" a="1"/>
  <c r="C49" i="8" s="1"/>
  <c r="C50" i="8" a="1"/>
  <c r="C50" i="8" s="1"/>
  <c r="C51" i="8" a="1"/>
  <c r="C51" i="8" s="1"/>
  <c r="C52" i="8" a="1"/>
  <c r="C52" i="8" s="1"/>
  <c r="C53" i="8" a="1"/>
  <c r="C53" i="8"/>
  <c r="C54" i="8" a="1"/>
  <c r="C54" i="8"/>
  <c r="C55" i="8" a="1"/>
  <c r="C55" i="8"/>
  <c r="C56" i="8" a="1"/>
  <c r="C56" i="8" s="1"/>
  <c r="C57" i="8" a="1"/>
  <c r="C57" i="8"/>
  <c r="C58" i="8" a="1"/>
  <c r="C58" i="8" s="1"/>
  <c r="C59" i="8" a="1"/>
  <c r="C59" i="8"/>
  <c r="C60" i="8" a="1"/>
  <c r="C60" i="8"/>
  <c r="C61" i="8" a="1"/>
  <c r="C61" i="8"/>
  <c r="C62" i="8" a="1"/>
  <c r="C62" i="8" s="1"/>
  <c r="C63" i="8" a="1"/>
  <c r="C63" i="8" s="1"/>
  <c r="C64" i="8" a="1"/>
  <c r="C64" i="8" s="1"/>
  <c r="C65" i="8" a="1"/>
  <c r="C65" i="8"/>
  <c r="C66" i="8" a="1"/>
  <c r="C66" i="8"/>
  <c r="C67" i="8" a="1"/>
  <c r="C67" i="8"/>
  <c r="C68" i="8" a="1"/>
  <c r="C68" i="8" s="1"/>
  <c r="C69" i="8" a="1"/>
  <c r="C69" i="8" s="1"/>
  <c r="C70" i="8" a="1"/>
  <c r="C70" i="8" s="1"/>
  <c r="C71" i="8" a="1"/>
  <c r="C71" i="8"/>
  <c r="C72" i="8" a="1"/>
  <c r="C72" i="8"/>
  <c r="C73" i="8" a="1"/>
  <c r="C73" i="8" s="1"/>
  <c r="C74" i="8" a="1"/>
  <c r="C74" i="8" s="1"/>
  <c r="C75" i="8" a="1"/>
  <c r="C75" i="8" s="1"/>
  <c r="C76" i="8" a="1"/>
  <c r="C76" i="8" s="1"/>
  <c r="C77" i="8" a="1"/>
  <c r="C77" i="8"/>
  <c r="C78" i="8" a="1"/>
  <c r="C78" i="8"/>
  <c r="C79" i="8" a="1"/>
  <c r="C79" i="8" s="1"/>
  <c r="C80" i="8" a="1"/>
  <c r="C80" i="8" s="1"/>
  <c r="C81" i="8" a="1"/>
  <c r="C81" i="8"/>
  <c r="C82" i="8" a="1"/>
  <c r="C82" i="8" s="1"/>
  <c r="C83" i="8" a="1"/>
  <c r="C83" i="8"/>
  <c r="C84" i="8" a="1"/>
  <c r="C84" i="8"/>
  <c r="C85" i="8" a="1"/>
  <c r="C85" i="8"/>
  <c r="C86" i="8" a="1"/>
  <c r="C86" i="8" s="1"/>
  <c r="C87" i="8" a="1"/>
  <c r="C87" i="8" s="1"/>
  <c r="C88" i="8" a="1"/>
  <c r="C88" i="8" s="1"/>
  <c r="C89" i="8" a="1"/>
  <c r="C89" i="8"/>
  <c r="C90" i="8" a="1"/>
  <c r="C90" i="8"/>
  <c r="C91" i="8" a="1"/>
  <c r="C91" i="8"/>
  <c r="C92" i="8" a="1"/>
  <c r="C92" i="8" s="1"/>
  <c r="C93" i="8" a="1"/>
  <c r="C93" i="8"/>
  <c r="C94" i="8" a="1"/>
  <c r="C94" i="8" s="1"/>
  <c r="C95" i="8" a="1"/>
  <c r="C95" i="8"/>
  <c r="C96" i="8" a="1"/>
  <c r="C96" i="8"/>
  <c r="C97" i="8" a="1"/>
  <c r="C97" i="8"/>
  <c r="C98" i="8" a="1"/>
  <c r="C98" i="8" s="1"/>
  <c r="C99" i="8" a="1"/>
  <c r="C99" i="8" s="1"/>
  <c r="C100" i="8" a="1"/>
  <c r="C100" i="8" s="1"/>
  <c r="C101" i="8" a="1"/>
  <c r="C101" i="8" s="1"/>
  <c r="C102" i="8" a="1"/>
  <c r="C102" i="8" s="1"/>
  <c r="C103" i="8" a="1"/>
  <c r="C103" i="8"/>
  <c r="C104" i="8" a="1"/>
  <c r="C104" i="8" s="1"/>
  <c r="C105" i="8" a="1"/>
  <c r="C105" i="8" s="1"/>
  <c r="C106" i="8" a="1"/>
  <c r="C106" i="8" s="1"/>
  <c r="C107" i="8" a="1"/>
  <c r="C107" i="8"/>
  <c r="C108" i="8" a="1"/>
  <c r="C108" i="8" s="1"/>
  <c r="C109" i="8" a="1"/>
  <c r="C109" i="8" s="1"/>
  <c r="C110" i="8" a="1"/>
  <c r="C110" i="8" s="1"/>
  <c r="C111" i="8" a="1"/>
  <c r="C111" i="8" s="1"/>
  <c r="C112" i="8" a="1"/>
  <c r="C112" i="8" s="1"/>
  <c r="C113" i="8" a="1"/>
  <c r="C113" i="8"/>
  <c r="C114" i="8" a="1"/>
  <c r="C114" i="8" s="1"/>
  <c r="C115" i="8" a="1"/>
  <c r="C115" i="8" s="1"/>
  <c r="C116" i="8" a="1"/>
  <c r="C116" i="8" s="1"/>
  <c r="C117" i="8" a="1"/>
  <c r="C117" i="8"/>
  <c r="C118" i="8" a="1"/>
  <c r="C118" i="8" s="1"/>
  <c r="C119" i="8" a="1"/>
  <c r="C119" i="8"/>
  <c r="C120" i="8" a="1"/>
  <c r="C120" i="8"/>
  <c r="C121" i="8" a="1"/>
  <c r="C121" i="8" s="1"/>
  <c r="C122" i="8" a="1"/>
  <c r="C122" i="8" s="1"/>
  <c r="C123" i="8" a="1"/>
  <c r="C123" i="8" s="1"/>
  <c r="C124" i="8" a="1"/>
  <c r="C124" i="8" s="1"/>
  <c r="C125" i="8" a="1"/>
  <c r="C125" i="8"/>
  <c r="C126" i="8" a="1"/>
  <c r="C126" i="8"/>
  <c r="C127" i="8" a="1"/>
  <c r="C127" i="8"/>
  <c r="C128" i="8" a="1"/>
  <c r="C128" i="8" s="1"/>
  <c r="C129" i="8" a="1"/>
  <c r="C129" i="8"/>
  <c r="C130" i="8" a="1"/>
  <c r="C130" i="8" s="1"/>
  <c r="C131" i="8" a="1"/>
  <c r="C131" i="8" s="1"/>
  <c r="C132" i="8" a="1"/>
  <c r="C132" i="8"/>
  <c r="C133" i="8" a="1"/>
  <c r="C133" i="8"/>
  <c r="C134" i="8" a="1"/>
  <c r="C134" i="8" s="1"/>
  <c r="C135" i="8" a="1"/>
  <c r="C135" i="8" s="1"/>
  <c r="C136" i="8" a="1"/>
  <c r="C136" i="8" s="1"/>
  <c r="C137" i="8" a="1"/>
  <c r="C137" i="8" s="1"/>
  <c r="C138" i="8" a="1"/>
  <c r="C138" i="8" s="1"/>
  <c r="C139" i="8" a="1"/>
  <c r="C139" i="8"/>
  <c r="C140" i="8" a="1"/>
  <c r="C140" i="8" s="1"/>
  <c r="C141" i="8" a="1"/>
  <c r="C141" i="8" s="1"/>
  <c r="C142" i="8" a="1"/>
  <c r="C142" i="8" s="1"/>
  <c r="C143" i="8" a="1"/>
  <c r="C143" i="8" s="1"/>
  <c r="C144" i="8" a="1"/>
  <c r="C144" i="8" s="1"/>
  <c r="C145" i="8" a="1"/>
  <c r="C145" i="8" s="1"/>
  <c r="C146" i="8" a="1"/>
  <c r="C146" i="8" s="1"/>
  <c r="C147" i="8" a="1"/>
  <c r="C147" i="8" s="1"/>
  <c r="C148" i="8" a="1"/>
  <c r="C148" i="8" s="1"/>
  <c r="C149" i="8" a="1"/>
  <c r="C149" i="8"/>
  <c r="C150" i="8" a="1"/>
  <c r="C150" i="8" s="1"/>
  <c r="C151" i="8" a="1"/>
  <c r="C151" i="8" s="1"/>
  <c r="C152" i="8" a="1"/>
  <c r="C152" i="8" s="1"/>
  <c r="C153" i="8" a="1"/>
  <c r="C153" i="8"/>
  <c r="C154" i="8" a="1"/>
  <c r="C154" i="8" s="1"/>
  <c r="C155" i="8" a="1"/>
  <c r="C155" i="8"/>
  <c r="C156" i="8" a="1"/>
  <c r="C156" i="8"/>
  <c r="C157" i="8" a="1"/>
  <c r="C157" i="8" s="1"/>
  <c r="C158" i="8" a="1"/>
  <c r="C158" i="8" s="1"/>
  <c r="C159" i="8" a="1"/>
  <c r="C159" i="8" s="1"/>
  <c r="C160" i="8" a="1"/>
  <c r="C160" i="8" s="1"/>
  <c r="C161" i="8" a="1"/>
  <c r="C161" i="8"/>
  <c r="C162" i="8" a="1"/>
  <c r="C162" i="8"/>
  <c r="C163" i="8" a="1"/>
  <c r="C163" i="8"/>
  <c r="C164" i="8" a="1"/>
  <c r="C164" i="8" s="1"/>
  <c r="C165" i="8" a="1"/>
  <c r="C165" i="8"/>
  <c r="C166" i="8" a="1"/>
  <c r="C166" i="8" s="1"/>
  <c r="C167" i="8" a="1"/>
  <c r="C167" i="8" s="1"/>
  <c r="C168" i="8" a="1"/>
  <c r="C168" i="8"/>
  <c r="C169" i="8" a="1"/>
  <c r="C169" i="8"/>
  <c r="C170" i="8" a="1"/>
  <c r="C170" i="8" s="1"/>
  <c r="C171" i="8" a="1"/>
  <c r="C171" i="8" s="1"/>
  <c r="C172" i="8" a="1"/>
  <c r="C172" i="8" s="1"/>
  <c r="C173" i="8" a="1"/>
  <c r="C173" i="8" s="1"/>
  <c r="C174" i="8" a="1"/>
  <c r="C174" i="8" s="1"/>
  <c r="C175" i="8" a="1"/>
  <c r="C175" i="8"/>
  <c r="C176" i="8" a="1"/>
  <c r="C176" i="8" s="1"/>
  <c r="C177" i="8" a="1"/>
  <c r="C177" i="8" s="1"/>
  <c r="C178" i="8" a="1"/>
  <c r="C178" i="8" s="1"/>
  <c r="C179" i="8" a="1"/>
  <c r="C179" i="8" s="1"/>
  <c r="C180" i="8" a="1"/>
  <c r="C180" i="8" s="1"/>
  <c r="C181" i="8" a="1"/>
  <c r="C181" i="8" s="1"/>
  <c r="C182" i="8" a="1"/>
  <c r="C182" i="8" s="1"/>
  <c r="C183" i="8" a="1"/>
  <c r="C183" i="8" s="1"/>
  <c r="C184" i="8" a="1"/>
  <c r="C184" i="8" s="1"/>
  <c r="C185" i="8" a="1"/>
  <c r="C185" i="8"/>
  <c r="C186" i="8" a="1"/>
  <c r="C186" i="8" s="1"/>
  <c r="C187" i="8" a="1"/>
  <c r="C187" i="8" s="1"/>
  <c r="C188" i="8" a="1"/>
  <c r="C188" i="8" s="1"/>
  <c r="C189" i="8" a="1"/>
  <c r="C189" i="8"/>
  <c r="C190" i="8" a="1"/>
  <c r="C190" i="8" s="1"/>
  <c r="C191" i="8" a="1"/>
  <c r="C191" i="8"/>
  <c r="C192" i="8" a="1"/>
  <c r="C192" i="8"/>
  <c r="C193" i="8" a="1"/>
  <c r="C193" i="8" s="1"/>
  <c r="C194" i="8" a="1"/>
  <c r="C194" i="8" s="1"/>
  <c r="C195" i="8" a="1"/>
  <c r="C195" i="8" s="1"/>
  <c r="C196" i="8" a="1"/>
  <c r="C196" i="8" s="1"/>
  <c r="C197" i="8" a="1"/>
  <c r="C197" i="8"/>
  <c r="C198" i="8" a="1"/>
  <c r="C198" i="8"/>
  <c r="C199" i="8" a="1"/>
  <c r="C199" i="8"/>
  <c r="C200" i="8" a="1"/>
  <c r="C200" i="8" s="1"/>
  <c r="C201" i="8" a="1"/>
  <c r="C201" i="8"/>
  <c r="C202" i="8" a="1"/>
  <c r="C202" i="8" s="1"/>
  <c r="C203" i="8" a="1"/>
  <c r="C203" i="8" s="1"/>
  <c r="C204" i="8" a="1"/>
  <c r="C204" i="8"/>
  <c r="C205" i="8" a="1"/>
  <c r="C205" i="8"/>
  <c r="C206" i="8" a="1"/>
  <c r="C206" i="8" s="1"/>
  <c r="C207" i="8" a="1"/>
  <c r="C207" i="8" s="1"/>
  <c r="C208" i="8" a="1"/>
  <c r="C208" i="8" s="1"/>
  <c r="C209" i="8" a="1"/>
  <c r="C209" i="8" s="1"/>
  <c r="C210" i="8" a="1"/>
  <c r="C210" i="8" s="1"/>
  <c r="C211" i="8" a="1"/>
  <c r="C211" i="8"/>
  <c r="C212" i="8" a="1"/>
  <c r="C212" i="8" s="1"/>
  <c r="C213" i="8" a="1"/>
  <c r="C213" i="8" s="1"/>
  <c r="C214" i="8" a="1"/>
  <c r="C214" i="8" s="1"/>
  <c r="C215" i="8" a="1"/>
  <c r="C215" i="8" s="1"/>
  <c r="C216" i="8" a="1"/>
  <c r="C216" i="8" s="1"/>
  <c r="C217" i="8" a="1"/>
  <c r="C217" i="8" s="1"/>
  <c r="C218" i="8" a="1"/>
  <c r="C218" i="8" s="1"/>
  <c r="C219" i="8" a="1"/>
  <c r="C219" i="8" s="1"/>
  <c r="C220" i="8" a="1"/>
  <c r="C220" i="8" s="1"/>
  <c r="C221" i="8" a="1"/>
  <c r="C221" i="8"/>
  <c r="C222" i="8" a="1"/>
  <c r="C222" i="8" s="1"/>
  <c r="C223" i="8" a="1"/>
  <c r="C223" i="8" s="1"/>
  <c r="C224" i="8" a="1"/>
  <c r="C224" i="8" s="1"/>
  <c r="C225" i="8" a="1"/>
  <c r="C225" i="8"/>
  <c r="C226" i="8" a="1"/>
  <c r="C226" i="8" s="1"/>
  <c r="C227" i="8" a="1"/>
  <c r="C227" i="8"/>
  <c r="C228" i="8" a="1"/>
  <c r="C228" i="8"/>
  <c r="C229" i="8" a="1"/>
  <c r="C229" i="8" s="1"/>
  <c r="C230" i="8" a="1"/>
  <c r="C230" i="8" s="1"/>
  <c r="C231" i="8" a="1"/>
  <c r="C231" i="8" s="1"/>
  <c r="C232" i="8" a="1"/>
  <c r="C232" i="8" s="1"/>
  <c r="C233" i="8" a="1"/>
  <c r="C233" i="8"/>
  <c r="C234" i="8" a="1"/>
  <c r="C234" i="8"/>
  <c r="C235" i="8" a="1"/>
  <c r="C235" i="8"/>
  <c r="C236" i="8" a="1"/>
  <c r="C236" i="8" s="1"/>
  <c r="C237" i="8" a="1"/>
  <c r="C237" i="8"/>
  <c r="C238" i="8" a="1"/>
  <c r="C238" i="8" s="1"/>
  <c r="C239" i="8" a="1"/>
  <c r="C239" i="8" s="1"/>
  <c r="C240" i="8" a="1"/>
  <c r="C240" i="8"/>
  <c r="C241" i="8" a="1"/>
  <c r="C241" i="8"/>
  <c r="C242" i="8" a="1"/>
  <c r="C242" i="8" s="1"/>
  <c r="C243" i="8" a="1"/>
  <c r="C243" i="8" s="1"/>
  <c r="C244" i="8" a="1"/>
  <c r="C244" i="8" s="1"/>
  <c r="C245" i="8" a="1"/>
  <c r="C245" i="8" s="1"/>
  <c r="C246" i="8" a="1"/>
  <c r="C246" i="8" s="1"/>
  <c r="C247" i="8" a="1"/>
  <c r="C247" i="8"/>
  <c r="C248" i="8" a="1"/>
  <c r="C248" i="8" s="1"/>
  <c r="C249" i="8" a="1"/>
  <c r="C249" i="8" s="1"/>
  <c r="C250" i="8" a="1"/>
  <c r="C250" i="8" s="1"/>
  <c r="C251" i="8" a="1"/>
  <c r="C251" i="8" s="1"/>
  <c r="C252" i="8" a="1"/>
  <c r="C252" i="8" s="1"/>
  <c r="C253" i="8" a="1"/>
  <c r="C253" i="8" s="1"/>
  <c r="C254" i="8" a="1"/>
  <c r="C254" i="8" s="1"/>
  <c r="C255" i="8" a="1"/>
  <c r="C255" i="8" s="1"/>
  <c r="C256" i="8" a="1"/>
  <c r="C256" i="8" s="1"/>
  <c r="C257" i="8" a="1"/>
  <c r="C257" i="8"/>
  <c r="C258" i="8" a="1"/>
  <c r="C258" i="8" s="1"/>
  <c r="C259" i="8" a="1"/>
  <c r="C259" i="8" s="1"/>
  <c r="C260" i="8" a="1"/>
  <c r="C260" i="8" s="1"/>
  <c r="C261" i="8" a="1"/>
  <c r="C261" i="8"/>
  <c r="C262" i="8" a="1"/>
  <c r="C262" i="8" s="1"/>
  <c r="C263" i="8" a="1"/>
  <c r="C263" i="8"/>
  <c r="C264" i="8" a="1"/>
  <c r="C264" i="8"/>
  <c r="C265" i="8" a="1"/>
  <c r="C265" i="8" s="1"/>
  <c r="C266" i="8" a="1"/>
  <c r="C266" i="8" s="1"/>
  <c r="C267" i="8" a="1"/>
  <c r="C267" i="8" s="1"/>
  <c r="C268" i="8" a="1"/>
  <c r="C268" i="8" s="1"/>
  <c r="C269" i="8" a="1"/>
  <c r="C269" i="8"/>
  <c r="C270" i="8" a="1"/>
  <c r="C270" i="8"/>
  <c r="C271" i="8" a="1"/>
  <c r="C271" i="8"/>
  <c r="C272" i="8" a="1"/>
  <c r="C272" i="8" s="1"/>
  <c r="C273" i="8" a="1"/>
  <c r="C273" i="8"/>
  <c r="C274" i="8" a="1"/>
  <c r="C274" i="8" s="1"/>
  <c r="C275" i="8" a="1"/>
  <c r="C275" i="8" s="1"/>
  <c r="C276" i="8" a="1"/>
  <c r="C276" i="8"/>
  <c r="C277" i="8" a="1"/>
  <c r="C277" i="8"/>
  <c r="C278" i="8" a="1"/>
  <c r="C278" i="8" s="1"/>
  <c r="C279" i="8" a="1"/>
  <c r="C279" i="8" s="1"/>
  <c r="C280" i="8" a="1"/>
  <c r="C280" i="8" s="1"/>
  <c r="C281" i="8" a="1"/>
  <c r="C281" i="8" s="1"/>
  <c r="C282" i="8" a="1"/>
  <c r="C282" i="8" s="1"/>
  <c r="C283" i="8" a="1"/>
  <c r="C283" i="8"/>
  <c r="C284" i="8" a="1"/>
  <c r="C284" i="8" s="1"/>
  <c r="C285" i="8" a="1"/>
  <c r="C285" i="8" s="1"/>
  <c r="C286" i="8" a="1"/>
  <c r="C286" i="8" s="1"/>
  <c r="C287" i="8" a="1"/>
  <c r="C287" i="8" s="1"/>
  <c r="C288" i="8" a="1"/>
  <c r="C288" i="8" s="1"/>
  <c r="C289" i="8" a="1"/>
  <c r="C289" i="8" s="1"/>
  <c r="C290" i="8" a="1"/>
  <c r="C290" i="8" s="1"/>
  <c r="C291" i="8" a="1"/>
  <c r="C291" i="8" s="1"/>
  <c r="C292" i="8" a="1"/>
  <c r="C292" i="8" s="1"/>
  <c r="C293" i="8" a="1"/>
  <c r="C293" i="8"/>
  <c r="C294" i="8" a="1"/>
  <c r="C294" i="8" s="1"/>
  <c r="C295" i="8" a="1"/>
  <c r="C295" i="8" s="1"/>
  <c r="C296" i="8" a="1"/>
  <c r="C296" i="8" s="1"/>
  <c r="C297" i="8" a="1"/>
  <c r="C297" i="8"/>
  <c r="C298" i="8" a="1"/>
  <c r="C298" i="8" s="1"/>
  <c r="C299" i="8" a="1"/>
  <c r="C299" i="8"/>
  <c r="C300" i="8" a="1"/>
  <c r="C300" i="8"/>
  <c r="C301" i="8" a="1"/>
  <c r="C301" i="8" s="1"/>
  <c r="C302" i="8" a="1"/>
  <c r="C302" i="8" s="1"/>
  <c r="C303" i="8" a="1"/>
  <c r="C303" i="8" s="1"/>
  <c r="C304" i="8" a="1"/>
  <c r="C304" i="8" s="1"/>
  <c r="C305" i="8" a="1"/>
  <c r="C305" i="8"/>
  <c r="C306" i="8" a="1"/>
  <c r="C306" i="8"/>
  <c r="C307" i="8" a="1"/>
  <c r="C307" i="8"/>
  <c r="C308" i="8" a="1"/>
  <c r="C308" i="8" s="1"/>
  <c r="C309" i="8" a="1"/>
  <c r="C309" i="8"/>
  <c r="C310" i="8" a="1"/>
  <c r="C310" i="8" s="1"/>
  <c r="C311" i="8" a="1"/>
  <c r="C311" i="8" s="1"/>
  <c r="C312" i="8" a="1"/>
  <c r="C312" i="8"/>
  <c r="C313" i="8" a="1"/>
  <c r="C313" i="8" s="1"/>
  <c r="C314" i="8" a="1"/>
  <c r="C314" i="8" s="1"/>
  <c r="C315" i="8" a="1"/>
  <c r="C315" i="8" s="1"/>
  <c r="C316" i="8" a="1"/>
  <c r="C316" i="8" s="1"/>
  <c r="C317" i="8" a="1"/>
  <c r="C317" i="8" s="1"/>
  <c r="C318" i="8" a="1"/>
  <c r="C318" i="8" s="1"/>
  <c r="C319" i="8" a="1"/>
  <c r="C319" i="8"/>
  <c r="C320" i="8" a="1"/>
  <c r="C320" i="8" s="1"/>
  <c r="C321" i="8" a="1"/>
  <c r="C321" i="8" s="1"/>
  <c r="C322" i="8" a="1"/>
  <c r="C322" i="8" s="1"/>
  <c r="C323" i="8" a="1"/>
  <c r="C323" i="8" s="1"/>
  <c r="C324" i="8" a="1"/>
  <c r="C324" i="8" s="1"/>
  <c r="C325" i="8" a="1"/>
  <c r="C325" i="8" s="1"/>
  <c r="C326" i="8" a="1"/>
  <c r="C326" i="8" s="1"/>
  <c r="C327" i="8" a="1"/>
  <c r="C327" i="8" s="1"/>
  <c r="C328" i="8" a="1"/>
  <c r="C328" i="8" s="1"/>
  <c r="C329" i="8" a="1"/>
  <c r="C329" i="8"/>
  <c r="C330" i="8" a="1"/>
  <c r="C330" i="8" s="1"/>
  <c r="C331" i="8" a="1"/>
  <c r="C331" i="8" s="1"/>
  <c r="C332" i="8" a="1"/>
  <c r="C332" i="8" s="1"/>
  <c r="C333" i="8" a="1"/>
  <c r="C333" i="8"/>
  <c r="C334" i="8" a="1"/>
  <c r="C334" i="8" s="1"/>
  <c r="C335" i="8" a="1"/>
  <c r="C335" i="8" s="1"/>
  <c r="C336" i="8" a="1"/>
  <c r="C336" i="8"/>
  <c r="C337" i="8" a="1"/>
  <c r="C337" i="8" s="1"/>
  <c r="C338" i="8" a="1"/>
  <c r="C338" i="8" s="1"/>
  <c r="C339" i="8" a="1"/>
  <c r="C339" i="8" s="1"/>
  <c r="C340" i="8" a="1"/>
  <c r="C340" i="8" s="1"/>
  <c r="C341" i="8" a="1"/>
  <c r="C341" i="8"/>
  <c r="C342" i="8" a="1"/>
  <c r="C342" i="8" s="1"/>
  <c r="C343" i="8" a="1"/>
  <c r="C343" i="8"/>
  <c r="C344" i="8" a="1"/>
  <c r="C344" i="8" s="1"/>
  <c r="C345" i="8" a="1"/>
  <c r="C345" i="8"/>
  <c r="C346" i="8" a="1"/>
  <c r="C346" i="8" s="1"/>
  <c r="C347" i="8" a="1"/>
  <c r="C347" i="8" s="1"/>
  <c r="C348" i="8" a="1"/>
  <c r="C348" i="8"/>
  <c r="C349" i="8" a="1"/>
  <c r="C349" i="8" s="1"/>
  <c r="C350" i="8" a="1"/>
  <c r="C350" i="8" s="1"/>
  <c r="C351" i="8" a="1"/>
  <c r="C351" i="8" s="1"/>
  <c r="C352" i="8" a="1"/>
  <c r="C352" i="8" s="1"/>
  <c r="C353" i="8" a="1"/>
  <c r="C353" i="8" s="1"/>
  <c r="C354" i="8" a="1"/>
  <c r="C354" i="8" s="1"/>
  <c r="C355" i="8" a="1"/>
  <c r="C355" i="8"/>
  <c r="C356" i="8" a="1"/>
  <c r="C356" i="8" s="1"/>
  <c r="C357" i="8" a="1"/>
  <c r="C357" i="8" s="1"/>
  <c r="C358" i="8" a="1"/>
  <c r="C358" i="8" s="1"/>
  <c r="C359" i="8" a="1"/>
  <c r="C359" i="8" s="1"/>
  <c r="C360" i="8" a="1"/>
  <c r="C360" i="8" s="1"/>
  <c r="C361" i="8" a="1"/>
  <c r="C361" i="8" s="1"/>
  <c r="C362" i="8" a="1"/>
  <c r="C362" i="8" s="1"/>
  <c r="C363" i="8" a="1"/>
  <c r="C363" i="8" s="1"/>
  <c r="C364" i="8" a="1"/>
  <c r="C364" i="8" s="1"/>
  <c r="C365" i="8" a="1"/>
  <c r="C365" i="8"/>
  <c r="C366" i="8" a="1"/>
  <c r="C366" i="8" s="1"/>
  <c r="C367" i="8" a="1"/>
  <c r="C367" i="8" s="1"/>
  <c r="C368" i="8" a="1"/>
  <c r="C368" i="8" s="1"/>
  <c r="C369" i="8" a="1"/>
  <c r="C369" i="8"/>
  <c r="C370" i="8" a="1"/>
  <c r="C370" i="8" s="1"/>
  <c r="C371" i="8" a="1"/>
  <c r="C371" i="8" s="1"/>
  <c r="C372" i="8" a="1"/>
  <c r="C372" i="8"/>
  <c r="C373" i="8" a="1"/>
  <c r="C373" i="8" s="1"/>
  <c r="C374" i="8" a="1"/>
  <c r="C374" i="8" s="1"/>
  <c r="C375" i="8" a="1"/>
  <c r="C375" i="8"/>
  <c r="C376" i="8" a="1"/>
  <c r="C376" i="8" s="1"/>
  <c r="C377" i="8" a="1"/>
  <c r="C377" i="8"/>
  <c r="C378" i="8" a="1"/>
  <c r="C378" i="8" s="1"/>
  <c r="C379" i="8" a="1"/>
  <c r="C379" i="8"/>
  <c r="C380" i="8" a="1"/>
  <c r="C380" i="8" s="1"/>
  <c r="C381" i="8" a="1"/>
  <c r="C381" i="8"/>
  <c r="C382" i="8" a="1"/>
  <c r="C382" i="8" s="1"/>
  <c r="C383" i="8" a="1"/>
  <c r="C383" i="8" s="1"/>
  <c r="C384" i="8" a="1"/>
  <c r="C384" i="8"/>
  <c r="C385" i="8" a="1"/>
  <c r="C385" i="8" s="1"/>
  <c r="C386" i="8" a="1"/>
  <c r="C386" i="8" s="1"/>
  <c r="C387" i="8" a="1"/>
  <c r="C387" i="8" s="1"/>
  <c r="C388" i="8" a="1"/>
  <c r="C388" i="8" s="1"/>
  <c r="C389" i="8" a="1"/>
  <c r="C389" i="8" s="1"/>
  <c r="C390" i="8" a="1"/>
  <c r="C390" i="8" s="1"/>
  <c r="C391" i="8" a="1"/>
  <c r="C391" i="8"/>
  <c r="C392" i="8" a="1"/>
  <c r="C392" i="8" s="1"/>
  <c r="C393" i="8" a="1"/>
  <c r="C393" i="8" s="1"/>
  <c r="C394" i="8" a="1"/>
  <c r="C394" i="8" s="1"/>
  <c r="C395" i="8" a="1"/>
  <c r="C395" i="8"/>
  <c r="C396" i="8" a="1"/>
  <c r="C396" i="8"/>
  <c r="C397" i="8" a="1"/>
  <c r="C397" i="8"/>
  <c r="C398" i="8" a="1"/>
  <c r="C398" i="8" s="1"/>
  <c r="C399" i="8" a="1"/>
  <c r="C399" i="8" s="1"/>
  <c r="C400" i="8" a="1"/>
  <c r="C400" i="8"/>
  <c r="C401" i="8" a="1"/>
  <c r="C401" i="8" s="1"/>
  <c r="C402" i="8" a="1"/>
  <c r="C402" i="8" s="1"/>
  <c r="C403" i="8" a="1"/>
  <c r="C403" i="8" s="1"/>
  <c r="C404" i="8" a="1"/>
  <c r="C404" i="8" s="1"/>
  <c r="C405" i="8" a="1"/>
  <c r="C405" i="8" s="1"/>
  <c r="C406" i="8" a="1"/>
  <c r="C406" i="8" s="1"/>
  <c r="C407" i="8" a="1"/>
  <c r="C407" i="8" s="1"/>
  <c r="C408" i="8" a="1"/>
  <c r="C408" i="8"/>
  <c r="C409" i="8" a="1"/>
  <c r="C409" i="8"/>
  <c r="C410" i="8" a="1"/>
  <c r="C410" i="8" s="1"/>
  <c r="C411" i="8" a="1"/>
  <c r="C411" i="8"/>
  <c r="C412" i="8" a="1"/>
  <c r="C412" i="8" s="1"/>
  <c r="C413" i="8" a="1"/>
  <c r="C413" i="8"/>
  <c r="C414" i="8" a="1"/>
  <c r="C414" i="8" s="1"/>
  <c r="C415" i="8" a="1"/>
  <c r="C415" i="8" s="1"/>
  <c r="C416" i="8" a="1"/>
  <c r="C416" i="8" s="1"/>
  <c r="C417" i="8" a="1"/>
  <c r="C417" i="8"/>
  <c r="C418" i="8" a="1"/>
  <c r="C418" i="8" s="1"/>
  <c r="C419" i="8" a="1"/>
  <c r="C419" i="8" s="1"/>
  <c r="C420" i="8" a="1"/>
  <c r="C420" i="8" s="1"/>
  <c r="C421" i="8" a="1"/>
  <c r="C421" i="8"/>
  <c r="C422" i="8" a="1"/>
  <c r="C422" i="8" s="1"/>
  <c r="C423" i="8" a="1"/>
  <c r="C423" i="8" s="1"/>
  <c r="C424" i="8" a="1"/>
  <c r="C424" i="8"/>
  <c r="C425" i="8" a="1"/>
  <c r="C425" i="8" s="1"/>
  <c r="C426" i="8" a="1"/>
  <c r="C426" i="8"/>
  <c r="C427" i="8" a="1"/>
  <c r="C427" i="8" s="1"/>
  <c r="C428" i="8" a="1"/>
  <c r="C428" i="8" s="1"/>
  <c r="C429" i="8" a="1"/>
  <c r="C429" i="8"/>
  <c r="C430" i="8" a="1"/>
  <c r="C430" i="8"/>
  <c r="C431" i="8" a="1"/>
  <c r="C431" i="8" s="1"/>
  <c r="C432" i="8" a="1"/>
  <c r="C432" i="8" s="1"/>
  <c r="C433" i="8" a="1"/>
  <c r="C433" i="8" s="1"/>
  <c r="C434" i="8" a="1"/>
  <c r="C434" i="8" s="1"/>
  <c r="C435" i="8" a="1"/>
  <c r="C435" i="8" s="1"/>
  <c r="C436" i="8" a="1"/>
  <c r="C436" i="8" s="1"/>
  <c r="C437" i="8" a="1"/>
  <c r="C437" i="8"/>
  <c r="C438" i="8" a="1"/>
  <c r="C438" i="8" s="1"/>
  <c r="C439" i="8" a="1"/>
  <c r="C439" i="8"/>
  <c r="C440" i="8" a="1"/>
  <c r="C440" i="8" s="1"/>
  <c r="C441" i="8" a="1"/>
  <c r="C441" i="8"/>
  <c r="C442" i="8" a="1"/>
  <c r="C442" i="8"/>
  <c r="C443" i="8" a="1"/>
  <c r="C443" i="8"/>
  <c r="C444" i="8" a="1"/>
  <c r="C444" i="8" s="1"/>
  <c r="C445" i="8" a="1"/>
  <c r="C445" i="8" s="1"/>
  <c r="C446" i="8" a="1"/>
  <c r="C446" i="8" s="1"/>
  <c r="C447" i="8" a="1"/>
  <c r="C447" i="8" s="1"/>
  <c r="C448" i="8" a="1"/>
  <c r="C448" i="8" s="1"/>
  <c r="C449" i="8" a="1"/>
  <c r="C449" i="8" s="1"/>
  <c r="C450" i="8" a="1"/>
  <c r="C450" i="8"/>
  <c r="C451" i="8" a="1"/>
  <c r="C451" i="8" s="1"/>
  <c r="C452" i="8" a="1"/>
  <c r="C452" i="8" s="1"/>
  <c r="C453" i="8" a="1"/>
  <c r="C453" i="8" s="1"/>
  <c r="C454" i="8" a="1"/>
  <c r="C454" i="8"/>
  <c r="C455" i="8" a="1"/>
  <c r="C455" i="8"/>
  <c r="C456" i="8" a="1"/>
  <c r="C456" i="8"/>
  <c r="C457" i="8" a="1"/>
  <c r="C457" i="8" s="1"/>
  <c r="C458" i="8" a="1"/>
  <c r="C458" i="8" s="1"/>
  <c r="C459" i="8" a="1"/>
  <c r="C459" i="8"/>
  <c r="C460" i="8" a="1"/>
  <c r="C460" i="8" s="1"/>
  <c r="C461" i="8" a="1"/>
  <c r="C461" i="8" s="1"/>
  <c r="C462" i="8" a="1"/>
  <c r="C462" i="8" s="1"/>
  <c r="C463" i="8" a="1"/>
  <c r="C463" i="8"/>
  <c r="C464" i="8" a="1"/>
  <c r="C464" i="8" s="1"/>
  <c r="C465" i="8" a="1"/>
  <c r="C465" i="8" s="1"/>
  <c r="C466" i="8" a="1"/>
  <c r="C466" i="8" s="1"/>
  <c r="C467" i="8" a="1"/>
  <c r="C467" i="8"/>
  <c r="C468" i="8" a="1"/>
  <c r="C468" i="8"/>
  <c r="C469" i="8" a="1"/>
  <c r="C469" i="8"/>
  <c r="C470" i="8" a="1"/>
  <c r="C470" i="8" s="1"/>
  <c r="C471" i="8" a="1"/>
  <c r="C471" i="8" s="1"/>
  <c r="C472" i="8" a="1"/>
  <c r="C472" i="8"/>
  <c r="C473" i="8" a="1"/>
  <c r="C473" i="8" s="1"/>
  <c r="C474" i="8" a="1"/>
  <c r="C474" i="8" s="1"/>
  <c r="C475" i="8" a="1"/>
  <c r="C475" i="8" s="1"/>
  <c r="C476" i="8" a="1"/>
  <c r="C476" i="8" s="1"/>
  <c r="C477" i="8" a="1"/>
  <c r="C477" i="8" s="1"/>
  <c r="C478" i="8" a="1"/>
  <c r="C478" i="8" s="1"/>
  <c r="C479" i="8" a="1"/>
  <c r="C479" i="8" s="1"/>
  <c r="C480" i="8" a="1"/>
  <c r="C480" i="8"/>
  <c r="C481" i="8" a="1"/>
  <c r="C481" i="8"/>
  <c r="C482" i="8" a="1"/>
  <c r="C482" i="8" s="1"/>
  <c r="C483" i="8" a="1"/>
  <c r="C483" i="8"/>
  <c r="C484" i="8" a="1"/>
  <c r="C484" i="8" s="1"/>
  <c r="C485" i="8" a="1"/>
  <c r="C485" i="8"/>
  <c r="C486" i="8" a="1"/>
  <c r="C486" i="8" s="1"/>
  <c r="C487" i="8" a="1"/>
  <c r="C487" i="8" s="1"/>
  <c r="C488" i="8" a="1"/>
  <c r="C488" i="8" s="1"/>
  <c r="C489" i="8" a="1"/>
  <c r="C489" i="8"/>
  <c r="C490" i="8" a="1"/>
  <c r="C490" i="8" s="1"/>
  <c r="C491" i="8" a="1"/>
  <c r="C491" i="8" s="1"/>
  <c r="C492" i="8" a="1"/>
  <c r="C492" i="8" s="1"/>
  <c r="C493" i="8" a="1"/>
  <c r="C493" i="8"/>
  <c r="C494" i="8" a="1"/>
  <c r="C494" i="8" s="1"/>
  <c r="C495" i="8" a="1"/>
  <c r="C495" i="8" s="1"/>
  <c r="C496" i="8" a="1"/>
  <c r="C496" i="8"/>
  <c r="C497" i="8" a="1"/>
  <c r="C497" i="8" s="1"/>
  <c r="C498" i="8" a="1"/>
  <c r="C498" i="8"/>
  <c r="C499" i="8" a="1"/>
  <c r="C499" i="8" s="1"/>
  <c r="C500" i="8" a="1"/>
  <c r="C500" i="8" s="1"/>
  <c r="C501" i="8" a="1"/>
  <c r="C501" i="8"/>
  <c r="C502" i="8" a="1"/>
  <c r="C502" i="8"/>
  <c r="C503" i="8" a="1"/>
  <c r="C503" i="8" s="1"/>
  <c r="C504" i="8" a="1"/>
  <c r="C504" i="8" s="1"/>
  <c r="C505" i="8" a="1"/>
  <c r="C505" i="8" s="1"/>
  <c r="C506" i="8" a="1"/>
  <c r="C506" i="8" s="1"/>
  <c r="C507" i="8" a="1"/>
  <c r="C507" i="8" s="1"/>
  <c r="C508" i="8" a="1"/>
  <c r="C508" i="8" s="1"/>
  <c r="C509" i="8" a="1"/>
  <c r="C509" i="8"/>
  <c r="C510" i="8" a="1"/>
  <c r="C510" i="8" s="1"/>
  <c r="C511" i="8" a="1"/>
  <c r="C511" i="8"/>
  <c r="C512" i="8" a="1"/>
  <c r="C512" i="8" s="1"/>
  <c r="C513" i="8" a="1"/>
  <c r="C513" i="8"/>
  <c r="C514" i="8" a="1"/>
  <c r="C514" i="8"/>
  <c r="C515" i="8" a="1"/>
  <c r="C515" i="8"/>
  <c r="C516" i="8" a="1"/>
  <c r="C516" i="8" s="1"/>
  <c r="C517" i="8" a="1"/>
  <c r="C517" i="8" s="1"/>
  <c r="C518" i="8" a="1"/>
  <c r="C518" i="8" s="1"/>
  <c r="C519" i="8" a="1"/>
  <c r="C519" i="8" s="1"/>
  <c r="C520" i="8" a="1"/>
  <c r="C520" i="8" s="1"/>
  <c r="C521" i="8" a="1"/>
  <c r="C521" i="8" s="1"/>
  <c r="C522" i="8" a="1"/>
  <c r="C522" i="8"/>
  <c r="C523" i="8" a="1"/>
  <c r="C523" i="8" s="1"/>
  <c r="C524" i="8" a="1"/>
  <c r="C524" i="8" s="1"/>
  <c r="C525" i="8" a="1"/>
  <c r="C525" i="8" s="1"/>
  <c r="C526" i="8" a="1"/>
  <c r="C526" i="8"/>
  <c r="C527" i="8" a="1"/>
  <c r="C527" i="8"/>
  <c r="C528" i="8" a="1"/>
  <c r="C528" i="8"/>
  <c r="C529" i="8" a="1"/>
  <c r="C529" i="8" s="1"/>
  <c r="C530" i="8" a="1"/>
  <c r="C530" i="8" s="1"/>
  <c r="C531" i="8" a="1"/>
  <c r="C531" i="8"/>
  <c r="C532" i="8" a="1"/>
  <c r="C532" i="8" s="1"/>
  <c r="C533" i="8" a="1"/>
  <c r="C533" i="8" s="1"/>
  <c r="C534" i="8" a="1"/>
  <c r="C534" i="8" s="1"/>
  <c r="C535" i="8" a="1"/>
  <c r="C535" i="8"/>
  <c r="C536" i="8" a="1"/>
  <c r="C536" i="8" s="1"/>
  <c r="C537" i="8" a="1"/>
  <c r="C537" i="8"/>
  <c r="C538" i="8" a="1"/>
  <c r="C538" i="8" s="1"/>
  <c r="C539" i="8" a="1"/>
  <c r="C539" i="8" s="1"/>
  <c r="C540" i="8" a="1"/>
  <c r="C540" i="8" s="1"/>
  <c r="C541" i="8" a="1"/>
  <c r="C541" i="8"/>
  <c r="C542" i="8" a="1"/>
  <c r="C542" i="8" s="1"/>
  <c r="C543" i="8" a="1"/>
  <c r="C543" i="8"/>
  <c r="C544" i="8" a="1"/>
  <c r="C544" i="8" s="1"/>
  <c r="C545" i="8" a="1"/>
  <c r="C545" i="8" s="1"/>
  <c r="C546" i="8" a="1"/>
  <c r="C546" i="8" s="1"/>
  <c r="C547" i="8" a="1"/>
  <c r="C547" i="8"/>
  <c r="C548" i="8" a="1"/>
  <c r="C548" i="8" s="1"/>
  <c r="C549" i="8" a="1"/>
  <c r="C549" i="8"/>
  <c r="C550" i="8" a="1"/>
  <c r="C550" i="8" s="1"/>
  <c r="C551" i="8" a="1"/>
  <c r="C551" i="8" s="1"/>
  <c r="C552" i="8" a="1"/>
  <c r="C552" i="8" s="1"/>
  <c r="C553" i="8" a="1"/>
  <c r="C553" i="8"/>
  <c r="C554" i="8" a="1"/>
  <c r="C554" i="8" s="1"/>
  <c r="C555" i="8" a="1"/>
  <c r="C555" i="8"/>
  <c r="C556" i="8" a="1"/>
  <c r="C556" i="8" s="1"/>
  <c r="C557" i="8" a="1"/>
  <c r="C557" i="8" s="1"/>
  <c r="C558" i="8" a="1"/>
  <c r="C558" i="8" s="1"/>
  <c r="C559" i="8" a="1"/>
  <c r="C559" i="8"/>
  <c r="C560" i="8" a="1"/>
  <c r="C560" i="8" s="1"/>
  <c r="C561" i="8" a="1"/>
  <c r="C561" i="8"/>
  <c r="C562" i="8" a="1"/>
  <c r="C562" i="8" s="1"/>
  <c r="C563" i="8" a="1"/>
  <c r="C563" i="8" s="1"/>
  <c r="C564" i="8" a="1"/>
  <c r="C564" i="8" s="1"/>
  <c r="C565" i="8" a="1"/>
  <c r="C565" i="8"/>
  <c r="C566" i="8" a="1"/>
  <c r="C566" i="8" s="1"/>
  <c r="C567" i="8" a="1"/>
  <c r="C567" i="8"/>
  <c r="C568" i="8" a="1"/>
  <c r="C568" i="8" s="1"/>
  <c r="C569" i="8" a="1"/>
  <c r="C569" i="8" s="1"/>
  <c r="C570" i="8" a="1"/>
  <c r="C570" i="8" s="1"/>
  <c r="C571" i="8" a="1"/>
  <c r="C571" i="8"/>
  <c r="C572" i="8" a="1"/>
  <c r="C572" i="8" s="1"/>
  <c r="C573" i="8" a="1"/>
  <c r="C573" i="8"/>
  <c r="C574" i="8" a="1"/>
  <c r="C574" i="8" s="1"/>
  <c r="C575" i="8" a="1"/>
  <c r="C575" i="8" s="1"/>
  <c r="C576" i="8" a="1"/>
  <c r="C576" i="8" s="1"/>
  <c r="C577" i="8" a="1"/>
  <c r="C577" i="8"/>
  <c r="C578" i="8" a="1"/>
  <c r="C578" i="8" s="1"/>
  <c r="C579" i="8" a="1"/>
  <c r="C579" i="8"/>
  <c r="C580" i="8" a="1"/>
  <c r="C580" i="8" s="1"/>
  <c r="C581" i="8" a="1"/>
  <c r="C581" i="8" s="1"/>
  <c r="C582" i="8" a="1"/>
  <c r="C582" i="8" s="1"/>
  <c r="C583" i="8" a="1"/>
  <c r="C583" i="8"/>
  <c r="C584" i="8" a="1"/>
  <c r="C584" i="8" s="1"/>
  <c r="C585" i="8" a="1"/>
  <c r="C585" i="8"/>
  <c r="C586" i="8" a="1"/>
  <c r="C586" i="8" s="1"/>
  <c r="C587" i="8" a="1"/>
  <c r="C587" i="8" s="1"/>
  <c r="C588" i="8" a="1"/>
  <c r="C588" i="8" s="1"/>
  <c r="C589" i="8" a="1"/>
  <c r="C589" i="8"/>
  <c r="C590" i="8" a="1"/>
  <c r="C590" i="8" s="1"/>
  <c r="C591" i="8" a="1"/>
  <c r="C591" i="8"/>
  <c r="C592" i="8" a="1"/>
  <c r="C592" i="8" s="1"/>
  <c r="C593" i="8" a="1"/>
  <c r="C593" i="8" s="1"/>
  <c r="C594" i="8" a="1"/>
  <c r="C594" i="8" s="1"/>
  <c r="C595" i="8" a="1"/>
  <c r="C595" i="8"/>
  <c r="C596" i="8" a="1"/>
  <c r="C596" i="8" s="1"/>
  <c r="C597" i="8" a="1"/>
  <c r="C597" i="8"/>
  <c r="C598" i="8" a="1"/>
  <c r="C598" i="8" s="1"/>
  <c r="C599" i="8" a="1"/>
  <c r="C599" i="8" s="1"/>
  <c r="C600" i="8" a="1"/>
  <c r="C600" i="8" s="1"/>
  <c r="C601" i="8" a="1"/>
  <c r="C601" i="8"/>
  <c r="C602" i="8" a="1"/>
  <c r="C602" i="8" s="1"/>
  <c r="C603" i="8" a="1"/>
  <c r="C603" i="8"/>
  <c r="C604" i="8" a="1"/>
  <c r="C604" i="8" s="1"/>
  <c r="C605" i="8" a="1"/>
  <c r="C605" i="8" s="1"/>
  <c r="C606" i="8" a="1"/>
  <c r="C606" i="8" s="1"/>
  <c r="C607" i="8" a="1"/>
  <c r="C607" i="8"/>
  <c r="C608" i="8" a="1"/>
  <c r="C608" i="8" s="1"/>
  <c r="C609" i="8" a="1"/>
  <c r="C609" i="8"/>
  <c r="C610" i="8" a="1"/>
  <c r="C610" i="8" s="1"/>
  <c r="C611" i="8" a="1"/>
  <c r="C611" i="8" s="1"/>
  <c r="C612" i="8" a="1"/>
  <c r="C612" i="8" s="1"/>
  <c r="C613" i="8" a="1"/>
  <c r="C613" i="8"/>
  <c r="C614" i="8" a="1"/>
  <c r="C614" i="8" s="1"/>
  <c r="C615" i="8" a="1"/>
  <c r="C615" i="8"/>
  <c r="C616" i="8" a="1"/>
  <c r="C616" i="8" s="1"/>
  <c r="C617" i="8" a="1"/>
  <c r="C617" i="8" s="1"/>
  <c r="C618" i="8" a="1"/>
  <c r="C618" i="8" s="1"/>
  <c r="C619" i="8" a="1"/>
  <c r="C619" i="8"/>
  <c r="C620" i="8" a="1"/>
  <c r="C620" i="8" s="1"/>
  <c r="C621" i="8" a="1"/>
  <c r="C621" i="8"/>
  <c r="C622" i="8" a="1"/>
  <c r="C622" i="8" s="1"/>
  <c r="C623" i="8" a="1"/>
  <c r="C623" i="8" s="1"/>
  <c r="C624" i="8" a="1"/>
  <c r="C624" i="8" s="1"/>
  <c r="C625" i="8" a="1"/>
  <c r="C625" i="8"/>
  <c r="C626" i="8" a="1"/>
  <c r="C626" i="8" s="1"/>
  <c r="C627" i="8" a="1"/>
  <c r="C627" i="8"/>
  <c r="C628" i="8" a="1"/>
  <c r="C628" i="8" s="1"/>
  <c r="C629" i="8" a="1"/>
  <c r="C629" i="8" s="1"/>
  <c r="C630" i="8" a="1"/>
  <c r="C630" i="8" s="1"/>
  <c r="C631" i="8" a="1"/>
  <c r="C631" i="8"/>
  <c r="C632" i="8" a="1"/>
  <c r="C632" i="8" s="1"/>
  <c r="C633" i="8" a="1"/>
  <c r="C633" i="8"/>
  <c r="C634" i="8" a="1"/>
  <c r="C634" i="8" s="1"/>
  <c r="C635" i="8" a="1"/>
  <c r="C635" i="8" s="1"/>
  <c r="C636" i="8" a="1"/>
  <c r="C636" i="8" s="1"/>
  <c r="C637" i="8" a="1"/>
  <c r="C637" i="8"/>
  <c r="C638" i="8" a="1"/>
  <c r="C638" i="8" s="1"/>
  <c r="C639" i="8" a="1"/>
  <c r="C639" i="8"/>
  <c r="C640" i="8" a="1"/>
  <c r="C640" i="8" s="1"/>
  <c r="C641" i="8" a="1"/>
  <c r="C641" i="8" s="1"/>
  <c r="C642" i="8" a="1"/>
  <c r="C642" i="8" s="1"/>
  <c r="C643" i="8" a="1"/>
  <c r="C643" i="8"/>
  <c r="C644" i="8" a="1"/>
  <c r="C644" i="8" s="1"/>
  <c r="C645" i="8" a="1"/>
  <c r="C645" i="8"/>
  <c r="C646" i="8" a="1"/>
  <c r="C646" i="8" s="1"/>
  <c r="C647" i="8" a="1"/>
  <c r="C647" i="8" s="1"/>
  <c r="C648" i="8" a="1"/>
  <c r="C648" i="8" s="1"/>
  <c r="C649" i="8" a="1"/>
  <c r="C649" i="8"/>
  <c r="C650" i="8" a="1"/>
  <c r="C650" i="8" s="1"/>
  <c r="C651" i="8" a="1"/>
  <c r="C651" i="8"/>
  <c r="C652" i="8" a="1"/>
  <c r="C652" i="8" s="1"/>
  <c r="C653" i="8" a="1"/>
  <c r="C653" i="8" s="1"/>
  <c r="C654" i="8" a="1"/>
  <c r="C654" i="8" s="1"/>
  <c r="C655" i="8" a="1"/>
  <c r="C655" i="8"/>
  <c r="C656" i="8" a="1"/>
  <c r="C656" i="8" s="1"/>
  <c r="C657" i="8" a="1"/>
  <c r="C657" i="8"/>
  <c r="C658" i="8" a="1"/>
  <c r="C658" i="8" s="1"/>
  <c r="C659" i="8" a="1"/>
  <c r="C659" i="8" s="1"/>
  <c r="C660" i="8" a="1"/>
  <c r="C660" i="8" s="1"/>
  <c r="C661" i="8" a="1"/>
  <c r="C661" i="8"/>
  <c r="C662" i="8" a="1"/>
  <c r="C662" i="8" s="1"/>
  <c r="C663" i="8" a="1"/>
  <c r="C663" i="8"/>
  <c r="C664" i="8" a="1"/>
  <c r="C664" i="8" s="1"/>
  <c r="C665" i="8" a="1"/>
  <c r="C665" i="8" s="1"/>
  <c r="C666" i="8" a="1"/>
  <c r="C666" i="8" s="1"/>
  <c r="C667" i="8" a="1"/>
  <c r="C667" i="8"/>
  <c r="C668" i="8" a="1"/>
  <c r="C668" i="8" s="1"/>
  <c r="C669" i="8" a="1"/>
  <c r="C669" i="8"/>
  <c r="C670" i="8" a="1"/>
  <c r="C670" i="8" s="1"/>
  <c r="C671" i="8" a="1"/>
  <c r="C671" i="8" s="1"/>
  <c r="C672" i="8" a="1"/>
  <c r="C672" i="8" s="1"/>
  <c r="C673" i="8" a="1"/>
  <c r="C673" i="8"/>
  <c r="C674" i="8" a="1"/>
  <c r="C674" i="8" s="1"/>
  <c r="C675" i="8" a="1"/>
  <c r="C675" i="8"/>
  <c r="C676" i="8" a="1"/>
  <c r="C676" i="8" s="1"/>
  <c r="C677" i="8" a="1"/>
  <c r="C677" i="8" s="1"/>
  <c r="C678" i="8" a="1"/>
  <c r="C678" i="8" s="1"/>
  <c r="C679" i="8" a="1"/>
  <c r="C679" i="8"/>
  <c r="C680" i="8" a="1"/>
  <c r="C680" i="8" s="1"/>
  <c r="C681" i="8" a="1"/>
  <c r="C681" i="8"/>
  <c r="C682" i="8" a="1"/>
  <c r="C682" i="8" s="1"/>
  <c r="C683" i="8" a="1"/>
  <c r="C683" i="8" s="1"/>
  <c r="C684" i="8" a="1"/>
  <c r="C684" i="8" s="1"/>
  <c r="C685" i="8" a="1"/>
  <c r="C685" i="8"/>
  <c r="C686" i="8" a="1"/>
  <c r="C686" i="8" s="1"/>
  <c r="C687" i="8" a="1"/>
  <c r="C687" i="8"/>
  <c r="C688" i="8" a="1"/>
  <c r="C688" i="8" s="1"/>
  <c r="C689" i="8" a="1"/>
  <c r="C689" i="8" s="1"/>
  <c r="C690" i="8" a="1"/>
  <c r="C690" i="8" s="1"/>
  <c r="C691" i="8" a="1"/>
  <c r="C691" i="8"/>
  <c r="C692" i="8" a="1"/>
  <c r="C692" i="8" s="1"/>
  <c r="C693" i="8" a="1"/>
  <c r="C693" i="8"/>
  <c r="C694" i="8" a="1"/>
  <c r="C694" i="8" s="1"/>
  <c r="C695" i="8" a="1"/>
  <c r="C695" i="8" s="1"/>
  <c r="C696" i="8" a="1"/>
  <c r="C696" i="8" s="1"/>
  <c r="C697" i="8" a="1"/>
  <c r="C697" i="8"/>
  <c r="C698" i="8" a="1"/>
  <c r="C698" i="8" s="1"/>
  <c r="C699" i="8" a="1"/>
  <c r="C699" i="8"/>
  <c r="C700" i="8" a="1"/>
  <c r="C700" i="8" s="1"/>
  <c r="C701" i="8" a="1"/>
  <c r="C701" i="8" s="1"/>
  <c r="C702" i="8" a="1"/>
  <c r="C702" i="8" s="1"/>
  <c r="C703" i="8" a="1"/>
  <c r="C703" i="8"/>
  <c r="C704" i="8" a="1"/>
  <c r="C704" i="8" s="1"/>
  <c r="C705" i="8" a="1"/>
  <c r="C705" i="8"/>
  <c r="C706" i="8" a="1"/>
  <c r="C706" i="8" s="1"/>
  <c r="C707" i="8" a="1"/>
  <c r="C707" i="8" s="1"/>
  <c r="C708" i="8" a="1"/>
  <c r="C708" i="8" s="1"/>
  <c r="C709" i="8" a="1"/>
  <c r="C709" i="8"/>
  <c r="C710" i="8" a="1"/>
  <c r="C710" i="8" s="1"/>
  <c r="C711" i="8" a="1"/>
  <c r="C711" i="8"/>
  <c r="C712" i="8" a="1"/>
  <c r="C712" i="8" s="1"/>
  <c r="C713" i="8" a="1"/>
  <c r="C713" i="8" s="1"/>
  <c r="C714" i="8" a="1"/>
  <c r="C714" i="8" s="1"/>
  <c r="C715" i="8" a="1"/>
  <c r="C715" i="8"/>
  <c r="C716" i="8" a="1"/>
  <c r="C716" i="8" s="1"/>
  <c r="C717" i="8" a="1"/>
  <c r="C717" i="8"/>
  <c r="C718" i="8" a="1"/>
  <c r="C718" i="8" s="1"/>
  <c r="C719" i="8" a="1"/>
  <c r="C719" i="8" s="1"/>
  <c r="C720" i="8" a="1"/>
  <c r="C720" i="8" s="1"/>
  <c r="C721" i="8" a="1"/>
  <c r="C721" i="8"/>
  <c r="C722" i="8" a="1"/>
  <c r="C722" i="8" s="1"/>
  <c r="C723" i="8" a="1"/>
  <c r="C723" i="8"/>
  <c r="C724" i="8" a="1"/>
  <c r="C724" i="8" s="1"/>
  <c r="C725" i="8" a="1"/>
  <c r="C725" i="8" s="1"/>
  <c r="C726" i="8" a="1"/>
  <c r="C726" i="8" s="1"/>
  <c r="C727" i="8" a="1"/>
  <c r="C727" i="8"/>
  <c r="C728" i="8" a="1"/>
  <c r="C728" i="8" s="1"/>
  <c r="C729" i="8" a="1"/>
  <c r="C729" i="8"/>
  <c r="C730" i="8" a="1"/>
  <c r="C730" i="8" s="1"/>
  <c r="C731" i="8" a="1"/>
  <c r="C731" i="8" s="1"/>
  <c r="C732" i="8" a="1"/>
  <c r="C732" i="8" s="1"/>
  <c r="C733" i="8" a="1"/>
  <c r="C733" i="8"/>
  <c r="C734" i="8" a="1"/>
  <c r="C734" i="8" s="1"/>
  <c r="C735" i="8" a="1"/>
  <c r="C735" i="8"/>
  <c r="C736" i="8" a="1"/>
  <c r="C736" i="8" s="1"/>
  <c r="C737" i="8" a="1"/>
  <c r="C737" i="8" s="1"/>
  <c r="C738" i="8" a="1"/>
  <c r="C738" i="8" s="1"/>
  <c r="C739" i="8" a="1"/>
  <c r="C739" i="8"/>
  <c r="C740" i="8" a="1"/>
  <c r="C740" i="8" s="1"/>
  <c r="C741" i="8" a="1"/>
  <c r="C741" i="8"/>
  <c r="C742" i="8" a="1"/>
  <c r="C742" i="8" s="1"/>
  <c r="C743" i="8" a="1"/>
  <c r="C743" i="8" s="1"/>
  <c r="C744" i="8" a="1"/>
  <c r="C744" i="8" s="1"/>
  <c r="C745" i="8" a="1"/>
  <c r="C745" i="8"/>
  <c r="C746" i="8" a="1"/>
  <c r="C746" i="8" s="1"/>
  <c r="C747" i="8" a="1"/>
  <c r="C747" i="8"/>
  <c r="C748" i="8" a="1"/>
  <c r="C748" i="8" s="1"/>
  <c r="C749" i="8" a="1"/>
  <c r="C749" i="8" s="1"/>
  <c r="C750" i="8" a="1"/>
  <c r="C750" i="8" s="1"/>
  <c r="C751" i="8" a="1"/>
  <c r="C751" i="8"/>
  <c r="C752" i="8" a="1"/>
  <c r="C752" i="8" s="1"/>
  <c r="C753" i="8" a="1"/>
  <c r="C753" i="8"/>
  <c r="C754" i="8" a="1"/>
  <c r="C754" i="8" s="1"/>
  <c r="C755" i="8" a="1"/>
  <c r="C755" i="8" s="1"/>
  <c r="C756" i="8" a="1"/>
  <c r="C756" i="8" s="1"/>
  <c r="C757" i="8" a="1"/>
  <c r="C757" i="8"/>
  <c r="C758" i="8" a="1"/>
  <c r="C758" i="8" s="1"/>
  <c r="C759" i="8" a="1"/>
  <c r="C759" i="8"/>
  <c r="C760" i="8" a="1"/>
  <c r="C760" i="8" s="1"/>
  <c r="C761" i="8" a="1"/>
  <c r="C761" i="8" s="1"/>
  <c r="C762" i="8" a="1"/>
  <c r="C762" i="8" s="1"/>
  <c r="C763" i="8" a="1"/>
  <c r="C763" i="8"/>
  <c r="C21" i="8" a="1"/>
  <c r="C21" i="8" s="1"/>
  <c r="C22" i="8" a="1"/>
  <c r="C22" i="8" s="1"/>
  <c r="C23" i="8" a="1"/>
  <c r="C23" i="8"/>
  <c r="C24" i="8" a="1"/>
  <c r="C24" i="8" s="1"/>
  <c r="C16" i="8" a="1"/>
  <c r="C16" i="8"/>
  <c r="C17" i="8" a="1"/>
  <c r="C17" i="8"/>
  <c r="C18" i="8" a="1"/>
  <c r="C18" i="8" s="1"/>
  <c r="C19" i="8" a="1"/>
  <c r="C19" i="8" s="1"/>
  <c r="C20" i="8" a="1"/>
  <c r="C20" i="8"/>
  <c r="C3" i="8" a="1"/>
  <c r="C3" i="8"/>
  <c r="C5" i="8" a="1"/>
  <c r="C5" i="8" s="1"/>
  <c r="C6" i="8" a="1"/>
  <c r="C6" i="8" s="1"/>
  <c r="C7" i="8" a="1"/>
  <c r="C7" i="8"/>
  <c r="C8" i="8" a="1"/>
  <c r="C8" i="8" s="1"/>
  <c r="C9" i="8" a="1"/>
  <c r="C9" i="8"/>
  <c r="C10" i="8" a="1"/>
  <c r="C10" i="8" s="1"/>
  <c r="C11" i="8" a="1"/>
  <c r="C11" i="8" s="1"/>
  <c r="C12" i="8" a="1"/>
  <c r="C12" i="8" s="1"/>
  <c r="C13" i="8" a="1"/>
  <c r="C13" i="8"/>
  <c r="C14" i="8" a="1"/>
  <c r="C14" i="8" s="1"/>
  <c r="C15" i="8" a="1"/>
  <c r="C15" i="8"/>
  <c r="O765" i="1"/>
  <c r="P765" i="1"/>
  <c r="Q765" i="1"/>
  <c r="D765" i="1"/>
  <c r="E765" i="1"/>
  <c r="F765" i="1"/>
  <c r="G765" i="1"/>
  <c r="H765" i="1"/>
  <c r="I765" i="1"/>
  <c r="J765" i="1"/>
  <c r="K765" i="1"/>
  <c r="L765" i="1"/>
  <c r="M765" i="1"/>
  <c r="N765" i="1"/>
  <c r="C765" i="1"/>
  <c r="C504" i="12" l="1"/>
  <c r="D504" i="12" s="1"/>
  <c r="E504" i="8"/>
  <c r="G504" i="8" s="1"/>
  <c r="D504" i="7" s="1"/>
  <c r="E504" i="7"/>
  <c r="C438" i="12"/>
  <c r="D438" i="12" s="1"/>
  <c r="E438" i="8"/>
  <c r="G438" i="8" s="1"/>
  <c r="D438" i="7" s="1"/>
  <c r="E438" i="7"/>
  <c r="C618" i="12"/>
  <c r="E618" i="8"/>
  <c r="G618" i="8" s="1"/>
  <c r="D618" i="7" s="1"/>
  <c r="C288" i="12"/>
  <c r="E288" i="7"/>
  <c r="E288" i="8"/>
  <c r="G288" i="8" s="1"/>
  <c r="D288" i="7" s="1"/>
  <c r="E318" i="7"/>
  <c r="C318" i="12"/>
  <c r="E614" i="7"/>
  <c r="C614" i="12"/>
  <c r="E412" i="7"/>
  <c r="C412" i="12"/>
  <c r="D412" i="12" s="1"/>
  <c r="E228" i="7"/>
  <c r="C228" i="12"/>
  <c r="E228" i="8"/>
  <c r="G228" i="8" s="1"/>
  <c r="D228" i="7" s="1"/>
  <c r="C444" i="12"/>
  <c r="E444" i="7"/>
  <c r="E444" i="8"/>
  <c r="G444" i="8" s="1"/>
  <c r="D444" i="7" s="1"/>
  <c r="E144" i="7"/>
  <c r="C144" i="12"/>
  <c r="E144" i="8"/>
  <c r="G144" i="8" s="1"/>
  <c r="D144" i="7" s="1"/>
  <c r="E198" i="7"/>
  <c r="E198" i="8"/>
  <c r="G198" i="8" s="1"/>
  <c r="D198" i="7" s="1"/>
  <c r="C198" i="12"/>
  <c r="C522" i="12"/>
  <c r="E522" i="7"/>
  <c r="E522" i="8"/>
  <c r="G522" i="8" s="1"/>
  <c r="D522" i="7" s="1"/>
  <c r="E458" i="8"/>
  <c r="G458" i="8" s="1"/>
  <c r="D458" i="7" s="1"/>
  <c r="E458" i="7"/>
  <c r="E183" i="8"/>
  <c r="G183" i="8" s="1"/>
  <c r="D183" i="7" s="1"/>
  <c r="C183" i="12"/>
  <c r="C150" i="12"/>
  <c r="E150" i="7"/>
  <c r="E150" i="8"/>
  <c r="G150" i="8" s="1"/>
  <c r="D150" i="7" s="1"/>
  <c r="E732" i="8"/>
  <c r="G732" i="8" s="1"/>
  <c r="D732" i="7" s="1"/>
  <c r="E732" i="7"/>
  <c r="E626" i="8"/>
  <c r="G626" i="8" s="1"/>
  <c r="D626" i="7" s="1"/>
  <c r="E626" i="7"/>
  <c r="E216" i="7"/>
  <c r="E216" i="8"/>
  <c r="G216" i="8" s="1"/>
  <c r="D216" i="7" s="1"/>
  <c r="C216" i="12"/>
  <c r="E222" i="8"/>
  <c r="G222" i="8" s="1"/>
  <c r="D222" i="7" s="1"/>
  <c r="E156" i="8"/>
  <c r="G156" i="8" s="1"/>
  <c r="D156" i="7" s="1"/>
  <c r="C222" i="12"/>
  <c r="E156" i="7"/>
  <c r="E300" i="7"/>
  <c r="E570" i="8"/>
  <c r="G570" i="8" s="1"/>
  <c r="D570" i="7" s="1"/>
  <c r="C546" i="12"/>
  <c r="D546" i="12" s="1"/>
  <c r="E486" i="7"/>
  <c r="E486" i="8"/>
  <c r="G486" i="8" s="1"/>
  <c r="D486" i="7" s="1"/>
  <c r="E351" i="8"/>
  <c r="G351" i="8" s="1"/>
  <c r="D351" i="7" s="1"/>
  <c r="E294" i="7"/>
  <c r="E294" i="8"/>
  <c r="G294" i="8" s="1"/>
  <c r="D294" i="7" s="1"/>
  <c r="E108" i="7"/>
  <c r="E450" i="7"/>
  <c r="E301" i="8"/>
  <c r="G301" i="8" s="1"/>
  <c r="D301" i="7" s="1"/>
  <c r="E661" i="8"/>
  <c r="G661" i="8" s="1"/>
  <c r="D661" i="7" s="1"/>
  <c r="E276" i="8"/>
  <c r="G276" i="8" s="1"/>
  <c r="D276" i="7" s="1"/>
  <c r="E108" i="8"/>
  <c r="G108" i="8" s="1"/>
  <c r="D108" i="7" s="1"/>
  <c r="E421" i="8"/>
  <c r="G421" i="8" s="1"/>
  <c r="D421" i="7" s="1"/>
  <c r="C714" i="12"/>
  <c r="D714" i="12" s="1"/>
  <c r="E714" i="8"/>
  <c r="G714" i="8" s="1"/>
  <c r="D714" i="7" s="1"/>
  <c r="E714" i="7"/>
  <c r="E655" i="7"/>
  <c r="C600" i="12"/>
  <c r="D600" i="12" s="1"/>
  <c r="E600" i="7"/>
  <c r="C576" i="12"/>
  <c r="D576" i="12" s="1"/>
  <c r="E576" i="7"/>
  <c r="E685" i="8"/>
  <c r="G685" i="8" s="1"/>
  <c r="D685" i="7" s="1"/>
  <c r="E411" i="8"/>
  <c r="G411" i="8" s="1"/>
  <c r="D411" i="7" s="1"/>
  <c r="E517" i="7"/>
  <c r="E270" i="7"/>
  <c r="E630" i="7"/>
  <c r="C630" i="12"/>
  <c r="D630" i="12" s="1"/>
  <c r="E630" i="12" s="1"/>
  <c r="E498" i="8"/>
  <c r="G498" i="8" s="1"/>
  <c r="D498" i="7" s="1"/>
  <c r="E498" i="7"/>
  <c r="E159" i="8"/>
  <c r="G159" i="8" s="1"/>
  <c r="D159" i="7" s="1"/>
  <c r="E159" i="7"/>
  <c r="C75" i="12"/>
  <c r="E75" i="8"/>
  <c r="G75" i="8" s="1"/>
  <c r="D75" i="7" s="1"/>
  <c r="E469" i="7"/>
  <c r="E109" i="8"/>
  <c r="G109" i="8" s="1"/>
  <c r="D109" i="7" s="1"/>
  <c r="E708" i="7"/>
  <c r="C583" i="12"/>
  <c r="D583" i="12" s="1"/>
  <c r="E583" i="8"/>
  <c r="G583" i="8" s="1"/>
  <c r="D583" i="7" s="1"/>
  <c r="E733" i="8"/>
  <c r="G733" i="8" s="1"/>
  <c r="D733" i="7" s="1"/>
  <c r="E289" i="8"/>
  <c r="G289" i="8" s="1"/>
  <c r="D289" i="7" s="1"/>
  <c r="E594" i="7"/>
  <c r="E721" i="7"/>
  <c r="C721" i="12"/>
  <c r="E613" i="7"/>
  <c r="C613" i="12"/>
  <c r="C234" i="12"/>
  <c r="D234" i="12" s="1"/>
  <c r="E234" i="7"/>
  <c r="C594" i="12"/>
  <c r="D594" i="12" s="1"/>
  <c r="E594" i="12" s="1"/>
  <c r="C720" i="12"/>
  <c r="D720" i="12" s="1"/>
  <c r="E720" i="12" s="1"/>
  <c r="E720" i="8"/>
  <c r="G720" i="8" s="1"/>
  <c r="D720" i="7" s="1"/>
  <c r="E720" i="7"/>
  <c r="C457" i="12"/>
  <c r="D457" i="12" s="1"/>
  <c r="E457" i="7"/>
  <c r="E457" i="8"/>
  <c r="G457" i="8" s="1"/>
  <c r="D457" i="7" s="1"/>
  <c r="E375" i="7"/>
  <c r="C375" i="12"/>
  <c r="E73" i="8"/>
  <c r="G73" i="8" s="1"/>
  <c r="D73" i="7" s="1"/>
  <c r="E73" i="7"/>
  <c r="E18" i="7"/>
  <c r="E18" i="8"/>
  <c r="G18" i="8" s="1"/>
  <c r="D18" i="7" s="1"/>
  <c r="E396" i="7"/>
  <c r="E654" i="8"/>
  <c r="G654" i="8" s="1"/>
  <c r="D654" i="7" s="1"/>
  <c r="E174" i="7"/>
  <c r="E301" i="7"/>
  <c r="E654" i="7"/>
  <c r="E234" i="8"/>
  <c r="G234" i="8" s="1"/>
  <c r="D234" i="7" s="1"/>
  <c r="C685" i="12"/>
  <c r="E661" i="7"/>
  <c r="E589" i="7"/>
  <c r="E589" i="8"/>
  <c r="G589" i="8" s="1"/>
  <c r="D589" i="7" s="1"/>
  <c r="E126" i="8"/>
  <c r="G126" i="8" s="1"/>
  <c r="D126" i="7" s="1"/>
  <c r="C126" i="12"/>
  <c r="D126" i="12" s="1"/>
  <c r="E570" i="7"/>
  <c r="C726" i="12"/>
  <c r="D726" i="12" s="1"/>
  <c r="E726" i="8"/>
  <c r="G726" i="8" s="1"/>
  <c r="D726" i="7" s="1"/>
  <c r="E541" i="8"/>
  <c r="G541" i="8" s="1"/>
  <c r="D541" i="7" s="1"/>
  <c r="E541" i="7"/>
  <c r="E510" i="7"/>
  <c r="C510" i="12"/>
  <c r="D510" i="12" s="1"/>
  <c r="E282" i="8"/>
  <c r="G282" i="8" s="1"/>
  <c r="D282" i="7" s="1"/>
  <c r="C282" i="12"/>
  <c r="C96" i="12"/>
  <c r="E96" i="8"/>
  <c r="G96" i="8" s="1"/>
  <c r="D96" i="7" s="1"/>
  <c r="E517" i="8"/>
  <c r="G517" i="8" s="1"/>
  <c r="D517" i="7" s="1"/>
  <c r="E613" i="8"/>
  <c r="G613" i="8" s="1"/>
  <c r="D613" i="7" s="1"/>
  <c r="E469" i="8"/>
  <c r="G469" i="8" s="1"/>
  <c r="D469" i="7" s="1"/>
  <c r="C18" i="12"/>
  <c r="E600" i="8"/>
  <c r="G600" i="8" s="1"/>
  <c r="D600" i="7" s="1"/>
  <c r="C270" i="12"/>
  <c r="E726" i="7"/>
  <c r="E330" i="8"/>
  <c r="G330" i="8" s="1"/>
  <c r="D330" i="7" s="1"/>
  <c r="C330" i="12"/>
  <c r="D330" i="12" s="1"/>
  <c r="E204" i="7"/>
  <c r="C204" i="12"/>
  <c r="E162" i="7"/>
  <c r="C162" i="12"/>
  <c r="D162" i="12" s="1"/>
  <c r="E162" i="12" s="1"/>
  <c r="C421" i="12"/>
  <c r="E757" i="8"/>
  <c r="G757" i="8" s="1"/>
  <c r="D757" i="7" s="1"/>
  <c r="C757" i="12"/>
  <c r="E546" i="8"/>
  <c r="G546" i="8" s="1"/>
  <c r="D546" i="7" s="1"/>
  <c r="E618" i="7"/>
  <c r="E183" i="7"/>
  <c r="E123" i="8"/>
  <c r="G123" i="8" s="1"/>
  <c r="D123" i="7" s="1"/>
  <c r="E424" i="7"/>
  <c r="E424" i="8"/>
  <c r="G424" i="8" s="1"/>
  <c r="D424" i="7" s="1"/>
  <c r="E482" i="7"/>
  <c r="C482" i="12"/>
  <c r="D482" i="12" s="1"/>
  <c r="E482" i="12" s="1"/>
  <c r="C636" i="12"/>
  <c r="D636" i="12" s="1"/>
  <c r="C420" i="12"/>
  <c r="D420" i="12" s="1"/>
  <c r="E420" i="12" s="1"/>
  <c r="C758" i="12"/>
  <c r="D758" i="12" s="1"/>
  <c r="E758" i="7"/>
  <c r="E434" i="8"/>
  <c r="G434" i="8" s="1"/>
  <c r="D434" i="7" s="1"/>
  <c r="E278" i="8"/>
  <c r="G278" i="8" s="1"/>
  <c r="D278" i="7" s="1"/>
  <c r="C732" i="12"/>
  <c r="D732" i="12" s="1"/>
  <c r="C37" i="12"/>
  <c r="D37" i="12" s="1"/>
  <c r="E37" i="12" s="1"/>
  <c r="E636" i="8"/>
  <c r="G636" i="8" s="1"/>
  <c r="D636" i="7" s="1"/>
  <c r="E750" i="7"/>
  <c r="E750" i="8"/>
  <c r="G750" i="8" s="1"/>
  <c r="D750" i="7" s="1"/>
  <c r="C588" i="12"/>
  <c r="E588" i="8"/>
  <c r="G588" i="8" s="1"/>
  <c r="D588" i="7" s="1"/>
  <c r="E565" i="8"/>
  <c r="G565" i="8" s="1"/>
  <c r="D565" i="7" s="1"/>
  <c r="C565" i="12"/>
  <c r="D565" i="12" s="1"/>
  <c r="E534" i="7"/>
  <c r="C534" i="12"/>
  <c r="E744" i="8"/>
  <c r="G744" i="8" s="1"/>
  <c r="D744" i="7" s="1"/>
  <c r="E157" i="8"/>
  <c r="G157" i="8" s="1"/>
  <c r="D157" i="7" s="1"/>
  <c r="C157" i="12"/>
  <c r="D157" i="12" s="1"/>
  <c r="E157" i="12" s="1"/>
  <c r="C672" i="12"/>
  <c r="D672" i="12" s="1"/>
  <c r="E672" i="8"/>
  <c r="G672" i="8" s="1"/>
  <c r="D672" i="7" s="1"/>
  <c r="C456" i="12"/>
  <c r="E456" i="8"/>
  <c r="G456" i="8" s="1"/>
  <c r="D456" i="7" s="1"/>
  <c r="E312" i="8"/>
  <c r="G312" i="8" s="1"/>
  <c r="D312" i="7" s="1"/>
  <c r="C312" i="12"/>
  <c r="D312" i="12" s="1"/>
  <c r="E312" i="12" s="1"/>
  <c r="E312" i="7"/>
  <c r="E338" i="8"/>
  <c r="G338" i="8" s="1"/>
  <c r="D338" i="7" s="1"/>
  <c r="C372" i="12"/>
  <c r="E372" i="7"/>
  <c r="C396" i="12"/>
  <c r="E625" i="7"/>
  <c r="E625" i="8"/>
  <c r="G625" i="8" s="1"/>
  <c r="D625" i="7" s="1"/>
  <c r="C625" i="12"/>
  <c r="E756" i="7"/>
  <c r="C756" i="12"/>
  <c r="C678" i="12"/>
  <c r="D678" i="12" s="1"/>
  <c r="E678" i="12" s="1"/>
  <c r="E678" i="8"/>
  <c r="G678" i="8" s="1"/>
  <c r="D678" i="7" s="1"/>
  <c r="E540" i="7"/>
  <c r="E540" i="8"/>
  <c r="G540" i="8" s="1"/>
  <c r="D540" i="7" s="1"/>
  <c r="E516" i="7"/>
  <c r="E516" i="8"/>
  <c r="G516" i="8" s="1"/>
  <c r="D516" i="7" s="1"/>
  <c r="E420" i="8"/>
  <c r="G420" i="8" s="1"/>
  <c r="D420" i="7" s="1"/>
  <c r="E158" i="8"/>
  <c r="G158" i="8" s="1"/>
  <c r="D158" i="7" s="1"/>
  <c r="E481" i="8"/>
  <c r="G481" i="8" s="1"/>
  <c r="D481" i="7" s="1"/>
  <c r="C481" i="12"/>
  <c r="D481" i="12" s="1"/>
  <c r="E492" i="8"/>
  <c r="G492" i="8" s="1"/>
  <c r="D492" i="7" s="1"/>
  <c r="E492" i="7"/>
  <c r="C492" i="12"/>
  <c r="D492" i="12" s="1"/>
  <c r="E492" i="12" s="1"/>
  <c r="C384" i="12"/>
  <c r="D384" i="12" s="1"/>
  <c r="E384" i="12" s="1"/>
  <c r="E384" i="8"/>
  <c r="G384" i="8" s="1"/>
  <c r="D384" i="7" s="1"/>
  <c r="E265" i="8"/>
  <c r="G265" i="8" s="1"/>
  <c r="D265" i="7" s="1"/>
  <c r="E265" i="7"/>
  <c r="E253" i="7"/>
  <c r="C253" i="12"/>
  <c r="D253" i="12" s="1"/>
  <c r="E253" i="12" s="1"/>
  <c r="E253" i="8"/>
  <c r="G253" i="8" s="1"/>
  <c r="D253" i="7" s="1"/>
  <c r="C217" i="12"/>
  <c r="D217" i="12" s="1"/>
  <c r="E217" i="7"/>
  <c r="E169" i="8"/>
  <c r="G169" i="8" s="1"/>
  <c r="D169" i="7" s="1"/>
  <c r="C169" i="12"/>
  <c r="D169" i="12" s="1"/>
  <c r="C97" i="12"/>
  <c r="D97" i="12" s="1"/>
  <c r="E97" i="12" s="1"/>
  <c r="E97" i="7"/>
  <c r="E49" i="7"/>
  <c r="C49" i="12"/>
  <c r="D49" i="12" s="1"/>
  <c r="E85" i="8"/>
  <c r="G85" i="8" s="1"/>
  <c r="D85" i="7" s="1"/>
  <c r="C697" i="12"/>
  <c r="D697" i="12" s="1"/>
  <c r="C265" i="12"/>
  <c r="E169" i="7"/>
  <c r="E384" i="7"/>
  <c r="E291" i="7"/>
  <c r="E326" i="7"/>
  <c r="E37" i="8"/>
  <c r="G37" i="8" s="1"/>
  <c r="D37" i="7" s="1"/>
  <c r="E542" i="7"/>
  <c r="E318" i="8"/>
  <c r="G318" i="8" s="1"/>
  <c r="D318" i="7" s="1"/>
  <c r="C660" i="12"/>
  <c r="D660" i="12" s="1"/>
  <c r="E660" i="7"/>
  <c r="E709" i="8"/>
  <c r="G709" i="8" s="1"/>
  <c r="D709" i="7" s="1"/>
  <c r="E709" i="7"/>
  <c r="E470" i="7"/>
  <c r="E470" i="8"/>
  <c r="G470" i="8" s="1"/>
  <c r="D470" i="7" s="1"/>
  <c r="E462" i="7"/>
  <c r="C462" i="12"/>
  <c r="D462" i="12" s="1"/>
  <c r="E324" i="7"/>
  <c r="E324" i="8"/>
  <c r="G324" i="8" s="1"/>
  <c r="D324" i="7" s="1"/>
  <c r="C223" i="12"/>
  <c r="D223" i="12" s="1"/>
  <c r="E223" i="12" s="1"/>
  <c r="E223" i="7"/>
  <c r="E223" i="8"/>
  <c r="G223" i="8" s="1"/>
  <c r="D223" i="7" s="1"/>
  <c r="E205" i="7"/>
  <c r="C205" i="12"/>
  <c r="D205" i="12" s="1"/>
  <c r="E205" i="12" s="1"/>
  <c r="E205" i="8"/>
  <c r="G205" i="8" s="1"/>
  <c r="D205" i="7" s="1"/>
  <c r="C199" i="12"/>
  <c r="E199" i="7"/>
  <c r="C193" i="12"/>
  <c r="E193" i="7"/>
  <c r="E181" i="8"/>
  <c r="G181" i="8" s="1"/>
  <c r="D181" i="7" s="1"/>
  <c r="E181" i="7"/>
  <c r="E133" i="7"/>
  <c r="E133" i="8"/>
  <c r="G133" i="8" s="1"/>
  <c r="D133" i="7" s="1"/>
  <c r="C133" i="12"/>
  <c r="E61" i="8"/>
  <c r="G61" i="8" s="1"/>
  <c r="D61" i="7" s="1"/>
  <c r="C61" i="12"/>
  <c r="D61" i="12" s="1"/>
  <c r="E300" i="8"/>
  <c r="G300" i="8" s="1"/>
  <c r="D300" i="7" s="1"/>
  <c r="E588" i="7"/>
  <c r="C290" i="12"/>
  <c r="D290" i="12" s="1"/>
  <c r="E290" i="7"/>
  <c r="E708" i="8"/>
  <c r="G708" i="8" s="1"/>
  <c r="D708" i="7" s="1"/>
  <c r="E462" i="8"/>
  <c r="G462" i="8" s="1"/>
  <c r="D462" i="7" s="1"/>
  <c r="E229" i="8"/>
  <c r="G229" i="8" s="1"/>
  <c r="D229" i="7" s="1"/>
  <c r="E697" i="8"/>
  <c r="G697" i="8" s="1"/>
  <c r="D697" i="7" s="1"/>
  <c r="E534" i="8"/>
  <c r="G534" i="8" s="1"/>
  <c r="D534" i="7" s="1"/>
  <c r="E372" i="8"/>
  <c r="G372" i="8" s="1"/>
  <c r="D372" i="7" s="1"/>
  <c r="E121" i="8"/>
  <c r="G121" i="8" s="1"/>
  <c r="D121" i="7" s="1"/>
  <c r="C181" i="12"/>
  <c r="C121" i="12"/>
  <c r="D121" i="12" s="1"/>
  <c r="E109" i="7"/>
  <c r="E278" i="7"/>
  <c r="E744" i="7"/>
  <c r="E738" i="8"/>
  <c r="G738" i="8" s="1"/>
  <c r="D738" i="7" s="1"/>
  <c r="C738" i="12"/>
  <c r="D738" i="12" s="1"/>
  <c r="E378" i="8"/>
  <c r="G378" i="8" s="1"/>
  <c r="D378" i="7" s="1"/>
  <c r="C378" i="12"/>
  <c r="D378" i="12" s="1"/>
  <c r="C306" i="12"/>
  <c r="D306" i="12" s="1"/>
  <c r="E306" i="12" s="1"/>
  <c r="E306" i="7"/>
  <c r="E171" i="8"/>
  <c r="G171" i="8" s="1"/>
  <c r="D171" i="7" s="1"/>
  <c r="E171" i="7"/>
  <c r="C87" i="12"/>
  <c r="E87" i="7"/>
  <c r="E745" i="7"/>
  <c r="E745" i="8"/>
  <c r="G745" i="8" s="1"/>
  <c r="D745" i="7" s="1"/>
  <c r="E385" i="7"/>
  <c r="E385" i="8"/>
  <c r="G385" i="8" s="1"/>
  <c r="D385" i="7" s="1"/>
  <c r="E505" i="7"/>
  <c r="C505" i="12"/>
  <c r="E325" i="7"/>
  <c r="E325" i="8"/>
  <c r="G325" i="8" s="1"/>
  <c r="D325" i="7" s="1"/>
  <c r="E447" i="7"/>
  <c r="C447" i="12"/>
  <c r="C450" i="12"/>
  <c r="E552" i="7"/>
  <c r="C374" i="12"/>
  <c r="D374" i="12" s="1"/>
  <c r="E374" i="12" s="1"/>
  <c r="E374" i="7"/>
  <c r="E412" i="8"/>
  <c r="G412" i="8" s="1"/>
  <c r="D412" i="7" s="1"/>
  <c r="E381" i="8"/>
  <c r="G381" i="8" s="1"/>
  <c r="D381" i="7" s="1"/>
  <c r="E220" i="7"/>
  <c r="C277" i="12"/>
  <c r="D277" i="12" s="1"/>
  <c r="C175" i="12"/>
  <c r="D175" i="12" s="1"/>
  <c r="E175" i="12" s="1"/>
  <c r="C236" i="12"/>
  <c r="D236" i="12" s="1"/>
  <c r="E236" i="12" s="1"/>
  <c r="C664" i="12"/>
  <c r="D664" i="12" s="1"/>
  <c r="E664" i="7"/>
  <c r="C648" i="12"/>
  <c r="D648" i="12" s="1"/>
  <c r="E648" i="7"/>
  <c r="E648" i="8"/>
  <c r="G648" i="8" s="1"/>
  <c r="D648" i="7" s="1"/>
  <c r="C474" i="12"/>
  <c r="D474" i="12" s="1"/>
  <c r="E474" i="8"/>
  <c r="G474" i="8" s="1"/>
  <c r="D474" i="7" s="1"/>
  <c r="E474" i="7"/>
  <c r="C747" i="12"/>
  <c r="D747" i="12" s="1"/>
  <c r="E747" i="12" s="1"/>
  <c r="E747" i="8"/>
  <c r="G747" i="8" s="1"/>
  <c r="D747" i="7" s="1"/>
  <c r="E747" i="7"/>
  <c r="C558" i="12"/>
  <c r="D558" i="12" s="1"/>
  <c r="E558" i="7"/>
  <c r="E558" i="8"/>
  <c r="G558" i="8" s="1"/>
  <c r="D558" i="7" s="1"/>
  <c r="E543" i="8"/>
  <c r="G543" i="8" s="1"/>
  <c r="D543" i="7" s="1"/>
  <c r="C722" i="12"/>
  <c r="D722" i="12" s="1"/>
  <c r="E722" i="12" s="1"/>
  <c r="E722" i="7"/>
  <c r="E662" i="8"/>
  <c r="G662" i="8" s="1"/>
  <c r="D662" i="7" s="1"/>
  <c r="E662" i="7"/>
  <c r="C662" i="12"/>
  <c r="D662" i="12" s="1"/>
  <c r="E564" i="7"/>
  <c r="C564" i="12"/>
  <c r="D564" i="12" s="1"/>
  <c r="E564" i="12" s="1"/>
  <c r="E564" i="8"/>
  <c r="G564" i="8" s="1"/>
  <c r="D564" i="7" s="1"/>
  <c r="E219" i="7"/>
  <c r="C219" i="12"/>
  <c r="D219" i="12" s="1"/>
  <c r="E710" i="8"/>
  <c r="G710" i="8" s="1"/>
  <c r="D710" i="7" s="1"/>
  <c r="E710" i="7"/>
  <c r="E461" i="7"/>
  <c r="C461" i="12"/>
  <c r="D461" i="12" s="1"/>
  <c r="E461" i="12" s="1"/>
  <c r="C343" i="12"/>
  <c r="D343" i="12" s="1"/>
  <c r="E343" i="7"/>
  <c r="C642" i="12"/>
  <c r="E642" i="8"/>
  <c r="G642" i="8" s="1"/>
  <c r="D642" i="7" s="1"/>
  <c r="E642" i="7"/>
  <c r="E350" i="8"/>
  <c r="G350" i="8" s="1"/>
  <c r="D350" i="7" s="1"/>
  <c r="C350" i="12"/>
  <c r="D350" i="12" s="1"/>
  <c r="C218" i="12"/>
  <c r="D218" i="12" s="1"/>
  <c r="E218" i="7"/>
  <c r="C638" i="12"/>
  <c r="D638" i="12" s="1"/>
  <c r="E638" i="12" s="1"/>
  <c r="E638" i="7"/>
  <c r="C409" i="12"/>
  <c r="D409" i="12" s="1"/>
  <c r="E409" i="12" s="1"/>
  <c r="E409" i="7"/>
  <c r="E409" i="8"/>
  <c r="G409" i="8" s="1"/>
  <c r="D409" i="7" s="1"/>
  <c r="E246" i="7"/>
  <c r="C246" i="12"/>
  <c r="D246" i="12" s="1"/>
  <c r="E246" i="12" s="1"/>
  <c r="E246" i="8"/>
  <c r="G246" i="8" s="1"/>
  <c r="D246" i="7" s="1"/>
  <c r="C432" i="12"/>
  <c r="D432" i="12" s="1"/>
  <c r="E432" i="12" s="1"/>
  <c r="E432" i="8"/>
  <c r="G432" i="8" s="1"/>
  <c r="D432" i="7" s="1"/>
  <c r="E432" i="7"/>
  <c r="C650" i="12"/>
  <c r="E531" i="7"/>
  <c r="E531" i="8"/>
  <c r="G531" i="8" s="1"/>
  <c r="D531" i="7" s="1"/>
  <c r="E734" i="7"/>
  <c r="E734" i="8"/>
  <c r="G734" i="8" s="1"/>
  <c r="D734" i="7" s="1"/>
  <c r="E690" i="7"/>
  <c r="C690" i="12"/>
  <c r="D690" i="12" s="1"/>
  <c r="E690" i="8"/>
  <c r="G690" i="8" s="1"/>
  <c r="D690" i="7" s="1"/>
  <c r="C606" i="12"/>
  <c r="D606" i="12" s="1"/>
  <c r="E606" i="12" s="1"/>
  <c r="E606" i="8"/>
  <c r="G606" i="8" s="1"/>
  <c r="D606" i="7" s="1"/>
  <c r="E606" i="7"/>
  <c r="C530" i="12"/>
  <c r="D530" i="12" s="1"/>
  <c r="E530" i="12" s="1"/>
  <c r="E530" i="7"/>
  <c r="C590" i="12"/>
  <c r="D590" i="12" s="1"/>
  <c r="E590" i="12" s="1"/>
  <c r="E590" i="8"/>
  <c r="G590" i="8" s="1"/>
  <c r="D590" i="7" s="1"/>
  <c r="C711" i="12"/>
  <c r="D711" i="12" s="1"/>
  <c r="E711" i="12" s="1"/>
  <c r="E711" i="8"/>
  <c r="G711" i="8" s="1"/>
  <c r="D711" i="7" s="1"/>
  <c r="E696" i="7"/>
  <c r="C696" i="12"/>
  <c r="E252" i="7"/>
  <c r="E112" i="8"/>
  <c r="G112" i="8" s="1"/>
  <c r="D112" i="7" s="1"/>
  <c r="C507" i="12"/>
  <c r="D507" i="12" s="1"/>
  <c r="E507" i="12" s="1"/>
  <c r="E507" i="8"/>
  <c r="G507" i="8" s="1"/>
  <c r="D507" i="7" s="1"/>
  <c r="C709" i="12"/>
  <c r="D709" i="12" s="1"/>
  <c r="E709" i="12" s="1"/>
  <c r="C493" i="12"/>
  <c r="C297" i="12"/>
  <c r="D297" i="12" s="1"/>
  <c r="E297" i="7"/>
  <c r="E252" i="8"/>
  <c r="G252" i="8" s="1"/>
  <c r="D252" i="7" s="1"/>
  <c r="E445" i="8"/>
  <c r="G445" i="8" s="1"/>
  <c r="D445" i="7" s="1"/>
  <c r="C324" i="12"/>
  <c r="C655" i="12"/>
  <c r="D655" i="12" s="1"/>
  <c r="E302" i="8"/>
  <c r="G302" i="8" s="1"/>
  <c r="D302" i="7" s="1"/>
  <c r="E302" i="7"/>
  <c r="C540" i="12"/>
  <c r="C553" i="12"/>
  <c r="D553" i="12" s="1"/>
  <c r="E553" i="7"/>
  <c r="E721" i="8"/>
  <c r="G721" i="8" s="1"/>
  <c r="D721" i="7" s="1"/>
  <c r="E637" i="8"/>
  <c r="G637" i="8" s="1"/>
  <c r="D637" i="7" s="1"/>
  <c r="E519" i="8"/>
  <c r="G519" i="8" s="1"/>
  <c r="D519" i="7" s="1"/>
  <c r="C637" i="12"/>
  <c r="D637" i="12" s="1"/>
  <c r="E637" i="12" s="1"/>
  <c r="E408" i="7"/>
  <c r="E756" i="8"/>
  <c r="G756" i="8" s="1"/>
  <c r="D756" i="7" s="1"/>
  <c r="E630" i="8"/>
  <c r="G630" i="8" s="1"/>
  <c r="D630" i="7" s="1"/>
  <c r="E553" i="8"/>
  <c r="G553" i="8" s="1"/>
  <c r="D553" i="7" s="1"/>
  <c r="E375" i="8"/>
  <c r="G375" i="8" s="1"/>
  <c r="D375" i="7" s="1"/>
  <c r="C411" i="12"/>
  <c r="D411" i="12" s="1"/>
  <c r="E277" i="7"/>
  <c r="E649" i="7"/>
  <c r="E507" i="7"/>
  <c r="C591" i="12"/>
  <c r="D591" i="12" s="1"/>
  <c r="E591" i="12" s="1"/>
  <c r="C337" i="12"/>
  <c r="D337" i="12" s="1"/>
  <c r="E337" i="7"/>
  <c r="E603" i="8"/>
  <c r="G603" i="8" s="1"/>
  <c r="D603" i="7" s="1"/>
  <c r="E583" i="7"/>
  <c r="E423" i="8"/>
  <c r="G423" i="8" s="1"/>
  <c r="D423" i="7" s="1"/>
  <c r="E684" i="7"/>
  <c r="C684" i="12"/>
  <c r="D684" i="12" s="1"/>
  <c r="E559" i="7"/>
  <c r="C559" i="12"/>
  <c r="D559" i="12" s="1"/>
  <c r="E433" i="7"/>
  <c r="C433" i="12"/>
  <c r="D433" i="12" s="1"/>
  <c r="E433" i="12" s="1"/>
  <c r="C631" i="12"/>
  <c r="D631" i="12" s="1"/>
  <c r="E631" i="12" s="1"/>
  <c r="E631" i="7"/>
  <c r="E110" i="8"/>
  <c r="G110" i="8" s="1"/>
  <c r="D110" i="7" s="1"/>
  <c r="E110" i="7"/>
  <c r="C762" i="12"/>
  <c r="D762" i="12" s="1"/>
  <c r="E762" i="7"/>
  <c r="C626" i="12"/>
  <c r="D626" i="12" s="1"/>
  <c r="C577" i="12"/>
  <c r="D577" i="12" s="1"/>
  <c r="E577" i="12" s="1"/>
  <c r="C408" i="12"/>
  <c r="D408" i="12" s="1"/>
  <c r="E408" i="12" s="1"/>
  <c r="E182" i="7"/>
  <c r="E493" i="7"/>
  <c r="C336" i="12"/>
  <c r="E336" i="7"/>
  <c r="C348" i="12"/>
  <c r="D348" i="12" s="1"/>
  <c r="E348" i="12" s="1"/>
  <c r="C342" i="12"/>
  <c r="D342" i="12" s="1"/>
  <c r="E342" i="12" s="1"/>
  <c r="C123" i="12"/>
  <c r="D123" i="12" s="1"/>
  <c r="E123" i="12" s="1"/>
  <c r="E75" i="7"/>
  <c r="C159" i="12"/>
  <c r="E63" i="7"/>
  <c r="E452" i="8"/>
  <c r="G452" i="8" s="1"/>
  <c r="D452" i="7" s="1"/>
  <c r="E670" i="8"/>
  <c r="G670" i="8" s="1"/>
  <c r="D670" i="7" s="1"/>
  <c r="E261" i="7"/>
  <c r="E679" i="8"/>
  <c r="G679" i="8" s="1"/>
  <c r="D679" i="7" s="1"/>
  <c r="E547" i="8"/>
  <c r="G547" i="8" s="1"/>
  <c r="D547" i="7" s="1"/>
  <c r="E151" i="7"/>
  <c r="C43" i="12"/>
  <c r="D43" i="12" s="1"/>
  <c r="C259" i="12"/>
  <c r="D259" i="12" s="1"/>
  <c r="E259" i="12" s="1"/>
  <c r="C153" i="12"/>
  <c r="D153" i="12" s="1"/>
  <c r="E285" i="7"/>
  <c r="E748" i="8"/>
  <c r="G748" i="8" s="1"/>
  <c r="D748" i="7" s="1"/>
  <c r="E317" i="8"/>
  <c r="G317" i="8" s="1"/>
  <c r="D317" i="7" s="1"/>
  <c r="C125" i="12"/>
  <c r="D125" i="12" s="1"/>
  <c r="E735" i="8"/>
  <c r="G735" i="8" s="1"/>
  <c r="D735" i="7" s="1"/>
  <c r="E735" i="7"/>
  <c r="E687" i="7"/>
  <c r="E687" i="8"/>
  <c r="G687" i="8" s="1"/>
  <c r="D687" i="7" s="1"/>
  <c r="E663" i="8"/>
  <c r="G663" i="8" s="1"/>
  <c r="D663" i="7" s="1"/>
  <c r="E663" i="7"/>
  <c r="E639" i="8"/>
  <c r="G639" i="8" s="1"/>
  <c r="D639" i="7" s="1"/>
  <c r="E639" i="7"/>
  <c r="C579" i="12"/>
  <c r="D579" i="12" s="1"/>
  <c r="E579" i="12" s="1"/>
  <c r="E579" i="8"/>
  <c r="G579" i="8" s="1"/>
  <c r="D579" i="7" s="1"/>
  <c r="E567" i="7"/>
  <c r="C567" i="12"/>
  <c r="D567" i="12" s="1"/>
  <c r="E567" i="12" s="1"/>
  <c r="E555" i="7"/>
  <c r="E555" i="8"/>
  <c r="G555" i="8" s="1"/>
  <c r="D555" i="7" s="1"/>
  <c r="E483" i="7"/>
  <c r="C483" i="12"/>
  <c r="D483" i="12" s="1"/>
  <c r="C471" i="12"/>
  <c r="D471" i="12" s="1"/>
  <c r="E471" i="12" s="1"/>
  <c r="E471" i="7"/>
  <c r="E471" i="8"/>
  <c r="G471" i="8" s="1"/>
  <c r="D471" i="7" s="1"/>
  <c r="E435" i="8"/>
  <c r="G435" i="8" s="1"/>
  <c r="D435" i="7" s="1"/>
  <c r="E435" i="7"/>
  <c r="E363" i="8"/>
  <c r="G363" i="8" s="1"/>
  <c r="D363" i="7" s="1"/>
  <c r="E363" i="7"/>
  <c r="E339" i="8"/>
  <c r="G339" i="8" s="1"/>
  <c r="D339" i="7" s="1"/>
  <c r="E339" i="7"/>
  <c r="C315" i="12"/>
  <c r="D315" i="12" s="1"/>
  <c r="E315" i="8"/>
  <c r="G315" i="8" s="1"/>
  <c r="D315" i="7" s="1"/>
  <c r="E255" i="8"/>
  <c r="G255" i="8" s="1"/>
  <c r="D255" i="7" s="1"/>
  <c r="C255" i="12"/>
  <c r="D255" i="12" s="1"/>
  <c r="E255" i="12" s="1"/>
  <c r="C195" i="12"/>
  <c r="D195" i="12" s="1"/>
  <c r="E195" i="12" s="1"/>
  <c r="E195" i="8"/>
  <c r="G195" i="8" s="1"/>
  <c r="D195" i="7" s="1"/>
  <c r="E147" i="7"/>
  <c r="E147" i="8"/>
  <c r="G147" i="8" s="1"/>
  <c r="D147" i="7" s="1"/>
  <c r="C135" i="12"/>
  <c r="D135" i="12" s="1"/>
  <c r="E135" i="12" s="1"/>
  <c r="E135" i="7"/>
  <c r="C111" i="12"/>
  <c r="D111" i="12" s="1"/>
  <c r="E111" i="7"/>
  <c r="E51" i="8"/>
  <c r="G51" i="8" s="1"/>
  <c r="D51" i="7" s="1"/>
  <c r="E51" i="7"/>
  <c r="E567" i="8"/>
  <c r="G567" i="8" s="1"/>
  <c r="D567" i="7" s="1"/>
  <c r="E542" i="8"/>
  <c r="G542" i="8" s="1"/>
  <c r="D542" i="7" s="1"/>
  <c r="E459" i="8"/>
  <c r="G459" i="8" s="1"/>
  <c r="D459" i="7" s="1"/>
  <c r="E303" i="8"/>
  <c r="G303" i="8" s="1"/>
  <c r="D303" i="7" s="1"/>
  <c r="E248" i="8"/>
  <c r="G248" i="8" s="1"/>
  <c r="D248" i="7" s="1"/>
  <c r="E219" i="8"/>
  <c r="G219" i="8" s="1"/>
  <c r="D219" i="7" s="1"/>
  <c r="C543" i="12"/>
  <c r="D543" i="12" s="1"/>
  <c r="C470" i="12"/>
  <c r="D470" i="12" s="1"/>
  <c r="E470" i="12" s="1"/>
  <c r="C435" i="12"/>
  <c r="D435" i="12" s="1"/>
  <c r="E435" i="12" s="1"/>
  <c r="C220" i="12"/>
  <c r="D220" i="12" s="1"/>
  <c r="C182" i="12"/>
  <c r="D182" i="12" s="1"/>
  <c r="E182" i="12" s="1"/>
  <c r="C147" i="12"/>
  <c r="E122" i="7"/>
  <c r="E158" i="7"/>
  <c r="E350" i="7"/>
  <c r="E387" i="7"/>
  <c r="E590" i="7"/>
  <c r="E699" i="7"/>
  <c r="E698" i="7"/>
  <c r="E27" i="7"/>
  <c r="E761" i="7"/>
  <c r="E761" i="8"/>
  <c r="G761" i="8" s="1"/>
  <c r="D761" i="7" s="1"/>
  <c r="E617" i="7"/>
  <c r="C617" i="12"/>
  <c r="D617" i="12" s="1"/>
  <c r="E485" i="8"/>
  <c r="G485" i="8" s="1"/>
  <c r="D485" i="7" s="1"/>
  <c r="C485" i="12"/>
  <c r="D485" i="12" s="1"/>
  <c r="E485" i="12" s="1"/>
  <c r="E485" i="7"/>
  <c r="E700" i="8"/>
  <c r="G700" i="8" s="1"/>
  <c r="D700" i="7" s="1"/>
  <c r="E700" i="7"/>
  <c r="C628" i="12"/>
  <c r="D628" i="12" s="1"/>
  <c r="E628" i="7"/>
  <c r="E340" i="8"/>
  <c r="G340" i="8" s="1"/>
  <c r="D340" i="7" s="1"/>
  <c r="C340" i="12"/>
  <c r="D340" i="12" s="1"/>
  <c r="E340" i="12" s="1"/>
  <c r="C208" i="12"/>
  <c r="D208" i="12" s="1"/>
  <c r="E208" i="12" s="1"/>
  <c r="E208" i="7"/>
  <c r="C688" i="12"/>
  <c r="D688" i="12" s="1"/>
  <c r="E568" i="8"/>
  <c r="G568" i="8" s="1"/>
  <c r="D568" i="7" s="1"/>
  <c r="C556" i="12"/>
  <c r="D556" i="12" s="1"/>
  <c r="E674" i="7"/>
  <c r="C674" i="12"/>
  <c r="D674" i="12" s="1"/>
  <c r="C578" i="12"/>
  <c r="D578" i="12" s="1"/>
  <c r="E578" i="12" s="1"/>
  <c r="E578" i="8"/>
  <c r="G578" i="8" s="1"/>
  <c r="D578" i="7" s="1"/>
  <c r="E554" i="8"/>
  <c r="G554" i="8" s="1"/>
  <c r="D554" i="7" s="1"/>
  <c r="C554" i="12"/>
  <c r="D554" i="12" s="1"/>
  <c r="E554" i="12" s="1"/>
  <c r="E362" i="8"/>
  <c r="G362" i="8" s="1"/>
  <c r="D362" i="7" s="1"/>
  <c r="E362" i="7"/>
  <c r="E314" i="8"/>
  <c r="G314" i="8" s="1"/>
  <c r="D314" i="7" s="1"/>
  <c r="C314" i="12"/>
  <c r="D314" i="12" s="1"/>
  <c r="C254" i="12"/>
  <c r="D254" i="12" s="1"/>
  <c r="E254" i="7"/>
  <c r="C242" i="12"/>
  <c r="D242" i="12" s="1"/>
  <c r="E242" i="12" s="1"/>
  <c r="C63" i="12"/>
  <c r="D63" i="12" s="1"/>
  <c r="E63" i="12" s="1"/>
  <c r="E711" i="7"/>
  <c r="C327" i="12"/>
  <c r="D327" i="12" s="1"/>
  <c r="E758" i="8"/>
  <c r="G758" i="8" s="1"/>
  <c r="D758" i="7" s="1"/>
  <c r="E267" i="8"/>
  <c r="G267" i="8" s="1"/>
  <c r="D267" i="7" s="1"/>
  <c r="E184" i="8"/>
  <c r="G184" i="8" s="1"/>
  <c r="D184" i="7" s="1"/>
  <c r="C458" i="12"/>
  <c r="D458" i="12" s="1"/>
  <c r="E458" i="12" s="1"/>
  <c r="C99" i="12"/>
  <c r="D99" i="12" s="1"/>
  <c r="E99" i="12" s="1"/>
  <c r="E653" i="7"/>
  <c r="C338" i="12"/>
  <c r="D338" i="12" s="1"/>
  <c r="E338" i="12" s="1"/>
  <c r="C545" i="12"/>
  <c r="C323" i="12"/>
  <c r="D323" i="12" s="1"/>
  <c r="E323" i="12" s="1"/>
  <c r="C268" i="12"/>
  <c r="D268" i="12" s="1"/>
  <c r="E268" i="12" s="1"/>
  <c r="E736" i="8"/>
  <c r="G736" i="8" s="1"/>
  <c r="D736" i="7" s="1"/>
  <c r="E736" i="7"/>
  <c r="C520" i="12"/>
  <c r="D520" i="12" s="1"/>
  <c r="E520" i="7"/>
  <c r="C196" i="12"/>
  <c r="D196" i="12" s="1"/>
  <c r="E196" i="12" s="1"/>
  <c r="E196" i="8"/>
  <c r="G196" i="8" s="1"/>
  <c r="D196" i="7" s="1"/>
  <c r="E172" i="7"/>
  <c r="E172" i="8"/>
  <c r="G172" i="8" s="1"/>
  <c r="D172" i="7" s="1"/>
  <c r="E136" i="7"/>
  <c r="C136" i="12"/>
  <c r="D136" i="12" s="1"/>
  <c r="E106" i="8"/>
  <c r="G106" i="8" s="1"/>
  <c r="D106" i="7" s="1"/>
  <c r="E106" i="7"/>
  <c r="E94" i="7"/>
  <c r="C94" i="12"/>
  <c r="D94" i="12" s="1"/>
  <c r="E340" i="7"/>
  <c r="C736" i="12"/>
  <c r="D736" i="12" s="1"/>
  <c r="E388" i="7"/>
  <c r="C746" i="12"/>
  <c r="D746" i="12" s="1"/>
  <c r="E746" i="12" s="1"/>
  <c r="E746" i="7"/>
  <c r="C680" i="12"/>
  <c r="D680" i="12" s="1"/>
  <c r="E680" i="12" s="1"/>
  <c r="E680" i="7"/>
  <c r="E284" i="8"/>
  <c r="G284" i="8" s="1"/>
  <c r="D284" i="7" s="1"/>
  <c r="E284" i="7"/>
  <c r="E230" i="7"/>
  <c r="C230" i="12"/>
  <c r="D230" i="12" s="1"/>
  <c r="E230" i="12" s="1"/>
  <c r="E86" i="7"/>
  <c r="C86" i="12"/>
  <c r="D86" i="12" s="1"/>
  <c r="E86" i="12" s="1"/>
  <c r="E99" i="8"/>
  <c r="G99" i="8" s="1"/>
  <c r="D99" i="7" s="1"/>
  <c r="C710" i="12"/>
  <c r="D710" i="12" s="1"/>
  <c r="C506" i="12"/>
  <c r="D506" i="12" s="1"/>
  <c r="E506" i="12" s="1"/>
  <c r="E125" i="7"/>
  <c r="E279" i="7"/>
  <c r="E316" i="7"/>
  <c r="E650" i="7"/>
  <c r="C38" i="12"/>
  <c r="D38" i="12" s="1"/>
  <c r="E38" i="12" s="1"/>
  <c r="C464" i="12"/>
  <c r="D464" i="12" s="1"/>
  <c r="E464" i="12" s="1"/>
  <c r="C399" i="12"/>
  <c r="D399" i="12" s="1"/>
  <c r="E399" i="12" s="1"/>
  <c r="E231" i="7"/>
  <c r="E167" i="7"/>
  <c r="E111" i="8"/>
  <c r="G111" i="8" s="1"/>
  <c r="D111" i="7" s="1"/>
  <c r="E698" i="8"/>
  <c r="G698" i="8" s="1"/>
  <c r="D698" i="7" s="1"/>
  <c r="E614" i="8"/>
  <c r="G614" i="8" s="1"/>
  <c r="D614" i="7" s="1"/>
  <c r="E482" i="8"/>
  <c r="G482" i="8" s="1"/>
  <c r="D482" i="7" s="1"/>
  <c r="E242" i="8"/>
  <c r="G242" i="8" s="1"/>
  <c r="D242" i="7" s="1"/>
  <c r="E98" i="8"/>
  <c r="G98" i="8" s="1"/>
  <c r="D98" i="7" s="1"/>
  <c r="C735" i="12"/>
  <c r="D735" i="12" s="1"/>
  <c r="E530" i="8"/>
  <c r="G530" i="8" s="1"/>
  <c r="D530" i="7" s="1"/>
  <c r="E506" i="8"/>
  <c r="G506" i="8" s="1"/>
  <c r="D506" i="7" s="1"/>
  <c r="E326" i="8"/>
  <c r="G326" i="8" s="1"/>
  <c r="D326" i="7" s="1"/>
  <c r="E122" i="8"/>
  <c r="G122" i="8" s="1"/>
  <c r="D122" i="7" s="1"/>
  <c r="C734" i="12"/>
  <c r="D734" i="12" s="1"/>
  <c r="E734" i="12" s="1"/>
  <c r="C267" i="12"/>
  <c r="D267" i="12" s="1"/>
  <c r="E267" i="12" s="1"/>
  <c r="E759" i="7"/>
  <c r="E527" i="8"/>
  <c r="G527" i="8" s="1"/>
  <c r="D527" i="7" s="1"/>
  <c r="E224" i="8"/>
  <c r="G224" i="8" s="1"/>
  <c r="D224" i="7" s="1"/>
  <c r="E521" i="8"/>
  <c r="G521" i="8" s="1"/>
  <c r="D521" i="7" s="1"/>
  <c r="C388" i="12"/>
  <c r="D388" i="12" s="1"/>
  <c r="E724" i="8"/>
  <c r="G724" i="8" s="1"/>
  <c r="D724" i="7" s="1"/>
  <c r="E638" i="8"/>
  <c r="G638" i="8" s="1"/>
  <c r="D638" i="7" s="1"/>
  <c r="E448" i="8"/>
  <c r="G448" i="8" s="1"/>
  <c r="D448" i="7" s="1"/>
  <c r="E387" i="8"/>
  <c r="G387" i="8" s="1"/>
  <c r="D387" i="7" s="1"/>
  <c r="E291" i="8"/>
  <c r="G291" i="8" s="1"/>
  <c r="D291" i="7" s="1"/>
  <c r="E39" i="8"/>
  <c r="G39" i="8" s="1"/>
  <c r="D39" i="7" s="1"/>
  <c r="C639" i="12"/>
  <c r="D639" i="12" s="1"/>
  <c r="C603" i="12"/>
  <c r="D603" i="12" s="1"/>
  <c r="E603" i="12" s="1"/>
  <c r="C531" i="12"/>
  <c r="D531" i="12" s="1"/>
  <c r="E531" i="12" s="1"/>
  <c r="C339" i="12"/>
  <c r="D339" i="12" s="1"/>
  <c r="C302" i="12"/>
  <c r="D302" i="12" s="1"/>
  <c r="E302" i="12" s="1"/>
  <c r="C206" i="12"/>
  <c r="E98" i="7"/>
  <c r="C592" i="12"/>
  <c r="D592" i="12" s="1"/>
  <c r="E592" i="12" s="1"/>
  <c r="E592" i="7"/>
  <c r="E341" i="8"/>
  <c r="G341" i="8" s="1"/>
  <c r="D341" i="7" s="1"/>
  <c r="C244" i="12"/>
  <c r="D244" i="12" s="1"/>
  <c r="E244" i="12" s="1"/>
  <c r="E112" i="7"/>
  <c r="E686" i="8"/>
  <c r="G686" i="8" s="1"/>
  <c r="D686" i="7" s="1"/>
  <c r="E686" i="7"/>
  <c r="E398" i="7"/>
  <c r="E398" i="8"/>
  <c r="G398" i="8" s="1"/>
  <c r="D398" i="7" s="1"/>
  <c r="C386" i="12"/>
  <c r="D386" i="12" s="1"/>
  <c r="E386" i="7"/>
  <c r="C194" i="12"/>
  <c r="E194" i="8"/>
  <c r="G194" i="8" s="1"/>
  <c r="D194" i="7" s="1"/>
  <c r="E194" i="7"/>
  <c r="E170" i="8"/>
  <c r="G170" i="8" s="1"/>
  <c r="D170" i="7" s="1"/>
  <c r="E170" i="7"/>
  <c r="C170" i="12"/>
  <c r="C134" i="12"/>
  <c r="D134" i="12" s="1"/>
  <c r="E134" i="12" s="1"/>
  <c r="E134" i="7"/>
  <c r="E699" i="8"/>
  <c r="G699" i="8" s="1"/>
  <c r="D699" i="7" s="1"/>
  <c r="E591" i="8"/>
  <c r="G591" i="8" s="1"/>
  <c r="D591" i="7" s="1"/>
  <c r="E483" i="8"/>
  <c r="G483" i="8" s="1"/>
  <c r="D483" i="7" s="1"/>
  <c r="E243" i="8"/>
  <c r="G243" i="8" s="1"/>
  <c r="D243" i="7" s="1"/>
  <c r="E722" i="8"/>
  <c r="G722" i="8" s="1"/>
  <c r="D722" i="7" s="1"/>
  <c r="E447" i="8"/>
  <c r="G447" i="8" s="1"/>
  <c r="D447" i="7" s="1"/>
  <c r="E386" i="8"/>
  <c r="G386" i="8" s="1"/>
  <c r="D386" i="7" s="1"/>
  <c r="E290" i="8"/>
  <c r="G290" i="8" s="1"/>
  <c r="D290" i="7" s="1"/>
  <c r="E206" i="8"/>
  <c r="G206" i="8" s="1"/>
  <c r="D206" i="7" s="1"/>
  <c r="C759" i="12"/>
  <c r="D759" i="12" s="1"/>
  <c r="E759" i="12" s="1"/>
  <c r="E622" i="7"/>
  <c r="E724" i="7"/>
  <c r="E749" i="8"/>
  <c r="G749" i="8" s="1"/>
  <c r="D749" i="7" s="1"/>
  <c r="E579" i="7"/>
  <c r="E519" i="7"/>
  <c r="C59" i="12"/>
  <c r="E59" i="7"/>
  <c r="E57" i="7"/>
  <c r="E57" i="8"/>
  <c r="G57" i="8" s="1"/>
  <c r="D57" i="7" s="1"/>
  <c r="C453" i="12"/>
  <c r="D453" i="12" s="1"/>
  <c r="C740" i="12"/>
  <c r="D740" i="12" s="1"/>
  <c r="E740" i="8"/>
  <c r="G740" i="8" s="1"/>
  <c r="D740" i="7" s="1"/>
  <c r="C704" i="12"/>
  <c r="D704" i="12" s="1"/>
  <c r="E704" i="12" s="1"/>
  <c r="E704" i="7"/>
  <c r="C668" i="12"/>
  <c r="D668" i="12" s="1"/>
  <c r="E668" i="12" s="1"/>
  <c r="E668" i="7"/>
  <c r="E596" i="7"/>
  <c r="C596" i="12"/>
  <c r="D596" i="12" s="1"/>
  <c r="E596" i="12" s="1"/>
  <c r="E584" i="7"/>
  <c r="C584" i="12"/>
  <c r="D584" i="12" s="1"/>
  <c r="C560" i="12"/>
  <c r="D560" i="12" s="1"/>
  <c r="E560" i="12" s="1"/>
  <c r="E560" i="7"/>
  <c r="C548" i="12"/>
  <c r="E548" i="8"/>
  <c r="G548" i="8" s="1"/>
  <c r="D548" i="7" s="1"/>
  <c r="E536" i="7"/>
  <c r="C536" i="12"/>
  <c r="D536" i="12" s="1"/>
  <c r="E536" i="12" s="1"/>
  <c r="E536" i="8"/>
  <c r="G536" i="8" s="1"/>
  <c r="D536" i="7" s="1"/>
  <c r="E524" i="7"/>
  <c r="C524" i="12"/>
  <c r="D524" i="12" s="1"/>
  <c r="E524" i="8"/>
  <c r="G524" i="8" s="1"/>
  <c r="D524" i="7" s="1"/>
  <c r="C500" i="12"/>
  <c r="D500" i="12" s="1"/>
  <c r="E500" i="7"/>
  <c r="C440" i="12"/>
  <c r="D440" i="12" s="1"/>
  <c r="E440" i="8"/>
  <c r="G440" i="8" s="1"/>
  <c r="D440" i="7" s="1"/>
  <c r="E440" i="7"/>
  <c r="C428" i="12"/>
  <c r="E428" i="7"/>
  <c r="C416" i="12"/>
  <c r="D416" i="12" s="1"/>
  <c r="E416" i="12" s="1"/>
  <c r="E416" i="7"/>
  <c r="E404" i="7"/>
  <c r="C404" i="12"/>
  <c r="D404" i="12" s="1"/>
  <c r="E404" i="12" s="1"/>
  <c r="E392" i="7"/>
  <c r="C392" i="12"/>
  <c r="D392" i="12" s="1"/>
  <c r="E392" i="12" s="1"/>
  <c r="E392" i="8"/>
  <c r="G392" i="8" s="1"/>
  <c r="D392" i="7" s="1"/>
  <c r="E380" i="7"/>
  <c r="C380" i="12"/>
  <c r="D380" i="12" s="1"/>
  <c r="E380" i="12" s="1"/>
  <c r="E380" i="8"/>
  <c r="G380" i="8" s="1"/>
  <c r="D380" i="7" s="1"/>
  <c r="E368" i="7"/>
  <c r="C368" i="12"/>
  <c r="D368" i="12" s="1"/>
  <c r="E368" i="12" s="1"/>
  <c r="E356" i="7"/>
  <c r="C356" i="12"/>
  <c r="D356" i="12" s="1"/>
  <c r="C344" i="12"/>
  <c r="D344" i="12" s="1"/>
  <c r="E344" i="12" s="1"/>
  <c r="E344" i="7"/>
  <c r="E320" i="8"/>
  <c r="G320" i="8" s="1"/>
  <c r="D320" i="7" s="1"/>
  <c r="E320" i="7"/>
  <c r="E308" i="7"/>
  <c r="E308" i="8"/>
  <c r="G308" i="8" s="1"/>
  <c r="D308" i="7" s="1"/>
  <c r="E272" i="7"/>
  <c r="C272" i="12"/>
  <c r="D272" i="12" s="1"/>
  <c r="E272" i="12" s="1"/>
  <c r="E260" i="7"/>
  <c r="C260" i="12"/>
  <c r="D260" i="12" s="1"/>
  <c r="E260" i="12" s="1"/>
  <c r="E188" i="7"/>
  <c r="C188" i="12"/>
  <c r="D188" i="12" s="1"/>
  <c r="E188" i="12" s="1"/>
  <c r="C176" i="12"/>
  <c r="D176" i="12" s="1"/>
  <c r="E176" i="12" s="1"/>
  <c r="E176" i="7"/>
  <c r="E176" i="8"/>
  <c r="G176" i="8" s="1"/>
  <c r="D176" i="7" s="1"/>
  <c r="E152" i="8"/>
  <c r="G152" i="8" s="1"/>
  <c r="D152" i="7" s="1"/>
  <c r="E152" i="7"/>
  <c r="C140" i="12"/>
  <c r="D140" i="12" s="1"/>
  <c r="E140" i="12" s="1"/>
  <c r="E140" i="7"/>
  <c r="C116" i="12"/>
  <c r="D116" i="12" s="1"/>
  <c r="E116" i="12" s="1"/>
  <c r="E116" i="8"/>
  <c r="G116" i="8" s="1"/>
  <c r="D116" i="7" s="1"/>
  <c r="E116" i="7"/>
  <c r="C104" i="12"/>
  <c r="D104" i="12" s="1"/>
  <c r="E104" i="12" s="1"/>
  <c r="E104" i="7"/>
  <c r="E104" i="8"/>
  <c r="G104" i="8" s="1"/>
  <c r="D104" i="7" s="1"/>
  <c r="E92" i="7"/>
  <c r="C92" i="12"/>
  <c r="D92" i="12" s="1"/>
  <c r="E92" i="12" s="1"/>
  <c r="E635" i="8"/>
  <c r="G635" i="8" s="1"/>
  <c r="D635" i="7" s="1"/>
  <c r="E623" i="8"/>
  <c r="G623" i="8" s="1"/>
  <c r="D623" i="7" s="1"/>
  <c r="E609" i="8"/>
  <c r="G609" i="8" s="1"/>
  <c r="D609" i="7" s="1"/>
  <c r="E560" i="8"/>
  <c r="G560" i="8" s="1"/>
  <c r="D560" i="7" s="1"/>
  <c r="E356" i="8"/>
  <c r="G356" i="8" s="1"/>
  <c r="D356" i="7" s="1"/>
  <c r="E261" i="8"/>
  <c r="G261" i="8" s="1"/>
  <c r="D261" i="7" s="1"/>
  <c r="C634" i="12"/>
  <c r="D634" i="12" s="1"/>
  <c r="C608" i="12"/>
  <c r="D608" i="12" s="1"/>
  <c r="E608" i="12" s="1"/>
  <c r="C449" i="12"/>
  <c r="D449" i="12" s="1"/>
  <c r="C285" i="12"/>
  <c r="D285" i="12" s="1"/>
  <c r="C57" i="12"/>
  <c r="D57" i="12" s="1"/>
  <c r="E128" i="7"/>
  <c r="E749" i="7"/>
  <c r="E452" i="7"/>
  <c r="C739" i="12"/>
  <c r="D739" i="12" s="1"/>
  <c r="E739" i="8"/>
  <c r="G739" i="8" s="1"/>
  <c r="D739" i="7" s="1"/>
  <c r="E727" i="7"/>
  <c r="E727" i="8"/>
  <c r="G727" i="8" s="1"/>
  <c r="D727" i="7" s="1"/>
  <c r="E715" i="8"/>
  <c r="G715" i="8" s="1"/>
  <c r="D715" i="7" s="1"/>
  <c r="E715" i="7"/>
  <c r="C715" i="12"/>
  <c r="D715" i="12" s="1"/>
  <c r="E715" i="12" s="1"/>
  <c r="E703" i="7"/>
  <c r="E703" i="8"/>
  <c r="G703" i="8" s="1"/>
  <c r="D703" i="7" s="1"/>
  <c r="C703" i="12"/>
  <c r="D703" i="12" s="1"/>
  <c r="E691" i="7"/>
  <c r="C691" i="12"/>
  <c r="D691" i="12" s="1"/>
  <c r="E691" i="12" s="1"/>
  <c r="E667" i="7"/>
  <c r="C667" i="12"/>
  <c r="D667" i="12" s="1"/>
  <c r="E643" i="7"/>
  <c r="C643" i="12"/>
  <c r="D643" i="12" s="1"/>
  <c r="E619" i="7"/>
  <c r="C619" i="12"/>
  <c r="D619" i="12" s="1"/>
  <c r="C535" i="12"/>
  <c r="E535" i="8"/>
  <c r="G535" i="8" s="1"/>
  <c r="D535" i="7" s="1"/>
  <c r="E535" i="7"/>
  <c r="E523" i="7"/>
  <c r="E523" i="8"/>
  <c r="G523" i="8" s="1"/>
  <c r="D523" i="7" s="1"/>
  <c r="C523" i="12"/>
  <c r="D523" i="12" s="1"/>
  <c r="C511" i="12"/>
  <c r="E511" i="7"/>
  <c r="E511" i="8"/>
  <c r="G511" i="8" s="1"/>
  <c r="D511" i="7" s="1"/>
  <c r="E499" i="7"/>
  <c r="C499" i="12"/>
  <c r="D499" i="12" s="1"/>
  <c r="E499" i="12" s="1"/>
  <c r="C475" i="12"/>
  <c r="D475" i="12" s="1"/>
  <c r="E475" i="8"/>
  <c r="G475" i="8" s="1"/>
  <c r="D475" i="7" s="1"/>
  <c r="E475" i="7"/>
  <c r="E463" i="7"/>
  <c r="C463" i="12"/>
  <c r="D463" i="12" s="1"/>
  <c r="E463" i="12" s="1"/>
  <c r="E451" i="7"/>
  <c r="E451" i="8"/>
  <c r="G451" i="8" s="1"/>
  <c r="D451" i="7" s="1"/>
  <c r="E439" i="7"/>
  <c r="C439" i="12"/>
  <c r="D439" i="12" s="1"/>
  <c r="E439" i="8"/>
  <c r="G439" i="8" s="1"/>
  <c r="D439" i="7" s="1"/>
  <c r="C427" i="12"/>
  <c r="E427" i="7"/>
  <c r="E415" i="7"/>
  <c r="C415" i="12"/>
  <c r="D415" i="12" s="1"/>
  <c r="E415" i="8"/>
  <c r="G415" i="8" s="1"/>
  <c r="D415" i="7" s="1"/>
  <c r="E391" i="8"/>
  <c r="G391" i="8" s="1"/>
  <c r="D391" i="7" s="1"/>
  <c r="E391" i="7"/>
  <c r="C379" i="12"/>
  <c r="D379" i="12" s="1"/>
  <c r="E379" i="8"/>
  <c r="G379" i="8" s="1"/>
  <c r="D379" i="7" s="1"/>
  <c r="E379" i="7"/>
  <c r="C367" i="12"/>
  <c r="D367" i="12" s="1"/>
  <c r="E367" i="8"/>
  <c r="G367" i="8" s="1"/>
  <c r="D367" i="7" s="1"/>
  <c r="E355" i="7"/>
  <c r="C355" i="12"/>
  <c r="D355" i="12" s="1"/>
  <c r="E331" i="7"/>
  <c r="C331" i="12"/>
  <c r="D331" i="12" s="1"/>
  <c r="E331" i="12" s="1"/>
  <c r="E319" i="7"/>
  <c r="E319" i="8"/>
  <c r="G319" i="8" s="1"/>
  <c r="D319" i="7" s="1"/>
  <c r="C319" i="12"/>
  <c r="D319" i="12" s="1"/>
  <c r="E680" i="8"/>
  <c r="G680" i="8" s="1"/>
  <c r="D680" i="7" s="1"/>
  <c r="E634" i="8"/>
  <c r="G634" i="8" s="1"/>
  <c r="D634" i="7" s="1"/>
  <c r="E622" i="8"/>
  <c r="G622" i="8" s="1"/>
  <c r="D622" i="7" s="1"/>
  <c r="E608" i="8"/>
  <c r="G608" i="8" s="1"/>
  <c r="D608" i="7" s="1"/>
  <c r="E559" i="8"/>
  <c r="G559" i="8" s="1"/>
  <c r="D559" i="7" s="1"/>
  <c r="E449" i="8"/>
  <c r="G449" i="8" s="1"/>
  <c r="D449" i="7" s="1"/>
  <c r="E355" i="8"/>
  <c r="G355" i="8" s="1"/>
  <c r="D355" i="7" s="1"/>
  <c r="E297" i="8"/>
  <c r="G297" i="8" s="1"/>
  <c r="D297" i="7" s="1"/>
  <c r="E260" i="8"/>
  <c r="G260" i="8" s="1"/>
  <c r="D260" i="7" s="1"/>
  <c r="E154" i="8"/>
  <c r="G154" i="8" s="1"/>
  <c r="D154" i="7" s="1"/>
  <c r="C763" i="12"/>
  <c r="D763" i="12" s="1"/>
  <c r="E763" i="12" s="1"/>
  <c r="C653" i="12"/>
  <c r="C633" i="12"/>
  <c r="D633" i="12" s="1"/>
  <c r="E633" i="12" s="1"/>
  <c r="C284" i="12"/>
  <c r="D284" i="12" s="1"/>
  <c r="E129" i="7"/>
  <c r="E248" i="7"/>
  <c r="E367" i="7"/>
  <c r="E575" i="7"/>
  <c r="E635" i="7"/>
  <c r="E548" i="7"/>
  <c r="E33" i="12"/>
  <c r="E755" i="7"/>
  <c r="C755" i="12"/>
  <c r="D755" i="12" s="1"/>
  <c r="E755" i="12" s="1"/>
  <c r="E755" i="8"/>
  <c r="G755" i="8" s="1"/>
  <c r="D755" i="7" s="1"/>
  <c r="E695" i="7"/>
  <c r="C695" i="12"/>
  <c r="D695" i="12" s="1"/>
  <c r="E587" i="7"/>
  <c r="C587" i="12"/>
  <c r="D587" i="12" s="1"/>
  <c r="E587" i="8"/>
  <c r="G587" i="8" s="1"/>
  <c r="D587" i="7" s="1"/>
  <c r="E467" i="7"/>
  <c r="E467" i="8"/>
  <c r="G467" i="8" s="1"/>
  <c r="D467" i="7" s="1"/>
  <c r="E419" i="7"/>
  <c r="C419" i="12"/>
  <c r="D419" i="12" s="1"/>
  <c r="E83" i="7"/>
  <c r="C83" i="12"/>
  <c r="D83" i="12" s="1"/>
  <c r="E682" i="7"/>
  <c r="C682" i="12"/>
  <c r="D682" i="12" s="1"/>
  <c r="E682" i="12" s="1"/>
  <c r="E598" i="7"/>
  <c r="C598" i="12"/>
  <c r="D598" i="12" s="1"/>
  <c r="E550" i="7"/>
  <c r="E550" i="8"/>
  <c r="G550" i="8" s="1"/>
  <c r="D550" i="7" s="1"/>
  <c r="E538" i="7"/>
  <c r="C538" i="12"/>
  <c r="D538" i="12" s="1"/>
  <c r="E538" i="8"/>
  <c r="G538" i="8" s="1"/>
  <c r="D538" i="7" s="1"/>
  <c r="C514" i="12"/>
  <c r="D514" i="12" s="1"/>
  <c r="E514" i="12" s="1"/>
  <c r="E514" i="7"/>
  <c r="E490" i="7"/>
  <c r="C490" i="12"/>
  <c r="D490" i="12" s="1"/>
  <c r="E490" i="8"/>
  <c r="G490" i="8" s="1"/>
  <c r="D490" i="7" s="1"/>
  <c r="E466" i="7"/>
  <c r="E466" i="8"/>
  <c r="G466" i="8" s="1"/>
  <c r="D466" i="7" s="1"/>
  <c r="C466" i="12"/>
  <c r="D466" i="12" s="1"/>
  <c r="E466" i="12" s="1"/>
  <c r="E406" i="8"/>
  <c r="G406" i="8" s="1"/>
  <c r="D406" i="7" s="1"/>
  <c r="E406" i="7"/>
  <c r="E370" i="7"/>
  <c r="E370" i="8"/>
  <c r="G370" i="8" s="1"/>
  <c r="D370" i="7" s="1"/>
  <c r="C358" i="12"/>
  <c r="D358" i="12" s="1"/>
  <c r="E358" i="7"/>
  <c r="E334" i="7"/>
  <c r="E334" i="8"/>
  <c r="G334" i="8" s="1"/>
  <c r="D334" i="7" s="1"/>
  <c r="E298" i="7"/>
  <c r="C298" i="12"/>
  <c r="D298" i="12" s="1"/>
  <c r="E298" i="12" s="1"/>
  <c r="C238" i="12"/>
  <c r="D238" i="12" s="1"/>
  <c r="E238" i="7"/>
  <c r="E178" i="7"/>
  <c r="E178" i="8"/>
  <c r="G178" i="8" s="1"/>
  <c r="D178" i="7" s="1"/>
  <c r="C178" i="12"/>
  <c r="C82" i="12"/>
  <c r="D82" i="12" s="1"/>
  <c r="E82" i="12" s="1"/>
  <c r="E82" i="7"/>
  <c r="C46" i="12"/>
  <c r="D46" i="12" s="1"/>
  <c r="E46" i="12" s="1"/>
  <c r="E46" i="7"/>
  <c r="C370" i="12"/>
  <c r="D370" i="12" s="1"/>
  <c r="E370" i="12" s="1"/>
  <c r="E454" i="8"/>
  <c r="G454" i="8" s="1"/>
  <c r="D454" i="7" s="1"/>
  <c r="E753" i="7"/>
  <c r="E753" i="8"/>
  <c r="G753" i="8" s="1"/>
  <c r="D753" i="7" s="1"/>
  <c r="C741" i="12"/>
  <c r="D741" i="12" s="1"/>
  <c r="E741" i="8"/>
  <c r="G741" i="8" s="1"/>
  <c r="D741" i="7" s="1"/>
  <c r="E741" i="7"/>
  <c r="C717" i="12"/>
  <c r="D717" i="12" s="1"/>
  <c r="E717" i="12" s="1"/>
  <c r="E717" i="7"/>
  <c r="C705" i="12"/>
  <c r="D705" i="12" s="1"/>
  <c r="E705" i="7"/>
  <c r="C621" i="12"/>
  <c r="D621" i="12" s="1"/>
  <c r="E621" i="7"/>
  <c r="C549" i="12"/>
  <c r="D549" i="12" s="1"/>
  <c r="E549" i="8"/>
  <c r="G549" i="8" s="1"/>
  <c r="D549" i="7" s="1"/>
  <c r="C477" i="12"/>
  <c r="D477" i="12" s="1"/>
  <c r="E477" i="12" s="1"/>
  <c r="E477" i="7"/>
  <c r="E417" i="7"/>
  <c r="C417" i="12"/>
  <c r="D417" i="12" s="1"/>
  <c r="E417" i="12" s="1"/>
  <c r="E393" i="7"/>
  <c r="E393" i="8"/>
  <c r="G393" i="8" s="1"/>
  <c r="D393" i="7" s="1"/>
  <c r="E321" i="7"/>
  <c r="C321" i="12"/>
  <c r="D321" i="12" s="1"/>
  <c r="E321" i="8"/>
  <c r="G321" i="8" s="1"/>
  <c r="D321" i="7" s="1"/>
  <c r="C249" i="12"/>
  <c r="D249" i="12" s="1"/>
  <c r="E249" i="7"/>
  <c r="E189" i="7"/>
  <c r="E189" i="8"/>
  <c r="G189" i="8" s="1"/>
  <c r="D189" i="7" s="1"/>
  <c r="C141" i="12"/>
  <c r="D141" i="12" s="1"/>
  <c r="E141" i="7"/>
  <c r="E683" i="8"/>
  <c r="G683" i="8" s="1"/>
  <c r="D683" i="7" s="1"/>
  <c r="E357" i="8"/>
  <c r="G357" i="8" s="1"/>
  <c r="D357" i="7" s="1"/>
  <c r="C585" i="12"/>
  <c r="D585" i="12" s="1"/>
  <c r="E154" i="7"/>
  <c r="E692" i="7"/>
  <c r="C692" i="12"/>
  <c r="D692" i="12" s="1"/>
  <c r="E428" i="8"/>
  <c r="G428" i="8" s="1"/>
  <c r="D428" i="7" s="1"/>
  <c r="E371" i="8"/>
  <c r="G371" i="8" s="1"/>
  <c r="D371" i="7" s="1"/>
  <c r="E188" i="8"/>
  <c r="G188" i="8" s="1"/>
  <c r="D188" i="7" s="1"/>
  <c r="C425" i="12"/>
  <c r="D425" i="12" s="1"/>
  <c r="E425" i="12" s="1"/>
  <c r="E425" i="8"/>
  <c r="G425" i="8" s="1"/>
  <c r="D425" i="7" s="1"/>
  <c r="E425" i="7"/>
  <c r="E401" i="7"/>
  <c r="C401" i="12"/>
  <c r="D401" i="12" s="1"/>
  <c r="E353" i="7"/>
  <c r="E353" i="8"/>
  <c r="G353" i="8" s="1"/>
  <c r="D353" i="7" s="1"/>
  <c r="C353" i="12"/>
  <c r="D353" i="12" s="1"/>
  <c r="E353" i="12" s="1"/>
  <c r="E233" i="7"/>
  <c r="C233" i="12"/>
  <c r="D233" i="12" s="1"/>
  <c r="E233" i="8"/>
  <c r="G233" i="8" s="1"/>
  <c r="D233" i="7" s="1"/>
  <c r="E113" i="7"/>
  <c r="E113" i="8"/>
  <c r="G113" i="8" s="1"/>
  <c r="D113" i="7" s="1"/>
  <c r="C113" i="12"/>
  <c r="D113" i="12" s="1"/>
  <c r="E113" i="12" s="1"/>
  <c r="E407" i="7"/>
  <c r="E692" i="8"/>
  <c r="G692" i="8" s="1"/>
  <c r="D692" i="7" s="1"/>
  <c r="E643" i="8"/>
  <c r="G643" i="8" s="1"/>
  <c r="D643" i="7" s="1"/>
  <c r="E368" i="8"/>
  <c r="G368" i="8" s="1"/>
  <c r="D368" i="7" s="1"/>
  <c r="E238" i="8"/>
  <c r="G238" i="8" s="1"/>
  <c r="D238" i="7" s="1"/>
  <c r="E341" i="7"/>
  <c r="E545" i="7"/>
  <c r="E679" i="7"/>
  <c r="E691" i="8"/>
  <c r="G691" i="8" s="1"/>
  <c r="D691" i="7" s="1"/>
  <c r="E201" i="8"/>
  <c r="G201" i="8" s="1"/>
  <c r="D201" i="7" s="1"/>
  <c r="E167" i="8"/>
  <c r="G167" i="8" s="1"/>
  <c r="D167" i="7" s="1"/>
  <c r="E129" i="8"/>
  <c r="G129" i="8" s="1"/>
  <c r="D129" i="7" s="1"/>
  <c r="C647" i="12"/>
  <c r="D647" i="12" s="1"/>
  <c r="E647" i="12" s="1"/>
  <c r="C595" i="12"/>
  <c r="D595" i="12" s="1"/>
  <c r="C575" i="12"/>
  <c r="D575" i="12" s="1"/>
  <c r="E575" i="12" s="1"/>
  <c r="C550" i="12"/>
  <c r="D550" i="12" s="1"/>
  <c r="E550" i="12" s="1"/>
  <c r="C406" i="12"/>
  <c r="D406" i="12" s="1"/>
  <c r="C381" i="12"/>
  <c r="D381" i="12" s="1"/>
  <c r="E381" i="12" s="1"/>
  <c r="C322" i="12"/>
  <c r="D322" i="12" s="1"/>
  <c r="C224" i="12"/>
  <c r="D224" i="12" s="1"/>
  <c r="E224" i="12" s="1"/>
  <c r="C149" i="12"/>
  <c r="D149" i="12" s="1"/>
  <c r="E317" i="7"/>
  <c r="E547" i="7"/>
  <c r="E585" i="7"/>
  <c r="E607" i="7"/>
  <c r="E683" i="7"/>
  <c r="E725" i="7"/>
  <c r="E740" i="7"/>
  <c r="C707" i="12"/>
  <c r="D707" i="12" s="1"/>
  <c r="E707" i="7"/>
  <c r="C671" i="12"/>
  <c r="D671" i="12" s="1"/>
  <c r="E671" i="12" s="1"/>
  <c r="E671" i="7"/>
  <c r="E563" i="7"/>
  <c r="E563" i="8"/>
  <c r="G563" i="8" s="1"/>
  <c r="D563" i="7" s="1"/>
  <c r="E551" i="7"/>
  <c r="C551" i="12"/>
  <c r="D551" i="12" s="1"/>
  <c r="E539" i="7"/>
  <c r="E539" i="8"/>
  <c r="G539" i="8" s="1"/>
  <c r="D539" i="7" s="1"/>
  <c r="C539" i="12"/>
  <c r="D539" i="12" s="1"/>
  <c r="E515" i="8"/>
  <c r="G515" i="8" s="1"/>
  <c r="D515" i="7" s="1"/>
  <c r="E515" i="7"/>
  <c r="C479" i="12"/>
  <c r="E479" i="7"/>
  <c r="E479" i="8"/>
  <c r="G479" i="8" s="1"/>
  <c r="D479" i="7" s="1"/>
  <c r="C443" i="12"/>
  <c r="D443" i="12" s="1"/>
  <c r="E443" i="12" s="1"/>
  <c r="E443" i="7"/>
  <c r="E443" i="8"/>
  <c r="G443" i="8" s="1"/>
  <c r="D443" i="7" s="1"/>
  <c r="E431" i="7"/>
  <c r="C431" i="12"/>
  <c r="D431" i="12" s="1"/>
  <c r="E395" i="7"/>
  <c r="C395" i="12"/>
  <c r="D395" i="12" s="1"/>
  <c r="E395" i="8"/>
  <c r="G395" i="8" s="1"/>
  <c r="D395" i="7" s="1"/>
  <c r="C359" i="12"/>
  <c r="D359" i="12" s="1"/>
  <c r="E359" i="12" s="1"/>
  <c r="E359" i="7"/>
  <c r="E335" i="7"/>
  <c r="C335" i="12"/>
  <c r="D335" i="12" s="1"/>
  <c r="E335" i="8"/>
  <c r="G335" i="8" s="1"/>
  <c r="D335" i="7" s="1"/>
  <c r="C311" i="12"/>
  <c r="D311" i="12" s="1"/>
  <c r="E311" i="12" s="1"/>
  <c r="E311" i="7"/>
  <c r="E299" i="7"/>
  <c r="E299" i="8"/>
  <c r="G299" i="8" s="1"/>
  <c r="D299" i="7" s="1"/>
  <c r="E275" i="7"/>
  <c r="C275" i="12"/>
  <c r="D275" i="12" s="1"/>
  <c r="E275" i="12" s="1"/>
  <c r="C263" i="12"/>
  <c r="E263" i="7"/>
  <c r="C227" i="12"/>
  <c r="D227" i="12" s="1"/>
  <c r="E227" i="12" s="1"/>
  <c r="E227" i="7"/>
  <c r="E191" i="8"/>
  <c r="G191" i="8" s="1"/>
  <c r="D191" i="7" s="1"/>
  <c r="E191" i="7"/>
  <c r="C155" i="12"/>
  <c r="D155" i="12" s="1"/>
  <c r="E155" i="7"/>
  <c r="C143" i="12"/>
  <c r="D143" i="12" s="1"/>
  <c r="E143" i="8"/>
  <c r="G143" i="8" s="1"/>
  <c r="D143" i="7" s="1"/>
  <c r="E143" i="7"/>
  <c r="E131" i="7"/>
  <c r="E131" i="8"/>
  <c r="G131" i="8" s="1"/>
  <c r="D131" i="7" s="1"/>
  <c r="C131" i="12"/>
  <c r="E119" i="7"/>
  <c r="E119" i="8"/>
  <c r="G119" i="8" s="1"/>
  <c r="D119" i="7" s="1"/>
  <c r="E107" i="7"/>
  <c r="C107" i="12"/>
  <c r="D107" i="12" s="1"/>
  <c r="E323" i="8"/>
  <c r="G323" i="8" s="1"/>
  <c r="D323" i="7" s="1"/>
  <c r="C371" i="12"/>
  <c r="D371" i="12" s="1"/>
  <c r="E371" i="12" s="1"/>
  <c r="C191" i="12"/>
  <c r="D191" i="12" s="1"/>
  <c r="E23" i="7"/>
  <c r="E694" i="7"/>
  <c r="C694" i="12"/>
  <c r="D694" i="12" s="1"/>
  <c r="E694" i="12" s="1"/>
  <c r="E562" i="7"/>
  <c r="C562" i="12"/>
  <c r="D562" i="12" s="1"/>
  <c r="E562" i="8"/>
  <c r="G562" i="8" s="1"/>
  <c r="D562" i="7" s="1"/>
  <c r="E502" i="8"/>
  <c r="G502" i="8" s="1"/>
  <c r="D502" i="7" s="1"/>
  <c r="E502" i="7"/>
  <c r="C502" i="12"/>
  <c r="D502" i="12" s="1"/>
  <c r="E502" i="12" s="1"/>
  <c r="C442" i="12"/>
  <c r="D442" i="12" s="1"/>
  <c r="E442" i="7"/>
  <c r="C346" i="12"/>
  <c r="D346" i="12" s="1"/>
  <c r="E346" i="7"/>
  <c r="E346" i="8"/>
  <c r="G346" i="8" s="1"/>
  <c r="D346" i="7" s="1"/>
  <c r="E286" i="7"/>
  <c r="E286" i="8"/>
  <c r="G286" i="8" s="1"/>
  <c r="D286" i="7" s="1"/>
  <c r="E274" i="7"/>
  <c r="C274" i="12"/>
  <c r="D274" i="12" s="1"/>
  <c r="E274" i="12" s="1"/>
  <c r="E274" i="8"/>
  <c r="G274" i="8" s="1"/>
  <c r="D274" i="7" s="1"/>
  <c r="C262" i="12"/>
  <c r="D262" i="12" s="1"/>
  <c r="E262" i="12" s="1"/>
  <c r="E262" i="8"/>
  <c r="G262" i="8" s="1"/>
  <c r="D262" i="7" s="1"/>
  <c r="C250" i="12"/>
  <c r="D250" i="12" s="1"/>
  <c r="E250" i="12" s="1"/>
  <c r="E250" i="7"/>
  <c r="E250" i="8"/>
  <c r="G250" i="8" s="1"/>
  <c r="D250" i="7" s="1"/>
  <c r="C226" i="12"/>
  <c r="D226" i="12" s="1"/>
  <c r="E226" i="7"/>
  <c r="C214" i="12"/>
  <c r="D214" i="12" s="1"/>
  <c r="E214" i="12" s="1"/>
  <c r="E214" i="7"/>
  <c r="C190" i="12"/>
  <c r="D190" i="12" s="1"/>
  <c r="E190" i="8"/>
  <c r="G190" i="8" s="1"/>
  <c r="D190" i="7" s="1"/>
  <c r="E190" i="7"/>
  <c r="E166" i="8"/>
  <c r="G166" i="8" s="1"/>
  <c r="D166" i="7" s="1"/>
  <c r="C166" i="12"/>
  <c r="D166" i="12" s="1"/>
  <c r="E166" i="12" s="1"/>
  <c r="E166" i="7"/>
  <c r="C142" i="12"/>
  <c r="D142" i="12" s="1"/>
  <c r="E142" i="7"/>
  <c r="C22" i="12"/>
  <c r="D22" i="12" s="1"/>
  <c r="E22" i="7"/>
  <c r="E358" i="8"/>
  <c r="G358" i="8" s="1"/>
  <c r="D358" i="7" s="1"/>
  <c r="C681" i="12"/>
  <c r="D681" i="12" s="1"/>
  <c r="E681" i="7"/>
  <c r="E681" i="8"/>
  <c r="G681" i="8" s="1"/>
  <c r="D681" i="7" s="1"/>
  <c r="E657" i="7"/>
  <c r="C657" i="12"/>
  <c r="D657" i="12" s="1"/>
  <c r="C537" i="12"/>
  <c r="D537" i="12" s="1"/>
  <c r="E537" i="12" s="1"/>
  <c r="E537" i="7"/>
  <c r="E537" i="8"/>
  <c r="G537" i="8" s="1"/>
  <c r="D537" i="7" s="1"/>
  <c r="E525" i="7"/>
  <c r="E525" i="8"/>
  <c r="G525" i="8" s="1"/>
  <c r="D525" i="7" s="1"/>
  <c r="E513" i="7"/>
  <c r="C513" i="12"/>
  <c r="E501" i="7"/>
  <c r="E501" i="8"/>
  <c r="G501" i="8" s="1"/>
  <c r="D501" i="7" s="1"/>
  <c r="E489" i="7"/>
  <c r="C489" i="12"/>
  <c r="D489" i="12" s="1"/>
  <c r="C465" i="12"/>
  <c r="D465" i="12" s="1"/>
  <c r="E465" i="8"/>
  <c r="G465" i="8" s="1"/>
  <c r="D465" i="7" s="1"/>
  <c r="C405" i="12"/>
  <c r="E405" i="8"/>
  <c r="G405" i="8" s="1"/>
  <c r="D405" i="7" s="1"/>
  <c r="E405" i="7"/>
  <c r="E333" i="7"/>
  <c r="C333" i="12"/>
  <c r="D333" i="12" s="1"/>
  <c r="E333" i="8"/>
  <c r="G333" i="8" s="1"/>
  <c r="D333" i="7" s="1"/>
  <c r="E309" i="7"/>
  <c r="C309" i="12"/>
  <c r="D309" i="12" s="1"/>
  <c r="E309" i="8"/>
  <c r="G309" i="8" s="1"/>
  <c r="D309" i="7" s="1"/>
  <c r="E273" i="7"/>
  <c r="C273" i="12"/>
  <c r="D273" i="12" s="1"/>
  <c r="C225" i="12"/>
  <c r="D225" i="12" s="1"/>
  <c r="E225" i="7"/>
  <c r="C165" i="12"/>
  <c r="D165" i="12" s="1"/>
  <c r="E165" i="12" s="1"/>
  <c r="E165" i="7"/>
  <c r="C45" i="12"/>
  <c r="D45" i="12" s="1"/>
  <c r="E45" i="7"/>
  <c r="E263" i="8"/>
  <c r="G263" i="8" s="1"/>
  <c r="D263" i="7" s="1"/>
  <c r="E227" i="8"/>
  <c r="G227" i="8" s="1"/>
  <c r="D227" i="7" s="1"/>
  <c r="E83" i="8"/>
  <c r="G83" i="8" s="1"/>
  <c r="D83" i="7" s="1"/>
  <c r="C609" i="12"/>
  <c r="C334" i="12"/>
  <c r="D334" i="12" s="1"/>
  <c r="E334" i="12" s="1"/>
  <c r="E728" i="7"/>
  <c r="E728" i="8"/>
  <c r="G728" i="8" s="1"/>
  <c r="D728" i="7" s="1"/>
  <c r="E632" i="7"/>
  <c r="C632" i="12"/>
  <c r="D632" i="12" s="1"/>
  <c r="E632" i="12" s="1"/>
  <c r="E620" i="7"/>
  <c r="C620" i="12"/>
  <c r="D620" i="12" s="1"/>
  <c r="E620" i="12" s="1"/>
  <c r="E164" i="8"/>
  <c r="G164" i="8" s="1"/>
  <c r="D164" i="7" s="1"/>
  <c r="E164" i="7"/>
  <c r="C164" i="12"/>
  <c r="D164" i="12" s="1"/>
  <c r="E164" i="12" s="1"/>
  <c r="E695" i="8"/>
  <c r="G695" i="8" s="1"/>
  <c r="D695" i="7" s="1"/>
  <c r="E647" i="8"/>
  <c r="G647" i="8" s="1"/>
  <c r="D647" i="7" s="1"/>
  <c r="E633" i="8"/>
  <c r="G633" i="8" s="1"/>
  <c r="D633" i="7" s="1"/>
  <c r="E621" i="8"/>
  <c r="G621" i="8" s="1"/>
  <c r="D621" i="7" s="1"/>
  <c r="E689" i="7"/>
  <c r="E689" i="8"/>
  <c r="G689" i="8" s="1"/>
  <c r="D689" i="7" s="1"/>
  <c r="C569" i="12"/>
  <c r="D569" i="12" s="1"/>
  <c r="E569" i="7"/>
  <c r="E509" i="7"/>
  <c r="E509" i="8"/>
  <c r="G509" i="8" s="1"/>
  <c r="D509" i="7" s="1"/>
  <c r="C473" i="12"/>
  <c r="D473" i="12" s="1"/>
  <c r="E473" i="7"/>
  <c r="C413" i="12"/>
  <c r="D413" i="12" s="1"/>
  <c r="E413" i="12" s="1"/>
  <c r="E413" i="7"/>
  <c r="E377" i="7"/>
  <c r="C377" i="12"/>
  <c r="D377" i="12" s="1"/>
  <c r="E377" i="12" s="1"/>
  <c r="E377" i="8"/>
  <c r="G377" i="8" s="1"/>
  <c r="D377" i="7" s="1"/>
  <c r="C329" i="12"/>
  <c r="D329" i="12" s="1"/>
  <c r="E329" i="7"/>
  <c r="E305" i="7"/>
  <c r="C305" i="12"/>
  <c r="D305" i="12" s="1"/>
  <c r="C293" i="12"/>
  <c r="D293" i="12" s="1"/>
  <c r="E293" i="8"/>
  <c r="G293" i="8" s="1"/>
  <c r="D293" i="7" s="1"/>
  <c r="E281" i="7"/>
  <c r="C281" i="12"/>
  <c r="D281" i="12" s="1"/>
  <c r="E281" i="12" s="1"/>
  <c r="E281" i="8"/>
  <c r="G281" i="8" s="1"/>
  <c r="D281" i="7" s="1"/>
  <c r="C269" i="12"/>
  <c r="D269" i="12" s="1"/>
  <c r="E269" i="12" s="1"/>
  <c r="E269" i="7"/>
  <c r="E269" i="8"/>
  <c r="G269" i="8" s="1"/>
  <c r="D269" i="7" s="1"/>
  <c r="E257" i="7"/>
  <c r="C257" i="12"/>
  <c r="D257" i="12" s="1"/>
  <c r="E257" i="8"/>
  <c r="G257" i="8" s="1"/>
  <c r="D257" i="7" s="1"/>
  <c r="E245" i="7"/>
  <c r="E245" i="8"/>
  <c r="G245" i="8" s="1"/>
  <c r="D245" i="7" s="1"/>
  <c r="C221" i="12"/>
  <c r="D221" i="12" s="1"/>
  <c r="E221" i="12" s="1"/>
  <c r="E221" i="8"/>
  <c r="G221" i="8" s="1"/>
  <c r="D221" i="7" s="1"/>
  <c r="E221" i="7"/>
  <c r="C197" i="12"/>
  <c r="E197" i="7"/>
  <c r="C185" i="12"/>
  <c r="E185" i="7"/>
  <c r="E161" i="7"/>
  <c r="C161" i="12"/>
  <c r="D161" i="12" s="1"/>
  <c r="E161" i="12" s="1"/>
  <c r="E161" i="8"/>
  <c r="G161" i="8" s="1"/>
  <c r="D161" i="7" s="1"/>
  <c r="E137" i="7"/>
  <c r="C137" i="12"/>
  <c r="E101" i="7"/>
  <c r="E101" i="8"/>
  <c r="G101" i="8" s="1"/>
  <c r="D101" i="7" s="1"/>
  <c r="C101" i="12"/>
  <c r="D101" i="12" s="1"/>
  <c r="E694" i="8"/>
  <c r="G694" i="8" s="1"/>
  <c r="D694" i="7" s="1"/>
  <c r="E644" i="8"/>
  <c r="G644" i="8" s="1"/>
  <c r="D644" i="7" s="1"/>
  <c r="E632" i="8"/>
  <c r="G632" i="8" s="1"/>
  <c r="D632" i="7" s="1"/>
  <c r="E149" i="8"/>
  <c r="G149" i="8" s="1"/>
  <c r="D149" i="7" s="1"/>
  <c r="E94" i="8"/>
  <c r="G94" i="8" s="1"/>
  <c r="D94" i="7" s="1"/>
  <c r="C743" i="12"/>
  <c r="D743" i="12" s="1"/>
  <c r="C670" i="12"/>
  <c r="C202" i="12"/>
  <c r="D202" i="12" s="1"/>
  <c r="C152" i="12"/>
  <c r="D152" i="12" s="1"/>
  <c r="E152" i="12" s="1"/>
  <c r="E631" i="8"/>
  <c r="G631" i="8" s="1"/>
  <c r="D631" i="7" s="1"/>
  <c r="E619" i="8"/>
  <c r="G619" i="8" s="1"/>
  <c r="D619" i="7" s="1"/>
  <c r="E571" i="8"/>
  <c r="G571" i="8" s="1"/>
  <c r="D571" i="7" s="1"/>
  <c r="E500" i="8"/>
  <c r="G500" i="8" s="1"/>
  <c r="D500" i="7" s="1"/>
  <c r="E463" i="8"/>
  <c r="G463" i="8" s="1"/>
  <c r="D463" i="7" s="1"/>
  <c r="E311" i="8"/>
  <c r="G311" i="8" s="1"/>
  <c r="D311" i="7" s="1"/>
  <c r="E202" i="8"/>
  <c r="G202" i="8" s="1"/>
  <c r="D202" i="7" s="1"/>
  <c r="E92" i="8"/>
  <c r="G92" i="8" s="1"/>
  <c r="D92" i="7" s="1"/>
  <c r="C527" i="12"/>
  <c r="D527" i="12" s="1"/>
  <c r="C467" i="12"/>
  <c r="D467" i="12" s="1"/>
  <c r="E467" i="12" s="1"/>
  <c r="E441" i="7"/>
  <c r="C623" i="12"/>
  <c r="D623" i="12" s="1"/>
  <c r="E623" i="12" s="1"/>
  <c r="E499" i="8"/>
  <c r="G499" i="8" s="1"/>
  <c r="D499" i="7" s="1"/>
  <c r="E407" i="8"/>
  <c r="G407" i="8" s="1"/>
  <c r="D407" i="7" s="1"/>
  <c r="E272" i="8"/>
  <c r="G272" i="8" s="1"/>
  <c r="D272" i="7" s="1"/>
  <c r="E236" i="8"/>
  <c r="G236" i="8" s="1"/>
  <c r="D236" i="7" s="1"/>
  <c r="E617" i="8"/>
  <c r="G617" i="8" s="1"/>
  <c r="D617" i="7" s="1"/>
  <c r="E569" i="8"/>
  <c r="G569" i="8" s="1"/>
  <c r="D569" i="7" s="1"/>
  <c r="E461" i="8"/>
  <c r="G461" i="8" s="1"/>
  <c r="D461" i="7" s="1"/>
  <c r="E442" i="8"/>
  <c r="G442" i="8" s="1"/>
  <c r="D442" i="7" s="1"/>
  <c r="E404" i="8"/>
  <c r="G404" i="8" s="1"/>
  <c r="D404" i="7" s="1"/>
  <c r="E344" i="8"/>
  <c r="G344" i="8" s="1"/>
  <c r="D344" i="7" s="1"/>
  <c r="E200" i="8"/>
  <c r="G200" i="8" s="1"/>
  <c r="D200" i="7" s="1"/>
  <c r="E128" i="8"/>
  <c r="G128" i="8" s="1"/>
  <c r="D128" i="7" s="1"/>
  <c r="E45" i="8"/>
  <c r="G45" i="8" s="1"/>
  <c r="D45" i="7" s="1"/>
  <c r="E21" i="8"/>
  <c r="G21" i="8" s="1"/>
  <c r="D21" i="7" s="1"/>
  <c r="C644" i="12"/>
  <c r="D644" i="12" s="1"/>
  <c r="C571" i="12"/>
  <c r="D571" i="12" s="1"/>
  <c r="C403" i="12"/>
  <c r="D403" i="12" s="1"/>
  <c r="E403" i="12" s="1"/>
  <c r="C320" i="12"/>
  <c r="D320" i="12" s="1"/>
  <c r="E320" i="12" s="1"/>
  <c r="C245" i="12"/>
  <c r="D245" i="12" s="1"/>
  <c r="E245" i="12" s="1"/>
  <c r="E21" i="7"/>
  <c r="E262" i="7"/>
  <c r="E549" i="7"/>
  <c r="E763" i="7"/>
  <c r="E382" i="7"/>
  <c r="E599" i="8"/>
  <c r="G599" i="8" s="1"/>
  <c r="D599" i="7" s="1"/>
  <c r="C599" i="12"/>
  <c r="D599" i="12" s="1"/>
  <c r="E599" i="12" s="1"/>
  <c r="E383" i="7"/>
  <c r="C383" i="12"/>
  <c r="D383" i="12" s="1"/>
  <c r="E383" i="12" s="1"/>
  <c r="E383" i="8"/>
  <c r="G383" i="8" s="1"/>
  <c r="D383" i="7" s="1"/>
  <c r="E347" i="7"/>
  <c r="C347" i="12"/>
  <c r="D347" i="12" s="1"/>
  <c r="E347" i="12" s="1"/>
  <c r="E347" i="8"/>
  <c r="G347" i="8" s="1"/>
  <c r="D347" i="7" s="1"/>
  <c r="E287" i="7"/>
  <c r="C287" i="12"/>
  <c r="D287" i="12" s="1"/>
  <c r="E287" i="12" s="1"/>
  <c r="C239" i="12"/>
  <c r="D239" i="12" s="1"/>
  <c r="E239" i="7"/>
  <c r="E215" i="7"/>
  <c r="C215" i="12"/>
  <c r="D215" i="12" s="1"/>
  <c r="E215" i="12" s="1"/>
  <c r="E203" i="7"/>
  <c r="E203" i="8"/>
  <c r="G203" i="8" s="1"/>
  <c r="D203" i="7" s="1"/>
  <c r="C203" i="12"/>
  <c r="D203" i="12" s="1"/>
  <c r="E203" i="12" s="1"/>
  <c r="E179" i="7"/>
  <c r="E179" i="8"/>
  <c r="G179" i="8" s="1"/>
  <c r="D179" i="7" s="1"/>
  <c r="E743" i="8"/>
  <c r="G743" i="8" s="1"/>
  <c r="D743" i="7" s="1"/>
  <c r="E754" i="7"/>
  <c r="C754" i="12"/>
  <c r="D754" i="12" s="1"/>
  <c r="E754" i="12" s="1"/>
  <c r="E754" i="8"/>
  <c r="G754" i="8" s="1"/>
  <c r="D754" i="7" s="1"/>
  <c r="E706" i="7"/>
  <c r="E706" i="8"/>
  <c r="G706" i="8" s="1"/>
  <c r="D706" i="7" s="1"/>
  <c r="C610" i="12"/>
  <c r="D610" i="12" s="1"/>
  <c r="E610" i="12" s="1"/>
  <c r="E610" i="7"/>
  <c r="C586" i="12"/>
  <c r="D586" i="12" s="1"/>
  <c r="E586" i="12" s="1"/>
  <c r="E586" i="8"/>
  <c r="G586" i="8" s="1"/>
  <c r="D586" i="7" s="1"/>
  <c r="E526" i="7"/>
  <c r="C526" i="12"/>
  <c r="D526" i="12" s="1"/>
  <c r="C478" i="12"/>
  <c r="D478" i="12" s="1"/>
  <c r="E478" i="12" s="1"/>
  <c r="E478" i="7"/>
  <c r="E430" i="7"/>
  <c r="E430" i="8"/>
  <c r="G430" i="8" s="1"/>
  <c r="D430" i="7" s="1"/>
  <c r="E418" i="7"/>
  <c r="C418" i="12"/>
  <c r="D418" i="12" s="1"/>
  <c r="E418" i="8"/>
  <c r="G418" i="8" s="1"/>
  <c r="D418" i="7" s="1"/>
  <c r="E394" i="7"/>
  <c r="C394" i="12"/>
  <c r="D394" i="12" s="1"/>
  <c r="E394" i="12" s="1"/>
  <c r="C310" i="12"/>
  <c r="E310" i="7"/>
  <c r="C130" i="12"/>
  <c r="D130" i="12" s="1"/>
  <c r="E130" i="12" s="1"/>
  <c r="E130" i="8"/>
  <c r="G130" i="8" s="1"/>
  <c r="D130" i="7" s="1"/>
  <c r="E729" i="7"/>
  <c r="E729" i="8"/>
  <c r="G729" i="8" s="1"/>
  <c r="D729" i="7" s="1"/>
  <c r="E669" i="7"/>
  <c r="E669" i="8"/>
  <c r="G669" i="8" s="1"/>
  <c r="D669" i="7" s="1"/>
  <c r="E369" i="7"/>
  <c r="C369" i="12"/>
  <c r="D369" i="12" s="1"/>
  <c r="C237" i="12"/>
  <c r="D237" i="12" s="1"/>
  <c r="E237" i="12" s="1"/>
  <c r="E237" i="7"/>
  <c r="E237" i="8"/>
  <c r="G237" i="8" s="1"/>
  <c r="D237" i="7" s="1"/>
  <c r="C213" i="12"/>
  <c r="D213" i="12" s="1"/>
  <c r="E213" i="12" s="1"/>
  <c r="E213" i="7"/>
  <c r="C177" i="12"/>
  <c r="E177" i="7"/>
  <c r="E177" i="8"/>
  <c r="G177" i="8" s="1"/>
  <c r="D177" i="7" s="1"/>
  <c r="C117" i="12"/>
  <c r="D117" i="12" s="1"/>
  <c r="E117" i="8"/>
  <c r="G117" i="8" s="1"/>
  <c r="D117" i="7" s="1"/>
  <c r="E105" i="7"/>
  <c r="C105" i="12"/>
  <c r="D105" i="12" s="1"/>
  <c r="E105" i="8"/>
  <c r="G105" i="8" s="1"/>
  <c r="D105" i="7" s="1"/>
  <c r="E93" i="7"/>
  <c r="C93" i="12"/>
  <c r="E93" i="8"/>
  <c r="G93" i="8" s="1"/>
  <c r="D93" i="7" s="1"/>
  <c r="C69" i="12"/>
  <c r="D69" i="12" s="1"/>
  <c r="E69" i="8"/>
  <c r="G69" i="8" s="1"/>
  <c r="D69" i="7" s="1"/>
  <c r="E33" i="7"/>
  <c r="E33" i="8"/>
  <c r="G33" i="8" s="1"/>
  <c r="D33" i="7" s="1"/>
  <c r="E491" i="8"/>
  <c r="G491" i="8" s="1"/>
  <c r="D491" i="7" s="1"/>
  <c r="C286" i="12"/>
  <c r="D286" i="12" s="1"/>
  <c r="E286" i="12" s="1"/>
  <c r="C58" i="12"/>
  <c r="D58" i="12" s="1"/>
  <c r="E58" i="12" s="1"/>
  <c r="C716" i="12"/>
  <c r="D716" i="12" s="1"/>
  <c r="E716" i="8"/>
  <c r="G716" i="8" s="1"/>
  <c r="D716" i="7" s="1"/>
  <c r="C656" i="12"/>
  <c r="D656" i="12" s="1"/>
  <c r="E656" i="8"/>
  <c r="G656" i="8" s="1"/>
  <c r="D656" i="7" s="1"/>
  <c r="C212" i="12"/>
  <c r="D212" i="12" s="1"/>
  <c r="E212" i="12" s="1"/>
  <c r="E212" i="7"/>
  <c r="E212" i="8"/>
  <c r="G212" i="8" s="1"/>
  <c r="D212" i="7" s="1"/>
  <c r="C713" i="12"/>
  <c r="D713" i="12" s="1"/>
  <c r="E713" i="7"/>
  <c r="E713" i="8"/>
  <c r="G713" i="8" s="1"/>
  <c r="D713" i="7" s="1"/>
  <c r="E701" i="7"/>
  <c r="E701" i="8"/>
  <c r="G701" i="8" s="1"/>
  <c r="D701" i="7" s="1"/>
  <c r="C677" i="12"/>
  <c r="D677" i="12" s="1"/>
  <c r="E677" i="12" s="1"/>
  <c r="E677" i="7"/>
  <c r="E677" i="8"/>
  <c r="G677" i="8" s="1"/>
  <c r="D677" i="7" s="1"/>
  <c r="C641" i="12"/>
  <c r="D641" i="12" s="1"/>
  <c r="E641" i="7"/>
  <c r="E629" i="7"/>
  <c r="C629" i="12"/>
  <c r="D629" i="12" s="1"/>
  <c r="E629" i="12" s="1"/>
  <c r="C605" i="12"/>
  <c r="D605" i="12" s="1"/>
  <c r="E605" i="8"/>
  <c r="G605" i="8" s="1"/>
  <c r="D605" i="7" s="1"/>
  <c r="E581" i="7"/>
  <c r="C581" i="12"/>
  <c r="D581" i="12" s="1"/>
  <c r="E581" i="12" s="1"/>
  <c r="E557" i="7"/>
  <c r="C557" i="12"/>
  <c r="C533" i="12"/>
  <c r="D533" i="12" s="1"/>
  <c r="E533" i="12" s="1"/>
  <c r="E533" i="7"/>
  <c r="C497" i="12"/>
  <c r="D497" i="12" s="1"/>
  <c r="E497" i="12" s="1"/>
  <c r="E497" i="8"/>
  <c r="G497" i="8" s="1"/>
  <c r="D497" i="7" s="1"/>
  <c r="E389" i="8"/>
  <c r="G389" i="8" s="1"/>
  <c r="D389" i="7" s="1"/>
  <c r="E389" i="7"/>
  <c r="E209" i="7"/>
  <c r="C209" i="12"/>
  <c r="D209" i="12" s="1"/>
  <c r="E209" i="8"/>
  <c r="G209" i="8" s="1"/>
  <c r="D209" i="7" s="1"/>
  <c r="C89" i="12"/>
  <c r="D89" i="12" s="1"/>
  <c r="E89" i="8"/>
  <c r="G89" i="8" s="1"/>
  <c r="D89" i="7" s="1"/>
  <c r="E620" i="8"/>
  <c r="G620" i="8" s="1"/>
  <c r="D620" i="7" s="1"/>
  <c r="E464" i="8"/>
  <c r="G464" i="8" s="1"/>
  <c r="D464" i="7" s="1"/>
  <c r="C761" i="12"/>
  <c r="D761" i="12" s="1"/>
  <c r="C106" i="12"/>
  <c r="D106" i="12" s="1"/>
  <c r="E725" i="8"/>
  <c r="G725" i="8" s="1"/>
  <c r="D725" i="7" s="1"/>
  <c r="E707" i="8"/>
  <c r="G707" i="8" s="1"/>
  <c r="D707" i="7" s="1"/>
  <c r="E657" i="8"/>
  <c r="G657" i="8" s="1"/>
  <c r="D657" i="7" s="1"/>
  <c r="E584" i="8"/>
  <c r="G584" i="8" s="1"/>
  <c r="D584" i="7" s="1"/>
  <c r="E478" i="8"/>
  <c r="G478" i="8" s="1"/>
  <c r="D478" i="7" s="1"/>
  <c r="E441" i="8"/>
  <c r="G441" i="8" s="1"/>
  <c r="D441" i="7" s="1"/>
  <c r="E403" i="8"/>
  <c r="G403" i="8" s="1"/>
  <c r="D403" i="7" s="1"/>
  <c r="E382" i="8"/>
  <c r="G382" i="8" s="1"/>
  <c r="D382" i="7" s="1"/>
  <c r="E343" i="8"/>
  <c r="G343" i="8" s="1"/>
  <c r="D343" i="7" s="1"/>
  <c r="E305" i="8"/>
  <c r="G305" i="8" s="1"/>
  <c r="D305" i="7" s="1"/>
  <c r="E287" i="8"/>
  <c r="G287" i="8" s="1"/>
  <c r="D287" i="7" s="1"/>
  <c r="E251" i="8"/>
  <c r="G251" i="8" s="1"/>
  <c r="D251" i="7" s="1"/>
  <c r="E322" i="7"/>
  <c r="E491" i="7"/>
  <c r="E521" i="7"/>
  <c r="C283" i="12"/>
  <c r="D283" i="12" s="1"/>
  <c r="E283" i="12" s="1"/>
  <c r="E283" i="7"/>
  <c r="E211" i="7"/>
  <c r="C211" i="12"/>
  <c r="D211" i="12" s="1"/>
  <c r="E211" i="12" s="1"/>
  <c r="E139" i="7"/>
  <c r="C139" i="12"/>
  <c r="D139" i="12" s="1"/>
  <c r="E139" i="8"/>
  <c r="G139" i="8" s="1"/>
  <c r="D139" i="7" s="1"/>
  <c r="E127" i="7"/>
  <c r="E127" i="8"/>
  <c r="G127" i="8" s="1"/>
  <c r="D127" i="7" s="1"/>
  <c r="C115" i="12"/>
  <c r="D115" i="12" s="1"/>
  <c r="E115" i="7"/>
  <c r="E91" i="7"/>
  <c r="C91" i="12"/>
  <c r="D91" i="12" s="1"/>
  <c r="C67" i="12"/>
  <c r="D67" i="12" s="1"/>
  <c r="E67" i="12" s="1"/>
  <c r="E67" i="8"/>
  <c r="G67" i="8" s="1"/>
  <c r="D67" i="7" s="1"/>
  <c r="E55" i="7"/>
  <c r="C55" i="12"/>
  <c r="D55" i="12" s="1"/>
  <c r="E31" i="7"/>
  <c r="E31" i="8"/>
  <c r="G31" i="8" s="1"/>
  <c r="D31" i="7" s="1"/>
  <c r="E19" i="7"/>
  <c r="C19" i="12"/>
  <c r="D19" i="12" s="1"/>
  <c r="E19" i="8"/>
  <c r="G19" i="8" s="1"/>
  <c r="D19" i="7" s="1"/>
  <c r="E592" i="8"/>
  <c r="G592" i="8" s="1"/>
  <c r="D592" i="7" s="1"/>
  <c r="E136" i="8"/>
  <c r="G136" i="8" s="1"/>
  <c r="D136" i="7" s="1"/>
  <c r="E79" i="8"/>
  <c r="G79" i="8" s="1"/>
  <c r="D79" i="7" s="1"/>
  <c r="C280" i="12"/>
  <c r="D280" i="12" s="1"/>
  <c r="C151" i="12"/>
  <c r="E67" i="7"/>
  <c r="C436" i="12"/>
  <c r="D436" i="12" s="1"/>
  <c r="E436" i="12" s="1"/>
  <c r="E436" i="7"/>
  <c r="E400" i="7"/>
  <c r="C400" i="12"/>
  <c r="E295" i="8"/>
  <c r="G295" i="8" s="1"/>
  <c r="D295" i="7" s="1"/>
  <c r="E283" i="8"/>
  <c r="G283" i="8" s="1"/>
  <c r="D283" i="7" s="1"/>
  <c r="E271" i="8"/>
  <c r="G271" i="8" s="1"/>
  <c r="D271" i="7" s="1"/>
  <c r="E52" i="8"/>
  <c r="G52" i="8" s="1"/>
  <c r="D52" i="7" s="1"/>
  <c r="C700" i="12"/>
  <c r="D700" i="12" s="1"/>
  <c r="C292" i="12"/>
  <c r="D292" i="12" s="1"/>
  <c r="E280" i="7"/>
  <c r="E448" i="7"/>
  <c r="E556" i="7"/>
  <c r="C496" i="12"/>
  <c r="D496" i="12" s="1"/>
  <c r="E496" i="12" s="1"/>
  <c r="E664" i="8"/>
  <c r="G664" i="8" s="1"/>
  <c r="D664" i="7" s="1"/>
  <c r="E208" i="8"/>
  <c r="G208" i="8" s="1"/>
  <c r="D208" i="7" s="1"/>
  <c r="C187" i="12"/>
  <c r="D187" i="12" s="1"/>
  <c r="C163" i="12"/>
  <c r="D163" i="12" s="1"/>
  <c r="E43" i="7"/>
  <c r="E184" i="7"/>
  <c r="E307" i="7"/>
  <c r="E652" i="7"/>
  <c r="C652" i="12"/>
  <c r="D652" i="12" s="1"/>
  <c r="E652" i="12" s="1"/>
  <c r="C580" i="12"/>
  <c r="D580" i="12" s="1"/>
  <c r="E580" i="12" s="1"/>
  <c r="E580" i="7"/>
  <c r="E352" i="7"/>
  <c r="E352" i="8"/>
  <c r="G352" i="8" s="1"/>
  <c r="D352" i="7" s="1"/>
  <c r="E232" i="7"/>
  <c r="C232" i="12"/>
  <c r="D232" i="12" s="1"/>
  <c r="E232" i="12" s="1"/>
  <c r="E160" i="7"/>
  <c r="C160" i="12"/>
  <c r="D160" i="12" s="1"/>
  <c r="E160" i="12" s="1"/>
  <c r="E148" i="7"/>
  <c r="C148" i="12"/>
  <c r="D148" i="12" s="1"/>
  <c r="E148" i="12" s="1"/>
  <c r="E100" i="7"/>
  <c r="E100" i="8"/>
  <c r="G100" i="8" s="1"/>
  <c r="D100" i="7" s="1"/>
  <c r="E259" i="8"/>
  <c r="G259" i="8" s="1"/>
  <c r="D259" i="7" s="1"/>
  <c r="C424" i="12"/>
  <c r="D424" i="12" s="1"/>
  <c r="E688" i="8"/>
  <c r="G688" i="8" s="1"/>
  <c r="D688" i="7" s="1"/>
  <c r="E676" i="8"/>
  <c r="G676" i="8" s="1"/>
  <c r="D676" i="7" s="1"/>
  <c r="E307" i="8"/>
  <c r="G307" i="8" s="1"/>
  <c r="D307" i="7" s="1"/>
  <c r="E244" i="8"/>
  <c r="G244" i="8" s="1"/>
  <c r="D244" i="7" s="1"/>
  <c r="E160" i="8"/>
  <c r="G160" i="8" s="1"/>
  <c r="D160" i="7" s="1"/>
  <c r="C100" i="12"/>
  <c r="D100" i="12" s="1"/>
  <c r="E79" i="7"/>
  <c r="E256" i="7"/>
  <c r="E676" i="7"/>
  <c r="C316" i="12"/>
  <c r="D316" i="12" s="1"/>
  <c r="E316" i="12" s="1"/>
  <c r="E604" i="7"/>
  <c r="C604" i="12"/>
  <c r="D604" i="12" s="1"/>
  <c r="E604" i="12" s="1"/>
  <c r="E484" i="7"/>
  <c r="C484" i="12"/>
  <c r="D484" i="12" s="1"/>
  <c r="E304" i="7"/>
  <c r="E304" i="8"/>
  <c r="G304" i="8" s="1"/>
  <c r="D304" i="7" s="1"/>
  <c r="E124" i="7"/>
  <c r="C124" i="12"/>
  <c r="D124" i="12" s="1"/>
  <c r="E712" i="8"/>
  <c r="G712" i="8" s="1"/>
  <c r="D712" i="7" s="1"/>
  <c r="E436" i="8"/>
  <c r="G436" i="8" s="1"/>
  <c r="D436" i="7" s="1"/>
  <c r="E376" i="8"/>
  <c r="G376" i="8" s="1"/>
  <c r="D376" i="7" s="1"/>
  <c r="E292" i="8"/>
  <c r="G292" i="8" s="1"/>
  <c r="D292" i="7" s="1"/>
  <c r="E268" i="8"/>
  <c r="G268" i="8" s="1"/>
  <c r="D268" i="7" s="1"/>
  <c r="E256" i="8"/>
  <c r="G256" i="8" s="1"/>
  <c r="D256" i="7" s="1"/>
  <c r="E175" i="8"/>
  <c r="G175" i="8" s="1"/>
  <c r="D175" i="7" s="1"/>
  <c r="C712" i="12"/>
  <c r="D712" i="12" s="1"/>
  <c r="C376" i="12"/>
  <c r="D376" i="12" s="1"/>
  <c r="E376" i="12" s="1"/>
  <c r="C352" i="12"/>
  <c r="D352" i="12" s="1"/>
  <c r="C271" i="12"/>
  <c r="D271" i="12" s="1"/>
  <c r="E568" i="7"/>
  <c r="C243" i="12"/>
  <c r="D243" i="12" s="1"/>
  <c r="C231" i="12"/>
  <c r="D231" i="12" s="1"/>
  <c r="E327" i="7"/>
  <c r="E459" i="7"/>
  <c r="C303" i="12"/>
  <c r="C171" i="12"/>
  <c r="D171" i="12" s="1"/>
  <c r="E399" i="7"/>
  <c r="E315" i="7"/>
  <c r="C51" i="12"/>
  <c r="C27" i="12"/>
  <c r="D27" i="12" s="1"/>
  <c r="E27" i="12" s="1"/>
  <c r="C760" i="12"/>
  <c r="D760" i="12" s="1"/>
  <c r="E760" i="8"/>
  <c r="G760" i="8" s="1"/>
  <c r="D760" i="7" s="1"/>
  <c r="E760" i="7"/>
  <c r="E34" i="7"/>
  <c r="C34" i="12"/>
  <c r="D34" i="12" s="1"/>
  <c r="E47" i="7"/>
  <c r="C723" i="12"/>
  <c r="E723" i="7"/>
  <c r="C693" i="12"/>
  <c r="D693" i="12" s="1"/>
  <c r="E693" i="12" s="1"/>
  <c r="E693" i="7"/>
  <c r="E665" i="7"/>
  <c r="E665" i="8"/>
  <c r="G665" i="8" s="1"/>
  <c r="D665" i="7" s="1"/>
  <c r="C665" i="12"/>
  <c r="D665" i="12" s="1"/>
  <c r="E665" i="12" s="1"/>
  <c r="E488" i="7"/>
  <c r="C488" i="12"/>
  <c r="D488" i="12" s="1"/>
  <c r="E488" i="12" s="1"/>
  <c r="E394" i="8"/>
  <c r="G394" i="8" s="1"/>
  <c r="D394" i="7" s="1"/>
  <c r="E35" i="8"/>
  <c r="G35" i="8" s="1"/>
  <c r="D35" i="7" s="1"/>
  <c r="D744" i="12"/>
  <c r="E744" i="12" s="1"/>
  <c r="C207" i="12"/>
  <c r="D207" i="12" s="1"/>
  <c r="E207" i="12" s="1"/>
  <c r="C71" i="12"/>
  <c r="D71" i="12" s="1"/>
  <c r="C35" i="12"/>
  <c r="D35" i="12" s="1"/>
  <c r="E742" i="7"/>
  <c r="C742" i="12"/>
  <c r="E731" i="7"/>
  <c r="C731" i="12"/>
  <c r="E611" i="7"/>
  <c r="C611" i="12"/>
  <c r="D611" i="12" s="1"/>
  <c r="E611" i="12" s="1"/>
  <c r="E544" i="7"/>
  <c r="C544" i="12"/>
  <c r="D544" i="12" s="1"/>
  <c r="E528" i="7"/>
  <c r="C528" i="12"/>
  <c r="E503" i="7"/>
  <c r="C503" i="12"/>
  <c r="D503" i="12" s="1"/>
  <c r="E503" i="12" s="1"/>
  <c r="E494" i="7"/>
  <c r="C494" i="12"/>
  <c r="D494" i="12" s="1"/>
  <c r="E494" i="12" s="1"/>
  <c r="E487" i="7"/>
  <c r="C487" i="12"/>
  <c r="D487" i="12" s="1"/>
  <c r="E487" i="12" s="1"/>
  <c r="E487" i="8"/>
  <c r="G487" i="8" s="1"/>
  <c r="D487" i="7" s="1"/>
  <c r="E41" i="7"/>
  <c r="E41" i="8"/>
  <c r="G41" i="8" s="1"/>
  <c r="D41" i="7" s="1"/>
  <c r="C41" i="12"/>
  <c r="D41" i="12" s="1"/>
  <c r="E41" i="12" s="1"/>
  <c r="E40" i="7"/>
  <c r="C40" i="12"/>
  <c r="D40" i="12" s="1"/>
  <c r="E23" i="8"/>
  <c r="G23" i="8" s="1"/>
  <c r="D23" i="7" s="1"/>
  <c r="D702" i="12"/>
  <c r="E702" i="12" s="1"/>
  <c r="C675" i="12"/>
  <c r="D675" i="12" s="1"/>
  <c r="E675" i="12" s="1"/>
  <c r="E675" i="7"/>
  <c r="E602" i="7"/>
  <c r="C602" i="12"/>
  <c r="D602" i="12" s="1"/>
  <c r="E602" i="12" s="1"/>
  <c r="E593" i="8"/>
  <c r="G593" i="8" s="1"/>
  <c r="D593" i="7" s="1"/>
  <c r="E593" i="7"/>
  <c r="E495" i="7"/>
  <c r="C495" i="12"/>
  <c r="D495" i="12" s="1"/>
  <c r="C410" i="12"/>
  <c r="D410" i="12" s="1"/>
  <c r="E410" i="12" s="1"/>
  <c r="E410" i="7"/>
  <c r="E752" i="8"/>
  <c r="G752" i="8" s="1"/>
  <c r="D752" i="7" s="1"/>
  <c r="E480" i="8"/>
  <c r="G480" i="8" s="1"/>
  <c r="D480" i="7" s="1"/>
  <c r="E419" i="8"/>
  <c r="G419" i="8" s="1"/>
  <c r="D419" i="7" s="1"/>
  <c r="E47" i="8"/>
  <c r="G47" i="8" s="1"/>
  <c r="D47" i="7" s="1"/>
  <c r="E34" i="8"/>
  <c r="G34" i="8" s="1"/>
  <c r="D34" i="7" s="1"/>
  <c r="C192" i="12"/>
  <c r="D192" i="12" s="1"/>
  <c r="D180" i="12"/>
  <c r="E180" i="12" s="1"/>
  <c r="E71" i="7"/>
  <c r="E496" i="7"/>
  <c r="E751" i="7"/>
  <c r="E751" i="8"/>
  <c r="G751" i="8" s="1"/>
  <c r="D751" i="7" s="1"/>
  <c r="E730" i="7"/>
  <c r="C730" i="12"/>
  <c r="E702" i="7"/>
  <c r="E702" i="8"/>
  <c r="G702" i="8" s="1"/>
  <c r="D702" i="7" s="1"/>
  <c r="E645" i="7"/>
  <c r="C645" i="12"/>
  <c r="D645" i="12" s="1"/>
  <c r="C627" i="12"/>
  <c r="E627" i="7"/>
  <c r="E561" i="7"/>
  <c r="C561" i="12"/>
  <c r="D561" i="12" s="1"/>
  <c r="E561" i="12" s="1"/>
  <c r="E407" i="12"/>
  <c r="E77" i="8"/>
  <c r="G77" i="8" s="1"/>
  <c r="D77" i="7" s="1"/>
  <c r="C77" i="12"/>
  <c r="D77" i="12" s="1"/>
  <c r="E77" i="12" s="1"/>
  <c r="E53" i="7"/>
  <c r="E53" i="8"/>
  <c r="G53" i="8" s="1"/>
  <c r="D53" i="7" s="1"/>
  <c r="D666" i="12"/>
  <c r="E666" i="12" s="1"/>
  <c r="E455" i="7"/>
  <c r="C455" i="12"/>
  <c r="D455" i="12" s="1"/>
  <c r="C446" i="12"/>
  <c r="D446" i="12" s="1"/>
  <c r="E446" i="12" s="1"/>
  <c r="E446" i="7"/>
  <c r="D154" i="12"/>
  <c r="E154" i="12" s="1"/>
  <c r="E472" i="7"/>
  <c r="C472" i="12"/>
  <c r="D472" i="12" s="1"/>
  <c r="C345" i="12"/>
  <c r="D345" i="12" s="1"/>
  <c r="E345" i="7"/>
  <c r="C76" i="12"/>
  <c r="D76" i="12" s="1"/>
  <c r="E76" i="7"/>
  <c r="C64" i="12"/>
  <c r="D64" i="12" s="1"/>
  <c r="E64" i="7"/>
  <c r="E455" i="8"/>
  <c r="G455" i="8" s="1"/>
  <c r="D455" i="7" s="1"/>
  <c r="E480" i="7"/>
  <c r="E68" i="7"/>
  <c r="C68" i="12"/>
  <c r="D68" i="12" s="1"/>
  <c r="E68" i="12" s="1"/>
  <c r="C62" i="12"/>
  <c r="D62" i="12" s="1"/>
  <c r="E62" i="12" s="1"/>
  <c r="E62" i="7"/>
  <c r="C50" i="12"/>
  <c r="D50" i="12" s="1"/>
  <c r="E50" i="12" s="1"/>
  <c r="E50" i="7"/>
  <c r="E551" i="8"/>
  <c r="G551" i="8" s="1"/>
  <c r="D551" i="7" s="1"/>
  <c r="E58" i="8"/>
  <c r="G58" i="8" s="1"/>
  <c r="D58" i="7" s="1"/>
  <c r="E468" i="7"/>
  <c r="C468" i="12"/>
  <c r="D468" i="12" s="1"/>
  <c r="E468" i="12" s="1"/>
  <c r="E366" i="7"/>
  <c r="E366" i="8"/>
  <c r="G366" i="8" s="1"/>
  <c r="D366" i="7" s="1"/>
  <c r="C366" i="12"/>
  <c r="C349" i="12"/>
  <c r="D349" i="12" s="1"/>
  <c r="E349" i="7"/>
  <c r="E95" i="7"/>
  <c r="C95" i="12"/>
  <c r="D95" i="12" s="1"/>
  <c r="E95" i="12" s="1"/>
  <c r="C88" i="12"/>
  <c r="E88" i="7"/>
  <c r="E612" i="8"/>
  <c r="G612" i="8" s="1"/>
  <c r="D612" i="7" s="1"/>
  <c r="E95" i="8"/>
  <c r="G95" i="8" s="1"/>
  <c r="D95" i="7" s="1"/>
  <c r="E44" i="8"/>
  <c r="G44" i="8" s="1"/>
  <c r="D44" i="7" s="1"/>
  <c r="C612" i="12"/>
  <c r="D612" i="12" s="1"/>
  <c r="E612" i="12" s="1"/>
  <c r="C454" i="12"/>
  <c r="D454" i="12" s="1"/>
  <c r="E454" i="12" s="1"/>
  <c r="E390" i="7"/>
  <c r="E390" i="8"/>
  <c r="G390" i="8" s="1"/>
  <c r="D390" i="7" s="1"/>
  <c r="E365" i="7"/>
  <c r="E365" i="8"/>
  <c r="G365" i="8" s="1"/>
  <c r="D365" i="7" s="1"/>
  <c r="C200" i="12"/>
  <c r="D200" i="12" s="1"/>
  <c r="E200" i="12" s="1"/>
  <c r="E38" i="7"/>
  <c r="E77" i="7"/>
  <c r="E737" i="8"/>
  <c r="G737" i="8" s="1"/>
  <c r="D737" i="7" s="1"/>
  <c r="C737" i="12"/>
  <c r="D737" i="12" s="1"/>
  <c r="E719" i="7"/>
  <c r="C719" i="12"/>
  <c r="D719" i="12" s="1"/>
  <c r="E616" i="7"/>
  <c r="C616" i="12"/>
  <c r="D616" i="12" s="1"/>
  <c r="E616" i="12" s="1"/>
  <c r="E582" i="7"/>
  <c r="E582" i="8"/>
  <c r="G582" i="8" s="1"/>
  <c r="D582" i="7" s="1"/>
  <c r="E574" i="7"/>
  <c r="C574" i="12"/>
  <c r="D574" i="12" s="1"/>
  <c r="C508" i="12"/>
  <c r="D508" i="12" s="1"/>
  <c r="E508" i="7"/>
  <c r="E476" i="7"/>
  <c r="C476" i="12"/>
  <c r="D476" i="12" s="1"/>
  <c r="E414" i="7"/>
  <c r="E414" i="8"/>
  <c r="G414" i="8" s="1"/>
  <c r="D414" i="7" s="1"/>
  <c r="E29" i="7"/>
  <c r="E29" i="8"/>
  <c r="G29" i="8" s="1"/>
  <c r="D29" i="7" s="1"/>
  <c r="E207" i="8"/>
  <c r="G207" i="8" s="1"/>
  <c r="D207" i="7" s="1"/>
  <c r="E59" i="8"/>
  <c r="G59" i="8" s="1"/>
  <c r="D59" i="7" s="1"/>
  <c r="E20" i="7"/>
  <c r="C20" i="12"/>
  <c r="D20" i="12" s="1"/>
  <c r="E20" i="12" s="1"/>
  <c r="E453" i="8"/>
  <c r="G453" i="8" s="1"/>
  <c r="D453" i="7" s="1"/>
  <c r="E512" i="8"/>
  <c r="G512" i="8" s="1"/>
  <c r="D512" i="7" s="1"/>
  <c r="E488" i="8"/>
  <c r="G488" i="8" s="1"/>
  <c r="D488" i="7" s="1"/>
  <c r="E118" i="8"/>
  <c r="G118" i="8" s="1"/>
  <c r="D118" i="7" s="1"/>
  <c r="E68" i="8"/>
  <c r="G68" i="8" s="1"/>
  <c r="D68" i="7" s="1"/>
  <c r="C751" i="12"/>
  <c r="D751" i="12" s="1"/>
  <c r="C512" i="12"/>
  <c r="D512" i="12" s="1"/>
  <c r="E512" i="12" s="1"/>
  <c r="C357" i="12"/>
  <c r="D357" i="12" s="1"/>
  <c r="C80" i="12"/>
  <c r="D80" i="12" s="1"/>
  <c r="E80" i="12" s="1"/>
  <c r="C44" i="12"/>
  <c r="D44" i="12" s="1"/>
  <c r="E44" i="12" s="1"/>
  <c r="E491" i="12"/>
  <c r="E47" i="12"/>
  <c r="E646" i="7"/>
  <c r="E718" i="7"/>
  <c r="C718" i="12"/>
  <c r="D718" i="12" s="1"/>
  <c r="E718" i="12" s="1"/>
  <c r="E659" i="7"/>
  <c r="C659" i="12"/>
  <c r="D659" i="12" s="1"/>
  <c r="E651" i="7"/>
  <c r="C651" i="12"/>
  <c r="D651" i="12" s="1"/>
  <c r="E651" i="12" s="1"/>
  <c r="E615" i="7"/>
  <c r="C615" i="12"/>
  <c r="E597" i="7"/>
  <c r="C597" i="12"/>
  <c r="E573" i="7"/>
  <c r="C573" i="12"/>
  <c r="D573" i="12" s="1"/>
  <c r="E573" i="12" s="1"/>
  <c r="C532" i="12"/>
  <c r="D532" i="12" s="1"/>
  <c r="E532" i="12" s="1"/>
  <c r="E532" i="7"/>
  <c r="C145" i="12"/>
  <c r="D145" i="12" s="1"/>
  <c r="E145" i="12" s="1"/>
  <c r="E145" i="7"/>
  <c r="E65" i="8"/>
  <c r="G65" i="8" s="1"/>
  <c r="D65" i="7" s="1"/>
  <c r="E65" i="7"/>
  <c r="E17" i="7"/>
  <c r="E17" i="8"/>
  <c r="G17" i="8" s="1"/>
  <c r="D17" i="7" s="1"/>
  <c r="E437" i="8"/>
  <c r="G437" i="8" s="1"/>
  <c r="D437" i="7" s="1"/>
  <c r="C437" i="12"/>
  <c r="D437" i="12" s="1"/>
  <c r="E429" i="7"/>
  <c r="C429" i="12"/>
  <c r="D429" i="12" s="1"/>
  <c r="E402" i="7"/>
  <c r="E402" i="8"/>
  <c r="G402" i="8" s="1"/>
  <c r="D402" i="7" s="1"/>
  <c r="E296" i="7"/>
  <c r="C296" i="12"/>
  <c r="D296" i="12" s="1"/>
  <c r="E296" i="12" s="1"/>
  <c r="E247" i="7"/>
  <c r="E247" i="8"/>
  <c r="G247" i="8" s="1"/>
  <c r="D247" i="7" s="1"/>
  <c r="E70" i="7"/>
  <c r="C70" i="12"/>
  <c r="D70" i="12" s="1"/>
  <c r="E28" i="7"/>
  <c r="C28" i="12"/>
  <c r="D28" i="12" s="1"/>
  <c r="E28" i="12" s="1"/>
  <c r="E46" i="8"/>
  <c r="G46" i="8" s="1"/>
  <c r="D46" i="7" s="1"/>
  <c r="E103" i="7"/>
  <c r="E103" i="8"/>
  <c r="G103" i="8" s="1"/>
  <c r="D103" i="7" s="1"/>
  <c r="C103" i="12"/>
  <c r="C74" i="12"/>
  <c r="D74" i="12" s="1"/>
  <c r="E74" i="7"/>
  <c r="E56" i="7"/>
  <c r="C56" i="12"/>
  <c r="D56" i="12" s="1"/>
  <c r="E56" i="12" s="1"/>
  <c r="E32" i="7"/>
  <c r="C32" i="12"/>
  <c r="D32" i="12" s="1"/>
  <c r="E32" i="12" s="1"/>
  <c r="C26" i="12"/>
  <c r="E26" i="7"/>
  <c r="E429" i="8"/>
  <c r="G429" i="8" s="1"/>
  <c r="D429" i="7" s="1"/>
  <c r="E145" i="8"/>
  <c r="G145" i="8" s="1"/>
  <c r="D145" i="7" s="1"/>
  <c r="E32" i="8"/>
  <c r="G32" i="8" s="1"/>
  <c r="D32" i="7" s="1"/>
  <c r="E52" i="7"/>
  <c r="E173" i="8"/>
  <c r="G173" i="8" s="1"/>
  <c r="D173" i="7" s="1"/>
  <c r="C173" i="12"/>
  <c r="D173" i="12" s="1"/>
  <c r="E723" i="8"/>
  <c r="G723" i="8" s="1"/>
  <c r="D723" i="7" s="1"/>
  <c r="E70" i="8"/>
  <c r="G70" i="8" s="1"/>
  <c r="D70" i="7" s="1"/>
  <c r="D441" i="12"/>
  <c r="E441" i="12" s="1"/>
  <c r="C65" i="12"/>
  <c r="D65" i="12" s="1"/>
  <c r="E65" i="12" s="1"/>
  <c r="C29" i="12"/>
  <c r="D29" i="12" s="1"/>
  <c r="E29" i="12" s="1"/>
  <c r="E201" i="7"/>
  <c r="E56" i="8"/>
  <c r="G56" i="8" s="1"/>
  <c r="D56" i="7" s="1"/>
  <c r="C752" i="12"/>
  <c r="D752" i="12" s="1"/>
  <c r="E752" i="12" s="1"/>
  <c r="C81" i="12"/>
  <c r="D81" i="12" s="1"/>
  <c r="E81" i="12" s="1"/>
  <c r="E646" i="8"/>
  <c r="G646" i="8" s="1"/>
  <c r="D646" i="7" s="1"/>
  <c r="E349" i="8"/>
  <c r="G349" i="8" s="1"/>
  <c r="D349" i="7" s="1"/>
  <c r="E81" i="8"/>
  <c r="G81" i="8" s="1"/>
  <c r="D81" i="7" s="1"/>
  <c r="E645" i="8"/>
  <c r="G645" i="8" s="1"/>
  <c r="D645" i="7" s="1"/>
  <c r="E165" i="8"/>
  <c r="G165" i="8" s="1"/>
  <c r="D165" i="7" s="1"/>
  <c r="E153" i="8"/>
  <c r="G153" i="8" s="1"/>
  <c r="D153" i="7" s="1"/>
  <c r="E80" i="8"/>
  <c r="G80" i="8" s="1"/>
  <c r="D80" i="7" s="1"/>
  <c r="E40" i="8"/>
  <c r="G40" i="8" s="1"/>
  <c r="D40" i="7" s="1"/>
  <c r="C582" i="12"/>
  <c r="D582" i="12" s="1"/>
  <c r="E582" i="12" s="1"/>
  <c r="C118" i="12"/>
  <c r="D118" i="12" s="1"/>
  <c r="E737" i="7"/>
  <c r="E658" i="7"/>
  <c r="C658" i="12"/>
  <c r="D658" i="12" s="1"/>
  <c r="C640" i="12"/>
  <c r="D640" i="12" s="1"/>
  <c r="E640" i="7"/>
  <c r="E572" i="7"/>
  <c r="C572" i="12"/>
  <c r="D572" i="12" s="1"/>
  <c r="E332" i="7"/>
  <c r="C332" i="12"/>
  <c r="D444" i="12"/>
  <c r="E444" i="12" s="1"/>
  <c r="C179" i="12"/>
  <c r="D179" i="12" s="1"/>
  <c r="E179" i="12" s="1"/>
  <c r="E518" i="7"/>
  <c r="C518" i="12"/>
  <c r="D518" i="12" s="1"/>
  <c r="E518" i="12" s="1"/>
  <c r="C251" i="12"/>
  <c r="D251" i="12" s="1"/>
  <c r="E251" i="12" s="1"/>
  <c r="E328" i="7"/>
  <c r="C328" i="12"/>
  <c r="D328" i="12" s="1"/>
  <c r="E566" i="7"/>
  <c r="C566" i="12"/>
  <c r="D566" i="12" s="1"/>
  <c r="E566" i="12" s="1"/>
  <c r="E460" i="7"/>
  <c r="C460" i="12"/>
  <c r="D460" i="12" s="1"/>
  <c r="E235" i="8"/>
  <c r="G235" i="8" s="1"/>
  <c r="D235" i="7" s="1"/>
  <c r="E701" i="12"/>
  <c r="C308" i="12"/>
  <c r="D308" i="12" s="1"/>
  <c r="E308" i="12" s="1"/>
  <c r="E706" i="12"/>
  <c r="E422" i="7"/>
  <c r="C422" i="12"/>
  <c r="D422" i="12" s="1"/>
  <c r="E422" i="12" s="1"/>
  <c r="C266" i="12"/>
  <c r="D266" i="12" s="1"/>
  <c r="E266" i="12" s="1"/>
  <c r="E266" i="7"/>
  <c r="E364" i="7"/>
  <c r="C364" i="12"/>
  <c r="C515" i="12"/>
  <c r="D515" i="12" s="1"/>
  <c r="E515" i="12" s="1"/>
  <c r="D96" i="12"/>
  <c r="E96" i="12" s="1"/>
  <c r="C423" i="12"/>
  <c r="D423" i="12" s="1"/>
  <c r="E146" i="7"/>
  <c r="C146" i="12"/>
  <c r="E256" i="12"/>
  <c r="E289" i="12"/>
  <c r="E5" i="8"/>
  <c r="G5" i="8" s="1"/>
  <c r="D5" i="7" s="1"/>
  <c r="E5" i="7"/>
  <c r="E11" i="7"/>
  <c r="E13" i="7"/>
  <c r="C7" i="12"/>
  <c r="E10" i="8"/>
  <c r="G10" i="8" s="1"/>
  <c r="D10" i="7" s="1"/>
  <c r="C10" i="12"/>
  <c r="D10" i="12" s="1"/>
  <c r="E10" i="12" s="1"/>
  <c r="E10" i="7"/>
  <c r="C9" i="12"/>
  <c r="E9" i="7"/>
  <c r="E9" i="8"/>
  <c r="G9" i="8" s="1"/>
  <c r="D9" i="7" s="1"/>
  <c r="C16" i="12"/>
  <c r="D16" i="12" s="1"/>
  <c r="E16" i="12" s="1"/>
  <c r="E16" i="8"/>
  <c r="G16" i="8" s="1"/>
  <c r="D16" i="7" s="1"/>
  <c r="E16" i="7"/>
  <c r="C15" i="12"/>
  <c r="D15" i="12" s="1"/>
  <c r="E15" i="7"/>
  <c r="E15" i="8"/>
  <c r="G15" i="8" s="1"/>
  <c r="D15" i="7" s="1"/>
  <c r="C6" i="12"/>
  <c r="E6" i="7"/>
  <c r="E6" i="8"/>
  <c r="G6" i="8" s="1"/>
  <c r="D6" i="7" s="1"/>
  <c r="E12" i="8"/>
  <c r="G12" i="8" s="1"/>
  <c r="D12" i="7" s="1"/>
  <c r="E12" i="7"/>
  <c r="C12" i="12"/>
  <c r="D12" i="12" s="1"/>
  <c r="E12" i="12" s="1"/>
  <c r="C4" i="12"/>
  <c r="D4" i="12" s="1"/>
  <c r="E4" i="8"/>
  <c r="G4" i="8" s="1"/>
  <c r="D4" i="7" s="1"/>
  <c r="E4" i="7"/>
  <c r="E3" i="7"/>
  <c r="E3" i="8"/>
  <c r="G3" i="8" s="1"/>
  <c r="D3" i="7" s="1"/>
  <c r="C3" i="12"/>
  <c r="D3" i="12" s="1"/>
  <c r="E7" i="8"/>
  <c r="G7" i="8" s="1"/>
  <c r="D7" i="7" s="1"/>
  <c r="C11" i="12"/>
  <c r="D11" i="12" s="1"/>
  <c r="E11" i="12" s="1"/>
  <c r="E8" i="7"/>
  <c r="E8" i="8"/>
  <c r="G8" i="8" s="1"/>
  <c r="D8" i="7" s="1"/>
  <c r="E14" i="7"/>
  <c r="E14" i="8"/>
  <c r="G14" i="8" s="1"/>
  <c r="D14" i="7" s="1"/>
  <c r="E13" i="8"/>
  <c r="G13" i="8" s="1"/>
  <c r="D13" i="7" s="1"/>
  <c r="C17" i="12"/>
  <c r="D17" i="12" s="1"/>
  <c r="E17" i="12" s="1"/>
  <c r="C5" i="12"/>
  <c r="D5" i="12" s="1"/>
  <c r="E2" i="7"/>
  <c r="G2" i="8"/>
  <c r="D2" i="7" s="1"/>
  <c r="F697" i="7"/>
  <c r="C697" i="7"/>
  <c r="F685" i="7"/>
  <c r="C685" i="7"/>
  <c r="F673" i="7"/>
  <c r="C673" i="7"/>
  <c r="F661" i="7"/>
  <c r="C661" i="7"/>
  <c r="G661" i="7" s="1"/>
  <c r="J661" i="7" s="1"/>
  <c r="F649" i="7"/>
  <c r="C649" i="7"/>
  <c r="G649" i="7" s="1"/>
  <c r="J649" i="7" s="1"/>
  <c r="F637" i="7"/>
  <c r="C637" i="7"/>
  <c r="C625" i="7"/>
  <c r="F625" i="7"/>
  <c r="F613" i="7"/>
  <c r="C613" i="7"/>
  <c r="F601" i="7"/>
  <c r="C601" i="7"/>
  <c r="C589" i="7"/>
  <c r="F589" i="7"/>
  <c r="F577" i="7"/>
  <c r="C577" i="7"/>
  <c r="G577" i="7" s="1"/>
  <c r="J577" i="7" s="1"/>
  <c r="C565" i="7"/>
  <c r="F565" i="7"/>
  <c r="F553" i="7"/>
  <c r="C553" i="7"/>
  <c r="F541" i="7"/>
  <c r="C541" i="7"/>
  <c r="C762" i="7"/>
  <c r="F762" i="7"/>
  <c r="C166" i="7"/>
  <c r="F311" i="7"/>
  <c r="C311" i="7"/>
  <c r="F287" i="7"/>
  <c r="C287" i="7"/>
  <c r="F251" i="7"/>
  <c r="C251" i="7"/>
  <c r="F227" i="7"/>
  <c r="C227" i="7"/>
  <c r="F215" i="7"/>
  <c r="C215" i="7"/>
  <c r="F203" i="7"/>
  <c r="C203" i="7"/>
  <c r="C756" i="7"/>
  <c r="F756" i="7"/>
  <c r="F744" i="7"/>
  <c r="C744" i="7"/>
  <c r="F732" i="7"/>
  <c r="C732" i="7"/>
  <c r="F720" i="7"/>
  <c r="C720" i="7"/>
  <c r="F708" i="7"/>
  <c r="C708" i="7"/>
  <c r="F696" i="7"/>
  <c r="C696" i="7"/>
  <c r="F684" i="7"/>
  <c r="C684" i="7"/>
  <c r="F672" i="7"/>
  <c r="C672" i="7"/>
  <c r="C660" i="7"/>
  <c r="F660" i="7"/>
  <c r="C648" i="7"/>
  <c r="F648" i="7"/>
  <c r="F636" i="7"/>
  <c r="C636" i="7"/>
  <c r="G636" i="7" s="1"/>
  <c r="J636" i="7" s="1"/>
  <c r="F624" i="7"/>
  <c r="C624" i="7"/>
  <c r="F612" i="7"/>
  <c r="C612" i="7"/>
  <c r="F600" i="7"/>
  <c r="C600" i="7"/>
  <c r="F588" i="7"/>
  <c r="C588" i="7"/>
  <c r="F576" i="7"/>
  <c r="C576" i="7"/>
  <c r="F564" i="7"/>
  <c r="C564" i="7"/>
  <c r="C552" i="7"/>
  <c r="F552" i="7"/>
  <c r="F540" i="7"/>
  <c r="C540" i="7"/>
  <c r="C154" i="7"/>
  <c r="F707" i="7"/>
  <c r="C707" i="7"/>
  <c r="F695" i="7"/>
  <c r="C695" i="7"/>
  <c r="F683" i="7"/>
  <c r="C683" i="7"/>
  <c r="F671" i="7"/>
  <c r="C671" i="7"/>
  <c r="F659" i="7"/>
  <c r="C659" i="7"/>
  <c r="F647" i="7"/>
  <c r="C647" i="7"/>
  <c r="F635" i="7"/>
  <c r="C635" i="7"/>
  <c r="F623" i="7"/>
  <c r="C623" i="7"/>
  <c r="F611" i="7"/>
  <c r="C611" i="7"/>
  <c r="F599" i="7"/>
  <c r="C599" i="7"/>
  <c r="F587" i="7"/>
  <c r="C587" i="7"/>
  <c r="F575" i="7"/>
  <c r="C575" i="7"/>
  <c r="F563" i="7"/>
  <c r="C563" i="7"/>
  <c r="F551" i="7"/>
  <c r="C551" i="7"/>
  <c r="F539" i="7"/>
  <c r="C539" i="7"/>
  <c r="C142" i="7"/>
  <c r="F182" i="7"/>
  <c r="C182" i="7"/>
  <c r="F134" i="7"/>
  <c r="C134" i="7"/>
  <c r="F62" i="7"/>
  <c r="C62" i="7"/>
  <c r="F26" i="7"/>
  <c r="C26" i="7"/>
  <c r="F506" i="7"/>
  <c r="C506" i="7"/>
  <c r="F458" i="7"/>
  <c r="C458" i="7"/>
  <c r="G458" i="7" s="1"/>
  <c r="J458" i="7" s="1"/>
  <c r="F422" i="7"/>
  <c r="C422" i="7"/>
  <c r="G422" i="7" s="1"/>
  <c r="J422" i="7" s="1"/>
  <c r="F398" i="7"/>
  <c r="C398" i="7"/>
  <c r="F362" i="7"/>
  <c r="C362" i="7"/>
  <c r="F326" i="7"/>
  <c r="C326" i="7"/>
  <c r="F278" i="7"/>
  <c r="C278" i="7"/>
  <c r="F230" i="7"/>
  <c r="C230" i="7"/>
  <c r="F747" i="7"/>
  <c r="C747" i="7"/>
  <c r="C2" i="7"/>
  <c r="C157" i="7"/>
  <c r="F157" i="7"/>
  <c r="F109" i="7"/>
  <c r="C109" i="7"/>
  <c r="F73" i="7"/>
  <c r="C73" i="7"/>
  <c r="F49" i="7"/>
  <c r="C49" i="7"/>
  <c r="G49" i="7" s="1"/>
  <c r="J49" i="7" s="1"/>
  <c r="F13" i="7"/>
  <c r="C13" i="7"/>
  <c r="F517" i="7"/>
  <c r="C517" i="7"/>
  <c r="G517" i="7" s="1"/>
  <c r="J517" i="7" s="1"/>
  <c r="F481" i="7"/>
  <c r="C481" i="7"/>
  <c r="F433" i="7"/>
  <c r="C433" i="7"/>
  <c r="C409" i="7"/>
  <c r="F409" i="7"/>
  <c r="F373" i="7"/>
  <c r="C373" i="7"/>
  <c r="G373" i="7" s="1"/>
  <c r="J373" i="7" s="1"/>
  <c r="F337" i="7"/>
  <c r="C337" i="7"/>
  <c r="F301" i="7"/>
  <c r="C301" i="7"/>
  <c r="G301" i="7" s="1"/>
  <c r="J301" i="7" s="1"/>
  <c r="C265" i="7"/>
  <c r="F265" i="7"/>
  <c r="F241" i="7"/>
  <c r="C241" i="7"/>
  <c r="F205" i="7"/>
  <c r="C205" i="7"/>
  <c r="F722" i="7"/>
  <c r="C722" i="7"/>
  <c r="F180" i="7"/>
  <c r="C180" i="7"/>
  <c r="G180" i="7" s="1"/>
  <c r="J180" i="7" s="1"/>
  <c r="F156" i="7"/>
  <c r="C156" i="7"/>
  <c r="G156" i="7" s="1"/>
  <c r="J156" i="7" s="1"/>
  <c r="F120" i="7"/>
  <c r="C120" i="7"/>
  <c r="F84" i="7"/>
  <c r="C84" i="7"/>
  <c r="F48" i="7"/>
  <c r="C48" i="7"/>
  <c r="F12" i="7"/>
  <c r="C12" i="7"/>
  <c r="C504" i="7"/>
  <c r="F504" i="7"/>
  <c r="C468" i="7"/>
  <c r="F468" i="7"/>
  <c r="F444" i="7"/>
  <c r="C444" i="7"/>
  <c r="F408" i="7"/>
  <c r="C408" i="7"/>
  <c r="F360" i="7"/>
  <c r="C360" i="7"/>
  <c r="F324" i="7"/>
  <c r="C324" i="7"/>
  <c r="F288" i="7"/>
  <c r="C288" i="7"/>
  <c r="G288" i="7" s="1"/>
  <c r="J288" i="7" s="1"/>
  <c r="F252" i="7"/>
  <c r="C252" i="7"/>
  <c r="F216" i="7"/>
  <c r="C216" i="7"/>
  <c r="F745" i="7"/>
  <c r="C745" i="7"/>
  <c r="F733" i="7"/>
  <c r="C733" i="7"/>
  <c r="F179" i="7"/>
  <c r="C179" i="7"/>
  <c r="C143" i="7"/>
  <c r="F143" i="7"/>
  <c r="F107" i="7"/>
  <c r="C107" i="7"/>
  <c r="F59" i="7"/>
  <c r="C59" i="7"/>
  <c r="F23" i="7"/>
  <c r="C23" i="7"/>
  <c r="F515" i="7"/>
  <c r="C515" i="7"/>
  <c r="F479" i="7"/>
  <c r="C479" i="7"/>
  <c r="F455" i="7"/>
  <c r="C455" i="7"/>
  <c r="F419" i="7"/>
  <c r="C419" i="7"/>
  <c r="F383" i="7"/>
  <c r="C383" i="7"/>
  <c r="F347" i="7"/>
  <c r="C347" i="7"/>
  <c r="C335" i="7"/>
  <c r="F335" i="7"/>
  <c r="F323" i="7"/>
  <c r="C323" i="7"/>
  <c r="F299" i="7"/>
  <c r="C299" i="7"/>
  <c r="F239" i="7"/>
  <c r="C239" i="7"/>
  <c r="F46" i="7"/>
  <c r="C46" i="7"/>
  <c r="C34" i="7"/>
  <c r="F34" i="7"/>
  <c r="F22" i="7"/>
  <c r="C22" i="7"/>
  <c r="F10" i="7"/>
  <c r="C10" i="7"/>
  <c r="F526" i="7"/>
  <c r="C526" i="7"/>
  <c r="F514" i="7"/>
  <c r="C514" i="7"/>
  <c r="F502" i="7"/>
  <c r="C502" i="7"/>
  <c r="F490" i="7"/>
  <c r="C490" i="7"/>
  <c r="F478" i="7"/>
  <c r="C478" i="7"/>
  <c r="F466" i="7"/>
  <c r="C466" i="7"/>
  <c r="F454" i="7"/>
  <c r="C454" i="7"/>
  <c r="F442" i="7"/>
  <c r="C442" i="7"/>
  <c r="F430" i="7"/>
  <c r="C430" i="7"/>
  <c r="F418" i="7"/>
  <c r="C418" i="7"/>
  <c r="F406" i="7"/>
  <c r="C406" i="7"/>
  <c r="F394" i="7"/>
  <c r="C394" i="7"/>
  <c r="F382" i="7"/>
  <c r="C382" i="7"/>
  <c r="F370" i="7"/>
  <c r="C370" i="7"/>
  <c r="F358" i="7"/>
  <c r="C358" i="7"/>
  <c r="F346" i="7"/>
  <c r="C346" i="7"/>
  <c r="F334" i="7"/>
  <c r="C334" i="7"/>
  <c r="F322" i="7"/>
  <c r="C322" i="7"/>
  <c r="F310" i="7"/>
  <c r="C310" i="7"/>
  <c r="F298" i="7"/>
  <c r="C298" i="7"/>
  <c r="F286" i="7"/>
  <c r="C286" i="7"/>
  <c r="F274" i="7"/>
  <c r="C274" i="7"/>
  <c r="F262" i="7"/>
  <c r="C262" i="7"/>
  <c r="F250" i="7"/>
  <c r="C250" i="7"/>
  <c r="F238" i="7"/>
  <c r="C238" i="7"/>
  <c r="C226" i="7"/>
  <c r="F226" i="7"/>
  <c r="F214" i="7"/>
  <c r="C214" i="7"/>
  <c r="F202" i="7"/>
  <c r="C202" i="7"/>
  <c r="F755" i="7"/>
  <c r="C755" i="7"/>
  <c r="F743" i="7"/>
  <c r="C743" i="7"/>
  <c r="F731" i="7"/>
  <c r="C731" i="7"/>
  <c r="F719" i="7"/>
  <c r="C719" i="7"/>
  <c r="F189" i="7"/>
  <c r="C189" i="7"/>
  <c r="F177" i="7"/>
  <c r="C177" i="7"/>
  <c r="F165" i="7"/>
  <c r="C165" i="7"/>
  <c r="F153" i="7"/>
  <c r="C153" i="7"/>
  <c r="F141" i="7"/>
  <c r="C141" i="7"/>
  <c r="F129" i="7"/>
  <c r="C129" i="7"/>
  <c r="C117" i="7"/>
  <c r="F117" i="7"/>
  <c r="F105" i="7"/>
  <c r="C105" i="7"/>
  <c r="F93" i="7"/>
  <c r="C93" i="7"/>
  <c r="F81" i="7"/>
  <c r="C81" i="7"/>
  <c r="F69" i="7"/>
  <c r="C69" i="7"/>
  <c r="F57" i="7"/>
  <c r="C57" i="7"/>
  <c r="F45" i="7"/>
  <c r="C45" i="7"/>
  <c r="F33" i="7"/>
  <c r="C33" i="7"/>
  <c r="F21" i="7"/>
  <c r="C21" i="7"/>
  <c r="F9" i="7"/>
  <c r="C9" i="7"/>
  <c r="F525" i="7"/>
  <c r="C525" i="7"/>
  <c r="F513" i="7"/>
  <c r="C513" i="7"/>
  <c r="F501" i="7"/>
  <c r="C501" i="7"/>
  <c r="F489" i="7"/>
  <c r="C489" i="7"/>
  <c r="F477" i="7"/>
  <c r="C477" i="7"/>
  <c r="F465" i="7"/>
  <c r="C465" i="7"/>
  <c r="F453" i="7"/>
  <c r="C453" i="7"/>
  <c r="F441" i="7"/>
  <c r="C441" i="7"/>
  <c r="F429" i="7"/>
  <c r="C429" i="7"/>
  <c r="F417" i="7"/>
  <c r="C417" i="7"/>
  <c r="F405" i="7"/>
  <c r="C405" i="7"/>
  <c r="F393" i="7"/>
  <c r="C393" i="7"/>
  <c r="F381" i="7"/>
  <c r="C381" i="7"/>
  <c r="F369" i="7"/>
  <c r="C369" i="7"/>
  <c r="F357" i="7"/>
  <c r="C357" i="7"/>
  <c r="F345" i="7"/>
  <c r="C345" i="7"/>
  <c r="F333" i="7"/>
  <c r="C333" i="7"/>
  <c r="F321" i="7"/>
  <c r="C321" i="7"/>
  <c r="F309" i="7"/>
  <c r="C309" i="7"/>
  <c r="F297" i="7"/>
  <c r="C297" i="7"/>
  <c r="F285" i="7"/>
  <c r="C285" i="7"/>
  <c r="F273" i="7"/>
  <c r="C273" i="7"/>
  <c r="F261" i="7"/>
  <c r="C261" i="7"/>
  <c r="F249" i="7"/>
  <c r="C249" i="7"/>
  <c r="C237" i="7"/>
  <c r="F237" i="7"/>
  <c r="C225" i="7"/>
  <c r="F225" i="7"/>
  <c r="F213" i="7"/>
  <c r="C213" i="7"/>
  <c r="C201" i="7"/>
  <c r="F201" i="7"/>
  <c r="F754" i="7"/>
  <c r="C754" i="7"/>
  <c r="F742" i="7"/>
  <c r="C742" i="7"/>
  <c r="F730" i="7"/>
  <c r="C730" i="7"/>
  <c r="F718" i="7"/>
  <c r="C718" i="7"/>
  <c r="F706" i="7"/>
  <c r="C706" i="7"/>
  <c r="F694" i="7"/>
  <c r="C694" i="7"/>
  <c r="F682" i="7"/>
  <c r="C682" i="7"/>
  <c r="F670" i="7"/>
  <c r="C670" i="7"/>
  <c r="F658" i="7"/>
  <c r="C658" i="7"/>
  <c r="F646" i="7"/>
  <c r="C646" i="7"/>
  <c r="F634" i="7"/>
  <c r="C634" i="7"/>
  <c r="F622" i="7"/>
  <c r="C622" i="7"/>
  <c r="F610" i="7"/>
  <c r="C610" i="7"/>
  <c r="F598" i="7"/>
  <c r="C598" i="7"/>
  <c r="F586" i="7"/>
  <c r="C586" i="7"/>
  <c r="F574" i="7"/>
  <c r="C574" i="7"/>
  <c r="F562" i="7"/>
  <c r="C562" i="7"/>
  <c r="F550" i="7"/>
  <c r="C550" i="7"/>
  <c r="F538" i="7"/>
  <c r="C538" i="7"/>
  <c r="C130" i="7"/>
  <c r="F98" i="7"/>
  <c r="C98" i="7"/>
  <c r="F14" i="7"/>
  <c r="C14" i="7"/>
  <c r="F194" i="7"/>
  <c r="C194" i="7"/>
  <c r="F145" i="7"/>
  <c r="C145" i="7"/>
  <c r="F746" i="7"/>
  <c r="C746" i="7"/>
  <c r="F384" i="7"/>
  <c r="C384" i="7"/>
  <c r="G384" i="7" s="1"/>
  <c r="J384" i="7" s="1"/>
  <c r="F95" i="7"/>
  <c r="C95" i="7"/>
  <c r="F188" i="7"/>
  <c r="C188" i="7"/>
  <c r="F80" i="7"/>
  <c r="C80" i="7"/>
  <c r="F44" i="7"/>
  <c r="C44" i="7"/>
  <c r="F32" i="7"/>
  <c r="C32" i="7"/>
  <c r="F20" i="7"/>
  <c r="C20" i="7"/>
  <c r="F512" i="7"/>
  <c r="C512" i="7"/>
  <c r="F500" i="7"/>
  <c r="C500" i="7"/>
  <c r="F488" i="7"/>
  <c r="C488" i="7"/>
  <c r="F476" i="7"/>
  <c r="C476" i="7"/>
  <c r="F464" i="7"/>
  <c r="C464" i="7"/>
  <c r="F452" i="7"/>
  <c r="C452" i="7"/>
  <c r="F440" i="7"/>
  <c r="C440" i="7"/>
  <c r="F428" i="7"/>
  <c r="C428" i="7"/>
  <c r="F416" i="7"/>
  <c r="C416" i="7"/>
  <c r="C404" i="7"/>
  <c r="F404" i="7"/>
  <c r="F392" i="7"/>
  <c r="C392" i="7"/>
  <c r="F380" i="7"/>
  <c r="C380" i="7"/>
  <c r="F368" i="7"/>
  <c r="C368" i="7"/>
  <c r="F356" i="7"/>
  <c r="C356" i="7"/>
  <c r="F344" i="7"/>
  <c r="C344" i="7"/>
  <c r="C332" i="7"/>
  <c r="F332" i="7"/>
  <c r="F320" i="7"/>
  <c r="C320" i="7"/>
  <c r="F308" i="7"/>
  <c r="C308" i="7"/>
  <c r="F296" i="7"/>
  <c r="C296" i="7"/>
  <c r="F284" i="7"/>
  <c r="C284" i="7"/>
  <c r="F272" i="7"/>
  <c r="C272" i="7"/>
  <c r="C260" i="7"/>
  <c r="F260" i="7"/>
  <c r="F248" i="7"/>
  <c r="C248" i="7"/>
  <c r="F236" i="7"/>
  <c r="C236" i="7"/>
  <c r="F224" i="7"/>
  <c r="C224" i="7"/>
  <c r="F212" i="7"/>
  <c r="C212" i="7"/>
  <c r="F200" i="7"/>
  <c r="C200" i="7"/>
  <c r="F753" i="7"/>
  <c r="C753" i="7"/>
  <c r="F741" i="7"/>
  <c r="C741" i="7"/>
  <c r="F729" i="7"/>
  <c r="C729" i="7"/>
  <c r="F717" i="7"/>
  <c r="C717" i="7"/>
  <c r="F705" i="7"/>
  <c r="C705" i="7"/>
  <c r="F693" i="7"/>
  <c r="C693" i="7"/>
  <c r="F681" i="7"/>
  <c r="C681" i="7"/>
  <c r="F669" i="7"/>
  <c r="C669" i="7"/>
  <c r="F657" i="7"/>
  <c r="C657" i="7"/>
  <c r="F645" i="7"/>
  <c r="C645" i="7"/>
  <c r="F633" i="7"/>
  <c r="C633" i="7"/>
  <c r="F621" i="7"/>
  <c r="C621" i="7"/>
  <c r="F609" i="7"/>
  <c r="C609" i="7"/>
  <c r="F597" i="7"/>
  <c r="C597" i="7"/>
  <c r="F585" i="7"/>
  <c r="C585" i="7"/>
  <c r="F573" i="7"/>
  <c r="C573" i="7"/>
  <c r="F561" i="7"/>
  <c r="C561" i="7"/>
  <c r="F549" i="7"/>
  <c r="C549" i="7"/>
  <c r="F537" i="7"/>
  <c r="C537" i="7"/>
  <c r="C118" i="7"/>
  <c r="F728" i="7"/>
  <c r="C728" i="7"/>
  <c r="F716" i="7"/>
  <c r="C716" i="7"/>
  <c r="F704" i="7"/>
  <c r="C704" i="7"/>
  <c r="F692" i="7"/>
  <c r="C692" i="7"/>
  <c r="F680" i="7"/>
  <c r="C680" i="7"/>
  <c r="F668" i="7"/>
  <c r="C668" i="7"/>
  <c r="F656" i="7"/>
  <c r="C656" i="7"/>
  <c r="F644" i="7"/>
  <c r="C644" i="7"/>
  <c r="F632" i="7"/>
  <c r="C632" i="7"/>
  <c r="F620" i="7"/>
  <c r="C620" i="7"/>
  <c r="F608" i="7"/>
  <c r="C608" i="7"/>
  <c r="F596" i="7"/>
  <c r="C596" i="7"/>
  <c r="F584" i="7"/>
  <c r="C584" i="7"/>
  <c r="F572" i="7"/>
  <c r="C572" i="7"/>
  <c r="F560" i="7"/>
  <c r="C560" i="7"/>
  <c r="F548" i="7"/>
  <c r="C548" i="7"/>
  <c r="C18" i="7"/>
  <c r="G18" i="7" s="1"/>
  <c r="J18" i="7" s="1"/>
  <c r="C106" i="7"/>
  <c r="F146" i="7"/>
  <c r="C146" i="7"/>
  <c r="F715" i="7"/>
  <c r="C715" i="7"/>
  <c r="C703" i="7"/>
  <c r="F703" i="7"/>
  <c r="F691" i="7"/>
  <c r="C691" i="7"/>
  <c r="F679" i="7"/>
  <c r="C679" i="7"/>
  <c r="G679" i="7" s="1"/>
  <c r="J679" i="7" s="1"/>
  <c r="F667" i="7"/>
  <c r="C667" i="7"/>
  <c r="F655" i="7"/>
  <c r="C655" i="7"/>
  <c r="C643" i="7"/>
  <c r="F643" i="7"/>
  <c r="F631" i="7"/>
  <c r="C631" i="7"/>
  <c r="F619" i="7"/>
  <c r="C619" i="7"/>
  <c r="F607" i="7"/>
  <c r="C607" i="7"/>
  <c r="F595" i="7"/>
  <c r="C595" i="7"/>
  <c r="C583" i="7"/>
  <c r="G583" i="7" s="1"/>
  <c r="J583" i="7" s="1"/>
  <c r="F583" i="7"/>
  <c r="F571" i="7"/>
  <c r="C571" i="7"/>
  <c r="F559" i="7"/>
  <c r="C559" i="7"/>
  <c r="F547" i="7"/>
  <c r="C547" i="7"/>
  <c r="C17" i="7"/>
  <c r="C94" i="7"/>
  <c r="F158" i="7"/>
  <c r="C158" i="7"/>
  <c r="F110" i="7"/>
  <c r="C110" i="7"/>
  <c r="F74" i="7"/>
  <c r="C74" i="7"/>
  <c r="F38" i="7"/>
  <c r="C38" i="7"/>
  <c r="F518" i="7"/>
  <c r="C518" i="7"/>
  <c r="F482" i="7"/>
  <c r="C482" i="7"/>
  <c r="F446" i="7"/>
  <c r="C446" i="7"/>
  <c r="C410" i="7"/>
  <c r="F410" i="7"/>
  <c r="F386" i="7"/>
  <c r="C386" i="7"/>
  <c r="F350" i="7"/>
  <c r="C350" i="7"/>
  <c r="F314" i="7"/>
  <c r="C314" i="7"/>
  <c r="F266" i="7"/>
  <c r="C266" i="7"/>
  <c r="F242" i="7"/>
  <c r="C242" i="7"/>
  <c r="F206" i="7"/>
  <c r="C206" i="7"/>
  <c r="F735" i="7"/>
  <c r="C735" i="7"/>
  <c r="F169" i="7"/>
  <c r="C169" i="7"/>
  <c r="F133" i="7"/>
  <c r="C133" i="7"/>
  <c r="F97" i="7"/>
  <c r="C97" i="7"/>
  <c r="F61" i="7"/>
  <c r="C61" i="7"/>
  <c r="F25" i="7"/>
  <c r="C25" i="7"/>
  <c r="C529" i="7"/>
  <c r="F529" i="7"/>
  <c r="F493" i="7"/>
  <c r="C493" i="7"/>
  <c r="F457" i="7"/>
  <c r="C457" i="7"/>
  <c r="F421" i="7"/>
  <c r="C421" i="7"/>
  <c r="G421" i="7" s="1"/>
  <c r="J421" i="7" s="1"/>
  <c r="C385" i="7"/>
  <c r="F385" i="7"/>
  <c r="F349" i="7"/>
  <c r="C349" i="7"/>
  <c r="F313" i="7"/>
  <c r="C313" i="7"/>
  <c r="G313" i="7" s="1"/>
  <c r="J313" i="7" s="1"/>
  <c r="F277" i="7"/>
  <c r="C277" i="7"/>
  <c r="F253" i="7"/>
  <c r="C253" i="7"/>
  <c r="F217" i="7"/>
  <c r="C217" i="7"/>
  <c r="G217" i="7" s="1"/>
  <c r="J217" i="7" s="1"/>
  <c r="F734" i="7"/>
  <c r="C734" i="7"/>
  <c r="F168" i="7"/>
  <c r="C168" i="7"/>
  <c r="F132" i="7"/>
  <c r="C132" i="7"/>
  <c r="G132" i="7" s="1"/>
  <c r="J132" i="7" s="1"/>
  <c r="F96" i="7"/>
  <c r="C96" i="7"/>
  <c r="F60" i="7"/>
  <c r="C60" i="7"/>
  <c r="F24" i="7"/>
  <c r="C24" i="7"/>
  <c r="G24" i="7" s="1"/>
  <c r="J24" i="7" s="1"/>
  <c r="F516" i="7"/>
  <c r="C516" i="7"/>
  <c r="C492" i="7"/>
  <c r="G492" i="7" s="1"/>
  <c r="J492" i="7" s="1"/>
  <c r="F492" i="7"/>
  <c r="F456" i="7"/>
  <c r="C456" i="7"/>
  <c r="G456" i="7" s="1"/>
  <c r="J456" i="7" s="1"/>
  <c r="F420" i="7"/>
  <c r="C420" i="7"/>
  <c r="F372" i="7"/>
  <c r="C372" i="7"/>
  <c r="F336" i="7"/>
  <c r="C336" i="7"/>
  <c r="G336" i="7" s="1"/>
  <c r="J336" i="7" s="1"/>
  <c r="F300" i="7"/>
  <c r="C300" i="7"/>
  <c r="F264" i="7"/>
  <c r="C264" i="7"/>
  <c r="F228" i="7"/>
  <c r="C228" i="7"/>
  <c r="G228" i="7" s="1"/>
  <c r="J228" i="7" s="1"/>
  <c r="F757" i="7"/>
  <c r="C757" i="7"/>
  <c r="F709" i="7"/>
  <c r="C709" i="7"/>
  <c r="F167" i="7"/>
  <c r="C167" i="7"/>
  <c r="F131" i="7"/>
  <c r="C131" i="7"/>
  <c r="F83" i="7"/>
  <c r="C83" i="7"/>
  <c r="F47" i="7"/>
  <c r="C47" i="7"/>
  <c r="F11" i="7"/>
  <c r="C11" i="7"/>
  <c r="F503" i="7"/>
  <c r="C503" i="7"/>
  <c r="F443" i="7"/>
  <c r="C443" i="7"/>
  <c r="F395" i="7"/>
  <c r="C395" i="7"/>
  <c r="F359" i="7"/>
  <c r="C359" i="7"/>
  <c r="F275" i="7"/>
  <c r="C275" i="7"/>
  <c r="F164" i="7"/>
  <c r="C164" i="7"/>
  <c r="F140" i="7"/>
  <c r="C140" i="7"/>
  <c r="F116" i="7"/>
  <c r="C116" i="7"/>
  <c r="F92" i="7"/>
  <c r="C92" i="7"/>
  <c r="F56" i="7"/>
  <c r="C56" i="7"/>
  <c r="F524" i="7"/>
  <c r="C524" i="7"/>
  <c r="F187" i="7"/>
  <c r="C187" i="7"/>
  <c r="F163" i="7"/>
  <c r="C163" i="7"/>
  <c r="F139" i="7"/>
  <c r="C139" i="7"/>
  <c r="F127" i="7"/>
  <c r="C127" i="7"/>
  <c r="F115" i="7"/>
  <c r="C115" i="7"/>
  <c r="F103" i="7"/>
  <c r="C103" i="7"/>
  <c r="F91" i="7"/>
  <c r="C91" i="7"/>
  <c r="F79" i="7"/>
  <c r="C79" i="7"/>
  <c r="F55" i="7"/>
  <c r="C55" i="7"/>
  <c r="F31" i="7"/>
  <c r="C31" i="7"/>
  <c r="F7" i="7"/>
  <c r="C7" i="7"/>
  <c r="F511" i="7"/>
  <c r="C511" i="7"/>
  <c r="F487" i="7"/>
  <c r="C487" i="7"/>
  <c r="F463" i="7"/>
  <c r="C463" i="7"/>
  <c r="F451" i="7"/>
  <c r="C451" i="7"/>
  <c r="F415" i="7"/>
  <c r="C415" i="7"/>
  <c r="F391" i="7"/>
  <c r="C391" i="7"/>
  <c r="F367" i="7"/>
  <c r="C367" i="7"/>
  <c r="F343" i="7"/>
  <c r="C343" i="7"/>
  <c r="F319" i="7"/>
  <c r="C319" i="7"/>
  <c r="F283" i="7"/>
  <c r="C283" i="7"/>
  <c r="F259" i="7"/>
  <c r="C259" i="7"/>
  <c r="F235" i="7"/>
  <c r="C235" i="7"/>
  <c r="F223" i="7"/>
  <c r="C223" i="7"/>
  <c r="F211" i="7"/>
  <c r="C211" i="7"/>
  <c r="F199" i="7"/>
  <c r="C199" i="7"/>
  <c r="F740" i="7"/>
  <c r="C740" i="7"/>
  <c r="F186" i="7"/>
  <c r="C186" i="7"/>
  <c r="F174" i="7"/>
  <c r="C174" i="7"/>
  <c r="F162" i="7"/>
  <c r="C162" i="7"/>
  <c r="G162" i="7" s="1"/>
  <c r="J162" i="7" s="1"/>
  <c r="F150" i="7"/>
  <c r="C150" i="7"/>
  <c r="F138" i="7"/>
  <c r="C138" i="7"/>
  <c r="F126" i="7"/>
  <c r="C126" i="7"/>
  <c r="G126" i="7" s="1"/>
  <c r="J126" i="7" s="1"/>
  <c r="F114" i="7"/>
  <c r="C114" i="7"/>
  <c r="F102" i="7"/>
  <c r="C102" i="7"/>
  <c r="F90" i="7"/>
  <c r="C90" i="7"/>
  <c r="G90" i="7" s="1"/>
  <c r="J90" i="7" s="1"/>
  <c r="F78" i="7"/>
  <c r="C78" i="7"/>
  <c r="F66" i="7"/>
  <c r="C66" i="7"/>
  <c r="F54" i="7"/>
  <c r="C54" i="7"/>
  <c r="G54" i="7" s="1"/>
  <c r="J54" i="7" s="1"/>
  <c r="F42" i="7"/>
  <c r="C42" i="7"/>
  <c r="F30" i="7"/>
  <c r="C30" i="7"/>
  <c r="F522" i="7"/>
  <c r="C522" i="7"/>
  <c r="G522" i="7" s="1"/>
  <c r="J522" i="7" s="1"/>
  <c r="F510" i="7"/>
  <c r="C510" i="7"/>
  <c r="F498" i="7"/>
  <c r="C498" i="7"/>
  <c r="F486" i="7"/>
  <c r="C486" i="7"/>
  <c r="G486" i="7" s="1"/>
  <c r="J486" i="7" s="1"/>
  <c r="F474" i="7"/>
  <c r="C474" i="7"/>
  <c r="F462" i="7"/>
  <c r="C462" i="7"/>
  <c r="C450" i="7"/>
  <c r="F450" i="7"/>
  <c r="F438" i="7"/>
  <c r="C438" i="7"/>
  <c r="F426" i="7"/>
  <c r="C426" i="7"/>
  <c r="F414" i="7"/>
  <c r="C414" i="7"/>
  <c r="C402" i="7"/>
  <c r="F402" i="7"/>
  <c r="F390" i="7"/>
  <c r="C390" i="7"/>
  <c r="F378" i="7"/>
  <c r="C378" i="7"/>
  <c r="G378" i="7" s="1"/>
  <c r="J378" i="7" s="1"/>
  <c r="F366" i="7"/>
  <c r="C366" i="7"/>
  <c r="F354" i="7"/>
  <c r="C354" i="7"/>
  <c r="F342" i="7"/>
  <c r="C342" i="7"/>
  <c r="G342" i="7" s="1"/>
  <c r="J342" i="7" s="1"/>
  <c r="F330" i="7"/>
  <c r="C330" i="7"/>
  <c r="F318" i="7"/>
  <c r="C318" i="7"/>
  <c r="F306" i="7"/>
  <c r="C306" i="7"/>
  <c r="G306" i="7" s="1"/>
  <c r="J306" i="7" s="1"/>
  <c r="F294" i="7"/>
  <c r="C294" i="7"/>
  <c r="F282" i="7"/>
  <c r="C282" i="7"/>
  <c r="F270" i="7"/>
  <c r="C270" i="7"/>
  <c r="G270" i="7" s="1"/>
  <c r="J270" i="7" s="1"/>
  <c r="F258" i="7"/>
  <c r="C258" i="7"/>
  <c r="F246" i="7"/>
  <c r="C246" i="7"/>
  <c r="F234" i="7"/>
  <c r="C234" i="7"/>
  <c r="G234" i="7" s="1"/>
  <c r="J234" i="7" s="1"/>
  <c r="F222" i="7"/>
  <c r="C222" i="7"/>
  <c r="F210" i="7"/>
  <c r="C210" i="7"/>
  <c r="F198" i="7"/>
  <c r="C198" i="7"/>
  <c r="G198" i="7" s="1"/>
  <c r="J198" i="7" s="1"/>
  <c r="F751" i="7"/>
  <c r="C751" i="7"/>
  <c r="F739" i="7"/>
  <c r="C739" i="7"/>
  <c r="F727" i="7"/>
  <c r="C727" i="7"/>
  <c r="F185" i="7"/>
  <c r="C185" i="7"/>
  <c r="F173" i="7"/>
  <c r="C173" i="7"/>
  <c r="F161" i="7"/>
  <c r="C161" i="7"/>
  <c r="F149" i="7"/>
  <c r="C149" i="7"/>
  <c r="F137" i="7"/>
  <c r="C137" i="7"/>
  <c r="F125" i="7"/>
  <c r="C125" i="7"/>
  <c r="F113" i="7"/>
  <c r="C113" i="7"/>
  <c r="F101" i="7"/>
  <c r="C101" i="7"/>
  <c r="F89" i="7"/>
  <c r="C89" i="7"/>
  <c r="F77" i="7"/>
  <c r="C77" i="7"/>
  <c r="F65" i="7"/>
  <c r="C65" i="7"/>
  <c r="F53" i="7"/>
  <c r="C53" i="7"/>
  <c r="F41" i="7"/>
  <c r="C41" i="7"/>
  <c r="F29" i="7"/>
  <c r="C29" i="7"/>
  <c r="F521" i="7"/>
  <c r="C521" i="7"/>
  <c r="F509" i="7"/>
  <c r="C509" i="7"/>
  <c r="F497" i="7"/>
  <c r="C497" i="7"/>
  <c r="F485" i="7"/>
  <c r="C485" i="7"/>
  <c r="F473" i="7"/>
  <c r="C473" i="7"/>
  <c r="F461" i="7"/>
  <c r="C461" i="7"/>
  <c r="F449" i="7"/>
  <c r="C449" i="7"/>
  <c r="F437" i="7"/>
  <c r="C437" i="7"/>
  <c r="F425" i="7"/>
  <c r="C425" i="7"/>
  <c r="F413" i="7"/>
  <c r="C413" i="7"/>
  <c r="F401" i="7"/>
  <c r="C401" i="7"/>
  <c r="F389" i="7"/>
  <c r="C389" i="7"/>
  <c r="F377" i="7"/>
  <c r="C377" i="7"/>
  <c r="F365" i="7"/>
  <c r="C365" i="7"/>
  <c r="F353" i="7"/>
  <c r="C353" i="7"/>
  <c r="C341" i="7"/>
  <c r="F341" i="7"/>
  <c r="F329" i="7"/>
  <c r="C329" i="7"/>
  <c r="F317" i="7"/>
  <c r="C317" i="7"/>
  <c r="C305" i="7"/>
  <c r="F305" i="7"/>
  <c r="F293" i="7"/>
  <c r="C293" i="7"/>
  <c r="F281" i="7"/>
  <c r="C281" i="7"/>
  <c r="C269" i="7"/>
  <c r="F269" i="7"/>
  <c r="F257" i="7"/>
  <c r="C257" i="7"/>
  <c r="F245" i="7"/>
  <c r="C245" i="7"/>
  <c r="F233" i="7"/>
  <c r="C233" i="7"/>
  <c r="F221" i="7"/>
  <c r="C221" i="7"/>
  <c r="F209" i="7"/>
  <c r="C209" i="7"/>
  <c r="F197" i="7"/>
  <c r="C197" i="7"/>
  <c r="F750" i="7"/>
  <c r="C750" i="7"/>
  <c r="F738" i="7"/>
  <c r="C738" i="7"/>
  <c r="F726" i="7"/>
  <c r="C726" i="7"/>
  <c r="G726" i="7" s="1"/>
  <c r="J726" i="7" s="1"/>
  <c r="F714" i="7"/>
  <c r="C714" i="7"/>
  <c r="F702" i="7"/>
  <c r="C702" i="7"/>
  <c r="F690" i="7"/>
  <c r="C690" i="7"/>
  <c r="F678" i="7"/>
  <c r="C678" i="7"/>
  <c r="F666" i="7"/>
  <c r="C666" i="7"/>
  <c r="F654" i="7"/>
  <c r="C654" i="7"/>
  <c r="G654" i="7" s="1"/>
  <c r="J654" i="7" s="1"/>
  <c r="F642" i="7"/>
  <c r="C642" i="7"/>
  <c r="F630" i="7"/>
  <c r="C630" i="7"/>
  <c r="F618" i="7"/>
  <c r="C618" i="7"/>
  <c r="G618" i="7" s="1"/>
  <c r="J618" i="7" s="1"/>
  <c r="F606" i="7"/>
  <c r="C606" i="7"/>
  <c r="F594" i="7"/>
  <c r="C594" i="7"/>
  <c r="C582" i="7"/>
  <c r="F582" i="7"/>
  <c r="F570" i="7"/>
  <c r="C570" i="7"/>
  <c r="F558" i="7"/>
  <c r="C558" i="7"/>
  <c r="F546" i="7"/>
  <c r="C546" i="7"/>
  <c r="G546" i="7" s="1"/>
  <c r="J546" i="7" s="1"/>
  <c r="C6" i="7"/>
  <c r="C82" i="7"/>
  <c r="F725" i="7"/>
  <c r="C725" i="7"/>
  <c r="C701" i="7"/>
  <c r="F701" i="7"/>
  <c r="F689" i="7"/>
  <c r="C689" i="7"/>
  <c r="F677" i="7"/>
  <c r="C677" i="7"/>
  <c r="F665" i="7"/>
  <c r="C665" i="7"/>
  <c r="F653" i="7"/>
  <c r="C653" i="7"/>
  <c r="C641" i="7"/>
  <c r="F641" i="7"/>
  <c r="F629" i="7"/>
  <c r="C629" i="7"/>
  <c r="F617" i="7"/>
  <c r="C617" i="7"/>
  <c r="F605" i="7"/>
  <c r="C605" i="7"/>
  <c r="F593" i="7"/>
  <c r="C593" i="7"/>
  <c r="F581" i="7"/>
  <c r="C581" i="7"/>
  <c r="F569" i="7"/>
  <c r="C569" i="7"/>
  <c r="F557" i="7"/>
  <c r="C557" i="7"/>
  <c r="F545" i="7"/>
  <c r="C545" i="7"/>
  <c r="C5" i="7"/>
  <c r="G5" i="7" s="1"/>
  <c r="J5" i="7" s="1"/>
  <c r="C70" i="7"/>
  <c r="F170" i="7"/>
  <c r="C170" i="7"/>
  <c r="F122" i="7"/>
  <c r="C122" i="7"/>
  <c r="F86" i="7"/>
  <c r="C86" i="7"/>
  <c r="F50" i="7"/>
  <c r="C50" i="7"/>
  <c r="C530" i="7"/>
  <c r="F530" i="7"/>
  <c r="F494" i="7"/>
  <c r="C494" i="7"/>
  <c r="F470" i="7"/>
  <c r="C470" i="7"/>
  <c r="C434" i="7"/>
  <c r="F434" i="7"/>
  <c r="F374" i="7"/>
  <c r="C374" i="7"/>
  <c r="C338" i="7"/>
  <c r="F338" i="7"/>
  <c r="F302" i="7"/>
  <c r="C302" i="7"/>
  <c r="F290" i="7"/>
  <c r="C290" i="7"/>
  <c r="F254" i="7"/>
  <c r="C254" i="7"/>
  <c r="F218" i="7"/>
  <c r="C218" i="7"/>
  <c r="G218" i="7" s="1"/>
  <c r="J218" i="7" s="1"/>
  <c r="F723" i="7"/>
  <c r="C723" i="7"/>
  <c r="F181" i="7"/>
  <c r="C181" i="7"/>
  <c r="G181" i="7" s="1"/>
  <c r="J181" i="7" s="1"/>
  <c r="F121" i="7"/>
  <c r="C121" i="7"/>
  <c r="F85" i="7"/>
  <c r="C85" i="7"/>
  <c r="F37" i="7"/>
  <c r="C37" i="7"/>
  <c r="G37" i="7" s="1"/>
  <c r="J37" i="7" s="1"/>
  <c r="C505" i="7"/>
  <c r="F505" i="7"/>
  <c r="F469" i="7"/>
  <c r="C469" i="7"/>
  <c r="C445" i="7"/>
  <c r="F445" i="7"/>
  <c r="F397" i="7"/>
  <c r="C397" i="7"/>
  <c r="F361" i="7"/>
  <c r="C361" i="7"/>
  <c r="F325" i="7"/>
  <c r="C325" i="7"/>
  <c r="F289" i="7"/>
  <c r="C289" i="7"/>
  <c r="G289" i="7" s="1"/>
  <c r="J289" i="7" s="1"/>
  <c r="C229" i="7"/>
  <c r="F229" i="7"/>
  <c r="F193" i="7"/>
  <c r="C193" i="7"/>
  <c r="G193" i="7" s="1"/>
  <c r="J193" i="7" s="1"/>
  <c r="F710" i="7"/>
  <c r="C710" i="7"/>
  <c r="F192" i="7"/>
  <c r="C192" i="7"/>
  <c r="F144" i="7"/>
  <c r="C144" i="7"/>
  <c r="G144" i="7" s="1"/>
  <c r="J144" i="7" s="1"/>
  <c r="F108" i="7"/>
  <c r="C108" i="7"/>
  <c r="G108" i="7" s="1"/>
  <c r="J108" i="7" s="1"/>
  <c r="F72" i="7"/>
  <c r="C72" i="7"/>
  <c r="F36" i="7"/>
  <c r="C36" i="7"/>
  <c r="G36" i="7" s="1"/>
  <c r="J36" i="7" s="1"/>
  <c r="F528" i="7"/>
  <c r="C528" i="7"/>
  <c r="F480" i="7"/>
  <c r="C480" i="7"/>
  <c r="C432" i="7"/>
  <c r="F432" i="7"/>
  <c r="F396" i="7"/>
  <c r="C396" i="7"/>
  <c r="F348" i="7"/>
  <c r="C348" i="7"/>
  <c r="F312" i="7"/>
  <c r="C312" i="7"/>
  <c r="F276" i="7"/>
  <c r="C276" i="7"/>
  <c r="F240" i="7"/>
  <c r="C240" i="7"/>
  <c r="F204" i="7"/>
  <c r="C204" i="7"/>
  <c r="G204" i="7" s="1"/>
  <c r="J204" i="7" s="1"/>
  <c r="F721" i="7"/>
  <c r="C721" i="7"/>
  <c r="G721" i="7" s="1"/>
  <c r="J721" i="7" s="1"/>
  <c r="F155" i="7"/>
  <c r="C155" i="7"/>
  <c r="F119" i="7"/>
  <c r="C119" i="7"/>
  <c r="F71" i="7"/>
  <c r="C71" i="7"/>
  <c r="C35" i="7"/>
  <c r="F35" i="7"/>
  <c r="F527" i="7"/>
  <c r="C527" i="7"/>
  <c r="F491" i="7"/>
  <c r="C491" i="7"/>
  <c r="F467" i="7"/>
  <c r="C467" i="7"/>
  <c r="F431" i="7"/>
  <c r="C431" i="7"/>
  <c r="F407" i="7"/>
  <c r="C407" i="7"/>
  <c r="F371" i="7"/>
  <c r="C371" i="7"/>
  <c r="F263" i="7"/>
  <c r="C263" i="7"/>
  <c r="F176" i="7"/>
  <c r="C176" i="7"/>
  <c r="F152" i="7"/>
  <c r="C152" i="7"/>
  <c r="F128" i="7"/>
  <c r="C128" i="7"/>
  <c r="C104" i="7"/>
  <c r="F104" i="7"/>
  <c r="F68" i="7"/>
  <c r="C68" i="7"/>
  <c r="F8" i="7"/>
  <c r="C8" i="7"/>
  <c r="F175" i="7"/>
  <c r="C175" i="7"/>
  <c r="F151" i="7"/>
  <c r="C151" i="7"/>
  <c r="F67" i="7"/>
  <c r="C67" i="7"/>
  <c r="F43" i="7"/>
  <c r="C43" i="7"/>
  <c r="F19" i="7"/>
  <c r="C19" i="7"/>
  <c r="C523" i="7"/>
  <c r="F523" i="7"/>
  <c r="F499" i="7"/>
  <c r="C499" i="7"/>
  <c r="F475" i="7"/>
  <c r="C475" i="7"/>
  <c r="F439" i="7"/>
  <c r="C439" i="7"/>
  <c r="F427" i="7"/>
  <c r="C427" i="7"/>
  <c r="F403" i="7"/>
  <c r="C403" i="7"/>
  <c r="F379" i="7"/>
  <c r="C379" i="7"/>
  <c r="F355" i="7"/>
  <c r="C355" i="7"/>
  <c r="F331" i="7"/>
  <c r="C331" i="7"/>
  <c r="F307" i="7"/>
  <c r="C307" i="7"/>
  <c r="F295" i="7"/>
  <c r="C295" i="7"/>
  <c r="F271" i="7"/>
  <c r="C271" i="7"/>
  <c r="F247" i="7"/>
  <c r="C247" i="7"/>
  <c r="F752" i="7"/>
  <c r="C752" i="7"/>
  <c r="F184" i="7"/>
  <c r="C184" i="7"/>
  <c r="F172" i="7"/>
  <c r="C172" i="7"/>
  <c r="F160" i="7"/>
  <c r="C160" i="7"/>
  <c r="F148" i="7"/>
  <c r="C148" i="7"/>
  <c r="F136" i="7"/>
  <c r="C136" i="7"/>
  <c r="F124" i="7"/>
  <c r="C124" i="7"/>
  <c r="F112" i="7"/>
  <c r="C112" i="7"/>
  <c r="F100" i="7"/>
  <c r="C100" i="7"/>
  <c r="F88" i="7"/>
  <c r="C88" i="7"/>
  <c r="F76" i="7"/>
  <c r="C76" i="7"/>
  <c r="F64" i="7"/>
  <c r="C64" i="7"/>
  <c r="F52" i="7"/>
  <c r="C52" i="7"/>
  <c r="F40" i="7"/>
  <c r="C40" i="7"/>
  <c r="F28" i="7"/>
  <c r="C28" i="7"/>
  <c r="F16" i="7"/>
  <c r="C16" i="7"/>
  <c r="F4" i="7"/>
  <c r="C4" i="7"/>
  <c r="F520" i="7"/>
  <c r="C520" i="7"/>
  <c r="F508" i="7"/>
  <c r="C508" i="7"/>
  <c r="F496" i="7"/>
  <c r="C496" i="7"/>
  <c r="F484" i="7"/>
  <c r="C484" i="7"/>
  <c r="F472" i="7"/>
  <c r="C472" i="7"/>
  <c r="F460" i="7"/>
  <c r="C460" i="7"/>
  <c r="F448" i="7"/>
  <c r="C448" i="7"/>
  <c r="F436" i="7"/>
  <c r="C436" i="7"/>
  <c r="F424" i="7"/>
  <c r="C424" i="7"/>
  <c r="F412" i="7"/>
  <c r="C412" i="7"/>
  <c r="G412" i="7" s="1"/>
  <c r="J412" i="7" s="1"/>
  <c r="F400" i="7"/>
  <c r="C400" i="7"/>
  <c r="F388" i="7"/>
  <c r="C388" i="7"/>
  <c r="F376" i="7"/>
  <c r="C376" i="7"/>
  <c r="F364" i="7"/>
  <c r="C364" i="7"/>
  <c r="F352" i="7"/>
  <c r="C352" i="7"/>
  <c r="F340" i="7"/>
  <c r="C340" i="7"/>
  <c r="F328" i="7"/>
  <c r="C328" i="7"/>
  <c r="F316" i="7"/>
  <c r="C316" i="7"/>
  <c r="F304" i="7"/>
  <c r="C304" i="7"/>
  <c r="F292" i="7"/>
  <c r="C292" i="7"/>
  <c r="F280" i="7"/>
  <c r="C280" i="7"/>
  <c r="F268" i="7"/>
  <c r="C268" i="7"/>
  <c r="F256" i="7"/>
  <c r="C256" i="7"/>
  <c r="F244" i="7"/>
  <c r="C244" i="7"/>
  <c r="F232" i="7"/>
  <c r="C232" i="7"/>
  <c r="F220" i="7"/>
  <c r="C220" i="7"/>
  <c r="F208" i="7"/>
  <c r="C208" i="7"/>
  <c r="F196" i="7"/>
  <c r="C196" i="7"/>
  <c r="F749" i="7"/>
  <c r="C749" i="7"/>
  <c r="F737" i="7"/>
  <c r="C737" i="7"/>
  <c r="F713" i="7"/>
  <c r="C713" i="7"/>
  <c r="F183" i="7"/>
  <c r="C183" i="7"/>
  <c r="G183" i="7" s="1"/>
  <c r="J183" i="7" s="1"/>
  <c r="F171" i="7"/>
  <c r="C171" i="7"/>
  <c r="F159" i="7"/>
  <c r="C159" i="7"/>
  <c r="G159" i="7" s="1"/>
  <c r="J159" i="7" s="1"/>
  <c r="F147" i="7"/>
  <c r="C147" i="7"/>
  <c r="F135" i="7"/>
  <c r="C135" i="7"/>
  <c r="F123" i="7"/>
  <c r="C123" i="7"/>
  <c r="G123" i="7" s="1"/>
  <c r="J123" i="7" s="1"/>
  <c r="F111" i="7"/>
  <c r="C111" i="7"/>
  <c r="F99" i="7"/>
  <c r="C99" i="7"/>
  <c r="F87" i="7"/>
  <c r="C87" i="7"/>
  <c r="F75" i="7"/>
  <c r="C75" i="7"/>
  <c r="F63" i="7"/>
  <c r="C63" i="7"/>
  <c r="F51" i="7"/>
  <c r="C51" i="7"/>
  <c r="F39" i="7"/>
  <c r="C39" i="7"/>
  <c r="F27" i="7"/>
  <c r="C27" i="7"/>
  <c r="F15" i="7"/>
  <c r="C15" i="7"/>
  <c r="F3" i="7"/>
  <c r="C3" i="7"/>
  <c r="F519" i="7"/>
  <c r="C519" i="7"/>
  <c r="C507" i="7"/>
  <c r="F507" i="7"/>
  <c r="F495" i="7"/>
  <c r="C495" i="7"/>
  <c r="F483" i="7"/>
  <c r="C483" i="7"/>
  <c r="C471" i="7"/>
  <c r="F471" i="7"/>
  <c r="F459" i="7"/>
  <c r="C459" i="7"/>
  <c r="C447" i="7"/>
  <c r="F447" i="7"/>
  <c r="F435" i="7"/>
  <c r="C435" i="7"/>
  <c r="F423" i="7"/>
  <c r="C423" i="7"/>
  <c r="G423" i="7" s="1"/>
  <c r="J423" i="7" s="1"/>
  <c r="F411" i="7"/>
  <c r="C411" i="7"/>
  <c r="F399" i="7"/>
  <c r="C399" i="7"/>
  <c r="F387" i="7"/>
  <c r="C387" i="7"/>
  <c r="F375" i="7"/>
  <c r="C375" i="7"/>
  <c r="F363" i="7"/>
  <c r="C363" i="7"/>
  <c r="F351" i="7"/>
  <c r="C351" i="7"/>
  <c r="G351" i="7" s="1"/>
  <c r="J351" i="7" s="1"/>
  <c r="F339" i="7"/>
  <c r="C339" i="7"/>
  <c r="F327" i="7"/>
  <c r="C327" i="7"/>
  <c r="F315" i="7"/>
  <c r="C315" i="7"/>
  <c r="F303" i="7"/>
  <c r="C303" i="7"/>
  <c r="F291" i="7"/>
  <c r="C291" i="7"/>
  <c r="F279" i="7"/>
  <c r="C279" i="7"/>
  <c r="G279" i="7" s="1"/>
  <c r="J279" i="7" s="1"/>
  <c r="F267" i="7"/>
  <c r="C267" i="7"/>
  <c r="F255" i="7"/>
  <c r="C255" i="7"/>
  <c r="G255" i="7" s="1"/>
  <c r="J255" i="7" s="1"/>
  <c r="F243" i="7"/>
  <c r="C243" i="7"/>
  <c r="F231" i="7"/>
  <c r="C231" i="7"/>
  <c r="F219" i="7"/>
  <c r="C219" i="7"/>
  <c r="F207" i="7"/>
  <c r="C207" i="7"/>
  <c r="F195" i="7"/>
  <c r="C195" i="7"/>
  <c r="F748" i="7"/>
  <c r="C748" i="7"/>
  <c r="F736" i="7"/>
  <c r="C736" i="7"/>
  <c r="F724" i="7"/>
  <c r="C724" i="7"/>
  <c r="F712" i="7"/>
  <c r="C712" i="7"/>
  <c r="C700" i="7"/>
  <c r="F700" i="7"/>
  <c r="F688" i="7"/>
  <c r="C688" i="7"/>
  <c r="F676" i="7"/>
  <c r="C676" i="7"/>
  <c r="F664" i="7"/>
  <c r="C664" i="7"/>
  <c r="F652" i="7"/>
  <c r="C652" i="7"/>
  <c r="F640" i="7"/>
  <c r="C640" i="7"/>
  <c r="F628" i="7"/>
  <c r="C628" i="7"/>
  <c r="F616" i="7"/>
  <c r="C616" i="7"/>
  <c r="F604" i="7"/>
  <c r="C604" i="7"/>
  <c r="F592" i="7"/>
  <c r="C592" i="7"/>
  <c r="F580" i="7"/>
  <c r="C580" i="7"/>
  <c r="C568" i="7"/>
  <c r="F568" i="7"/>
  <c r="F556" i="7"/>
  <c r="C556" i="7"/>
  <c r="F544" i="7"/>
  <c r="C544" i="7"/>
  <c r="C191" i="7"/>
  <c r="C58" i="7"/>
  <c r="F711" i="7"/>
  <c r="C711" i="7"/>
  <c r="F699" i="7"/>
  <c r="C699" i="7"/>
  <c r="F687" i="7"/>
  <c r="C687" i="7"/>
  <c r="F675" i="7"/>
  <c r="C675" i="7"/>
  <c r="F663" i="7"/>
  <c r="C663" i="7"/>
  <c r="F651" i="7"/>
  <c r="C651" i="7"/>
  <c r="F639" i="7"/>
  <c r="C639" i="7"/>
  <c r="F627" i="7"/>
  <c r="C627" i="7"/>
  <c r="F615" i="7"/>
  <c r="C615" i="7"/>
  <c r="F603" i="7"/>
  <c r="C603" i="7"/>
  <c r="F591" i="7"/>
  <c r="C591" i="7"/>
  <c r="F579" i="7"/>
  <c r="C579" i="7"/>
  <c r="F567" i="7"/>
  <c r="C567" i="7"/>
  <c r="F555" i="7"/>
  <c r="C555" i="7"/>
  <c r="F543" i="7"/>
  <c r="C543" i="7"/>
  <c r="C190" i="7"/>
  <c r="F698" i="7"/>
  <c r="C698" i="7"/>
  <c r="C686" i="7"/>
  <c r="F686" i="7"/>
  <c r="F674" i="7"/>
  <c r="C674" i="7"/>
  <c r="F662" i="7"/>
  <c r="C662" i="7"/>
  <c r="F650" i="7"/>
  <c r="C650" i="7"/>
  <c r="F638" i="7"/>
  <c r="C638" i="7"/>
  <c r="F626" i="7"/>
  <c r="C626" i="7"/>
  <c r="F614" i="7"/>
  <c r="C614" i="7"/>
  <c r="F602" i="7"/>
  <c r="C602" i="7"/>
  <c r="F590" i="7"/>
  <c r="C590" i="7"/>
  <c r="F578" i="7"/>
  <c r="C578" i="7"/>
  <c r="F566" i="7"/>
  <c r="C566" i="7"/>
  <c r="F554" i="7"/>
  <c r="C554" i="7"/>
  <c r="F542" i="7"/>
  <c r="C542" i="7"/>
  <c r="F763" i="7"/>
  <c r="C763" i="7"/>
  <c r="C178" i="7"/>
  <c r="F761" i="7"/>
  <c r="F758" i="7"/>
  <c r="C536" i="7"/>
  <c r="C535" i="7"/>
  <c r="C534" i="7"/>
  <c r="C533" i="7"/>
  <c r="C760" i="7"/>
  <c r="C532" i="7"/>
  <c r="C759" i="7"/>
  <c r="C531" i="7"/>
  <c r="D683" i="12"/>
  <c r="E683" i="12" s="1"/>
  <c r="D48" i="12"/>
  <c r="E48" i="12" s="1"/>
  <c r="E660" i="12"/>
  <c r="E169" i="12"/>
  <c r="D398" i="12"/>
  <c r="E398" i="12" s="1"/>
  <c r="D278" i="12"/>
  <c r="E278" i="12" s="1"/>
  <c r="D721" i="12"/>
  <c r="E721" i="12" s="1"/>
  <c r="E504" i="12"/>
  <c r="D456" i="12"/>
  <c r="E456" i="12" s="1"/>
  <c r="D372" i="12"/>
  <c r="E372" i="12" s="1"/>
  <c r="D324" i="12"/>
  <c r="E324" i="12" s="1"/>
  <c r="D288" i="12"/>
  <c r="E288" i="12" s="1"/>
  <c r="E264" i="12"/>
  <c r="D240" i="12"/>
  <c r="E240" i="12" s="1"/>
  <c r="D216" i="12"/>
  <c r="E216" i="12" s="1"/>
  <c r="D132" i="12"/>
  <c r="E132" i="12" s="1"/>
  <c r="D24" i="12"/>
  <c r="E24" i="12" s="1"/>
  <c r="D291" i="12"/>
  <c r="E291" i="12" s="1"/>
  <c r="D756" i="12"/>
  <c r="E756" i="12" s="1"/>
  <c r="D493" i="12"/>
  <c r="E493" i="12" s="1"/>
  <c r="D108" i="12"/>
  <c r="E108" i="12" s="1"/>
  <c r="E729" i="12"/>
  <c r="D375" i="12"/>
  <c r="E375" i="12" s="1"/>
  <c r="D39" i="12"/>
  <c r="E39" i="12" s="1"/>
  <c r="E626" i="12"/>
  <c r="D542" i="12"/>
  <c r="E542" i="12" s="1"/>
  <c r="E218" i="12"/>
  <c r="D206" i="12"/>
  <c r="E206" i="12" s="1"/>
  <c r="D170" i="12"/>
  <c r="E170" i="12" s="1"/>
  <c r="D361" i="12"/>
  <c r="E361" i="12" s="1"/>
  <c r="D325" i="12"/>
  <c r="E325" i="12" s="1"/>
  <c r="E217" i="12"/>
  <c r="D13" i="12"/>
  <c r="E13" i="12" s="1"/>
  <c r="D122" i="12"/>
  <c r="E122" i="12" s="1"/>
  <c r="D624" i="12"/>
  <c r="E624" i="12" s="1"/>
  <c r="E753" i="12"/>
  <c r="E21" i="12"/>
  <c r="D72" i="12"/>
  <c r="E72" i="12" s="1"/>
  <c r="E486" i="12"/>
  <c r="E52" i="12"/>
  <c r="E745" i="12"/>
  <c r="D661" i="12"/>
  <c r="E661" i="12" s="1"/>
  <c r="D517" i="12"/>
  <c r="E517" i="12" s="1"/>
  <c r="E363" i="12"/>
  <c r="D728" i="12"/>
  <c r="E728" i="12" s="1"/>
  <c r="E500" i="12"/>
  <c r="D452" i="12"/>
  <c r="E452" i="12" s="1"/>
  <c r="D248" i="12"/>
  <c r="E248" i="12" s="1"/>
  <c r="D128" i="12"/>
  <c r="E128" i="12" s="1"/>
  <c r="D8" i="12"/>
  <c r="E8" i="12" s="1"/>
  <c r="E708" i="12"/>
  <c r="E136" i="12"/>
  <c r="D519" i="12"/>
  <c r="E519" i="12" s="1"/>
  <c r="D279" i="12"/>
  <c r="E279" i="12" s="1"/>
  <c r="D362" i="12"/>
  <c r="E362" i="12" s="1"/>
  <c r="D98" i="12"/>
  <c r="E98" i="12" s="1"/>
  <c r="E385" i="12"/>
  <c r="D181" i="12"/>
  <c r="E181" i="12" s="1"/>
  <c r="D696" i="12"/>
  <c r="E696" i="12" s="1"/>
  <c r="E672" i="12"/>
  <c r="E600" i="12"/>
  <c r="E516" i="12"/>
  <c r="D360" i="12"/>
  <c r="E360" i="12" s="1"/>
  <c r="D336" i="12"/>
  <c r="E336" i="12" s="1"/>
  <c r="D252" i="12"/>
  <c r="E252" i="12" s="1"/>
  <c r="D228" i="12"/>
  <c r="E228" i="12" s="1"/>
  <c r="D156" i="12"/>
  <c r="E156" i="12" s="1"/>
  <c r="D144" i="12"/>
  <c r="E144" i="12" s="1"/>
  <c r="D120" i="12"/>
  <c r="E120" i="12" s="1"/>
  <c r="D84" i="12"/>
  <c r="E84" i="12" s="1"/>
  <c r="D60" i="12"/>
  <c r="E60" i="12" s="1"/>
  <c r="E36" i="12"/>
  <c r="D699" i="12"/>
  <c r="E699" i="12" s="1"/>
  <c r="D650" i="12"/>
  <c r="E650" i="12" s="1"/>
  <c r="E727" i="12"/>
  <c r="D459" i="12"/>
  <c r="E459" i="12" s="1"/>
  <c r="D276" i="12"/>
  <c r="E276" i="12" s="1"/>
  <c r="E635" i="12"/>
  <c r="E483" i="12"/>
  <c r="D447" i="12"/>
  <c r="E447" i="12" s="1"/>
  <c r="D183" i="12"/>
  <c r="E183" i="12" s="1"/>
  <c r="E326" i="12"/>
  <c r="D733" i="12"/>
  <c r="E733" i="12" s="1"/>
  <c r="D625" i="12"/>
  <c r="E625" i="12" s="1"/>
  <c r="E445" i="12"/>
  <c r="E373" i="12"/>
  <c r="E241" i="12"/>
  <c r="E762" i="12"/>
  <c r="E750" i="12"/>
  <c r="E738" i="12"/>
  <c r="E726" i="12"/>
  <c r="E714" i="12"/>
  <c r="E690" i="12"/>
  <c r="E654" i="12"/>
  <c r="D642" i="12"/>
  <c r="E642" i="12" s="1"/>
  <c r="D618" i="12"/>
  <c r="E618" i="12" s="1"/>
  <c r="E570" i="12"/>
  <c r="E546" i="12"/>
  <c r="D534" i="12"/>
  <c r="E534" i="12" s="1"/>
  <c r="D522" i="12"/>
  <c r="E522" i="12" s="1"/>
  <c r="E510" i="12"/>
  <c r="E498" i="12"/>
  <c r="E462" i="12"/>
  <c r="D450" i="12"/>
  <c r="E450" i="12" s="1"/>
  <c r="E438" i="12"/>
  <c r="E426" i="12"/>
  <c r="E414" i="12"/>
  <c r="E402" i="12"/>
  <c r="D390" i="12"/>
  <c r="E390" i="12" s="1"/>
  <c r="E354" i="12"/>
  <c r="E330" i="12"/>
  <c r="D318" i="12"/>
  <c r="E318" i="12" s="1"/>
  <c r="E294" i="12"/>
  <c r="D282" i="12"/>
  <c r="E282" i="12" s="1"/>
  <c r="D270" i="12"/>
  <c r="E270" i="12" s="1"/>
  <c r="D258" i="12"/>
  <c r="E258" i="12" s="1"/>
  <c r="E234" i="12"/>
  <c r="D222" i="12"/>
  <c r="E222" i="12" s="1"/>
  <c r="E210" i="12"/>
  <c r="D198" i="12"/>
  <c r="E198" i="12" s="1"/>
  <c r="D186" i="12"/>
  <c r="E186" i="12" s="1"/>
  <c r="D174" i="12"/>
  <c r="E174" i="12" s="1"/>
  <c r="D150" i="12"/>
  <c r="E150" i="12" s="1"/>
  <c r="D138" i="12"/>
  <c r="E138" i="12" s="1"/>
  <c r="D114" i="12"/>
  <c r="E114" i="12" s="1"/>
  <c r="E102" i="12"/>
  <c r="D90" i="12"/>
  <c r="E90" i="12" s="1"/>
  <c r="D78" i="12"/>
  <c r="E78" i="12" s="1"/>
  <c r="D66" i="12"/>
  <c r="E66" i="12" s="1"/>
  <c r="E54" i="12"/>
  <c r="D42" i="12"/>
  <c r="E42" i="12" s="1"/>
  <c r="D30" i="12"/>
  <c r="E30" i="12" s="1"/>
  <c r="D18" i="12"/>
  <c r="E18" i="12" s="1"/>
  <c r="D6" i="12"/>
  <c r="E6" i="12" s="1"/>
  <c r="D614" i="12"/>
  <c r="E614" i="12" s="1"/>
  <c r="D588" i="12"/>
  <c r="E588" i="12" s="1"/>
  <c r="D204" i="12"/>
  <c r="E204" i="12" s="1"/>
  <c r="D133" i="12"/>
  <c r="E133" i="12" s="1"/>
  <c r="E481" i="12"/>
  <c r="D663" i="12"/>
  <c r="E663" i="12" s="1"/>
  <c r="E351" i="12"/>
  <c r="E662" i="12"/>
  <c r="E158" i="12"/>
  <c r="D14" i="12"/>
  <c r="E14" i="12" s="1"/>
  <c r="D649" i="12"/>
  <c r="E649" i="12" s="1"/>
  <c r="E565" i="12"/>
  <c r="E541" i="12"/>
  <c r="D505" i="12"/>
  <c r="E505" i="12" s="1"/>
  <c r="D469" i="12"/>
  <c r="E469" i="12" s="1"/>
  <c r="D421" i="12"/>
  <c r="E421" i="12" s="1"/>
  <c r="D301" i="12"/>
  <c r="E301" i="12" s="1"/>
  <c r="D265" i="12"/>
  <c r="E265" i="12" s="1"/>
  <c r="E121" i="12"/>
  <c r="D73" i="12"/>
  <c r="E73" i="12" s="1"/>
  <c r="E49" i="12"/>
  <c r="E576" i="12"/>
  <c r="E725" i="12"/>
  <c r="D689" i="12"/>
  <c r="E689" i="12" s="1"/>
  <c r="D653" i="12"/>
  <c r="E653" i="12" s="1"/>
  <c r="E593" i="12"/>
  <c r="D521" i="12"/>
  <c r="E521" i="12" s="1"/>
  <c r="D509" i="12"/>
  <c r="E509" i="12" s="1"/>
  <c r="D389" i="12"/>
  <c r="E389" i="12" s="1"/>
  <c r="D341" i="12"/>
  <c r="E341" i="12" s="1"/>
  <c r="D317" i="12"/>
  <c r="E317" i="12" s="1"/>
  <c r="E233" i="12"/>
  <c r="D185" i="12"/>
  <c r="E185" i="12" s="1"/>
  <c r="E149" i="12"/>
  <c r="D137" i="12"/>
  <c r="E137" i="12" s="1"/>
  <c r="E53" i="12"/>
  <c r="D686" i="12"/>
  <c r="E686" i="12" s="1"/>
  <c r="D613" i="12"/>
  <c r="E613" i="12" s="1"/>
  <c r="D480" i="12"/>
  <c r="E480" i="12" s="1"/>
  <c r="D396" i="12"/>
  <c r="E396" i="12" s="1"/>
  <c r="D300" i="12"/>
  <c r="E300" i="12" s="1"/>
  <c r="E552" i="12"/>
  <c r="E687" i="12"/>
  <c r="E555" i="12"/>
  <c r="E387" i="12"/>
  <c r="D159" i="12"/>
  <c r="E159" i="12" s="1"/>
  <c r="D147" i="12"/>
  <c r="E147" i="12" s="1"/>
  <c r="D75" i="12"/>
  <c r="E75" i="12" s="1"/>
  <c r="D51" i="12"/>
  <c r="E51" i="12" s="1"/>
  <c r="E758" i="12"/>
  <c r="E698" i="12"/>
  <c r="D434" i="12"/>
  <c r="E434" i="12" s="1"/>
  <c r="D194" i="12"/>
  <c r="E194" i="12" s="1"/>
  <c r="D110" i="12"/>
  <c r="E110" i="12" s="1"/>
  <c r="D87" i="12"/>
  <c r="E87" i="12" s="1"/>
  <c r="D757" i="12"/>
  <c r="E757" i="12" s="1"/>
  <c r="E673" i="12"/>
  <c r="D589" i="12"/>
  <c r="E589" i="12" s="1"/>
  <c r="D529" i="12"/>
  <c r="E529" i="12" s="1"/>
  <c r="E457" i="12"/>
  <c r="D397" i="12"/>
  <c r="E397" i="12" s="1"/>
  <c r="D313" i="12"/>
  <c r="E313" i="12" s="1"/>
  <c r="D229" i="12"/>
  <c r="E229" i="12" s="1"/>
  <c r="D109" i="12"/>
  <c r="E109" i="12" s="1"/>
  <c r="D85" i="12"/>
  <c r="E85" i="12" s="1"/>
  <c r="D748" i="12"/>
  <c r="E748" i="12" s="1"/>
  <c r="E724" i="12"/>
  <c r="E676" i="12"/>
  <c r="E664" i="12"/>
  <c r="D568" i="12"/>
  <c r="E568" i="12" s="1"/>
  <c r="E448" i="12"/>
  <c r="E412" i="12"/>
  <c r="D400" i="12"/>
  <c r="E400" i="12" s="1"/>
  <c r="D304" i="12"/>
  <c r="E304" i="12" s="1"/>
  <c r="D184" i="12"/>
  <c r="E184" i="12" s="1"/>
  <c r="E172" i="12"/>
  <c r="D112" i="12"/>
  <c r="E112" i="12" s="1"/>
  <c r="D749" i="12"/>
  <c r="E749" i="12" s="1"/>
  <c r="D685" i="12"/>
  <c r="E685" i="12" s="1"/>
  <c r="D365" i="12"/>
  <c r="E365" i="12" s="1"/>
  <c r="D193" i="12"/>
  <c r="E193" i="12" s="1"/>
  <c r="D168" i="12"/>
  <c r="E168" i="12" s="1"/>
  <c r="D25" i="12"/>
  <c r="E25" i="12" s="1"/>
  <c r="E299" i="12"/>
  <c r="D167" i="12"/>
  <c r="E167" i="12" s="1"/>
  <c r="E107" i="12"/>
  <c r="D59" i="12"/>
  <c r="E59" i="12" s="1"/>
  <c r="D23" i="12"/>
  <c r="E23" i="12" s="1"/>
  <c r="E79" i="12"/>
  <c r="E646" i="12"/>
  <c r="E622" i="12"/>
  <c r="E526" i="12"/>
  <c r="E490" i="12"/>
  <c r="D382" i="12"/>
  <c r="E382" i="12" s="1"/>
  <c r="E655" i="12"/>
  <c r="E430" i="12"/>
  <c r="E391" i="12"/>
  <c r="D669" i="12"/>
  <c r="E669" i="12" s="1"/>
  <c r="E549" i="12"/>
  <c r="E525" i="12"/>
  <c r="E393" i="12"/>
  <c r="D201" i="12"/>
  <c r="E201" i="12" s="1"/>
  <c r="D129" i="12"/>
  <c r="E129" i="12" s="1"/>
  <c r="D501" i="12"/>
  <c r="E501" i="12" s="1"/>
  <c r="E607" i="12"/>
  <c r="E583" i="12"/>
  <c r="E451" i="12"/>
  <c r="E295" i="12"/>
  <c r="D247" i="12"/>
  <c r="E247" i="12" s="1"/>
  <c r="D199" i="12"/>
  <c r="E199" i="12" s="1"/>
  <c r="E127" i="12"/>
  <c r="E31" i="12"/>
  <c r="D547" i="12"/>
  <c r="E547" i="12" s="1"/>
  <c r="D7" i="12"/>
  <c r="E7" i="12" s="1"/>
  <c r="E235" i="12"/>
  <c r="G2" i="7" l="1"/>
  <c r="J2" i="7" s="1"/>
  <c r="E126" i="12"/>
  <c r="G220" i="7"/>
  <c r="J220" i="7" s="1"/>
  <c r="G396" i="7"/>
  <c r="J396" i="7" s="1"/>
  <c r="G324" i="7"/>
  <c r="J324" i="7" s="1"/>
  <c r="G708" i="7"/>
  <c r="J708" i="7" s="1"/>
  <c r="E657" i="12"/>
  <c r="E64" i="12"/>
  <c r="E489" i="12"/>
  <c r="E523" i="12"/>
  <c r="E688" i="12"/>
  <c r="E617" i="12"/>
  <c r="E314" i="12"/>
  <c r="G543" i="7"/>
  <c r="J543" i="7" s="1"/>
  <c r="G232" i="7"/>
  <c r="J232" i="7" s="1"/>
  <c r="E386" i="12"/>
  <c r="E219" i="12"/>
  <c r="E697" i="12"/>
  <c r="E61" i="12"/>
  <c r="G660" i="7"/>
  <c r="J660" i="7" s="1"/>
  <c r="G97" i="7"/>
  <c r="J97" i="7" s="1"/>
  <c r="E442" i="12"/>
  <c r="E378" i="12"/>
  <c r="E76" i="12"/>
  <c r="E100" i="12"/>
  <c r="E732" i="12"/>
  <c r="G531" i="7"/>
  <c r="J531" i="7" s="1"/>
  <c r="G87" i="7"/>
  <c r="J87" i="7" s="1"/>
  <c r="G312" i="7"/>
  <c r="J312" i="7" s="1"/>
  <c r="E155" i="12"/>
  <c r="E440" i="12"/>
  <c r="G542" i="7"/>
  <c r="J542" i="7" s="1"/>
  <c r="G166" i="7"/>
  <c r="J166" i="7" s="1"/>
  <c r="E290" i="12"/>
  <c r="E449" i="12"/>
  <c r="E101" i="12"/>
  <c r="G534" i="7"/>
  <c r="J534" i="7" s="1"/>
  <c r="G223" i="7"/>
  <c r="J223" i="7" s="1"/>
  <c r="G325" i="7"/>
  <c r="J325" i="7" s="1"/>
  <c r="G470" i="7"/>
  <c r="J470" i="7" s="1"/>
  <c r="E337" i="12"/>
  <c r="E636" i="12"/>
  <c r="G758" i="7"/>
  <c r="J758" i="7" s="1"/>
  <c r="E277" i="12"/>
  <c r="E43" i="12"/>
  <c r="G598" i="7"/>
  <c r="J598" i="7" s="1"/>
  <c r="G743" i="7"/>
  <c r="J743" i="7" s="1"/>
  <c r="G323" i="7"/>
  <c r="J323" i="7" s="1"/>
  <c r="G337" i="7"/>
  <c r="J337" i="7" s="1"/>
  <c r="E115" i="12"/>
  <c r="E760" i="12"/>
  <c r="E707" i="12"/>
  <c r="E572" i="12"/>
  <c r="E69" i="12"/>
  <c r="E648" i="12"/>
  <c r="E453" i="12"/>
  <c r="E328" i="12"/>
  <c r="E379" i="12"/>
  <c r="G447" i="7"/>
  <c r="J447" i="7" s="1"/>
  <c r="G637" i="7"/>
  <c r="J637" i="7" s="1"/>
  <c r="E297" i="12"/>
  <c r="E163" i="12"/>
  <c r="E220" i="12"/>
  <c r="E329" i="12"/>
  <c r="G761" i="7"/>
  <c r="J761" i="7" s="1"/>
  <c r="G106" i="7"/>
  <c r="J106" i="7" s="1"/>
  <c r="E584" i="12"/>
  <c r="G648" i="7"/>
  <c r="J648" i="7" s="1"/>
  <c r="E735" i="12"/>
  <c r="E695" i="12"/>
  <c r="E343" i="12"/>
  <c r="E474" i="12"/>
  <c r="E284" i="12"/>
  <c r="G194" i="7"/>
  <c r="J194" i="7" s="1"/>
  <c r="E429" i="12"/>
  <c r="G399" i="7"/>
  <c r="J399" i="7" s="1"/>
  <c r="G484" i="7"/>
  <c r="J484" i="7" s="1"/>
  <c r="G139" i="7"/>
  <c r="J139" i="7" s="1"/>
  <c r="G482" i="7"/>
  <c r="J482" i="7" s="1"/>
  <c r="G574" i="7"/>
  <c r="J574" i="7" s="1"/>
  <c r="G297" i="7"/>
  <c r="J297" i="7" s="1"/>
  <c r="G514" i="7"/>
  <c r="J514" i="7" s="1"/>
  <c r="G252" i="7"/>
  <c r="J252" i="7" s="1"/>
  <c r="G398" i="7"/>
  <c r="J398" i="7" s="1"/>
  <c r="G134" i="7"/>
  <c r="J134" i="7" s="1"/>
  <c r="E411" i="12"/>
  <c r="G28" i="7"/>
  <c r="J28" i="7" s="1"/>
  <c r="G172" i="7"/>
  <c r="J172" i="7" s="1"/>
  <c r="G759" i="7"/>
  <c r="J759" i="7" s="1"/>
  <c r="G614" i="7"/>
  <c r="J614" i="7" s="1"/>
  <c r="E125" i="12"/>
  <c r="G196" i="7"/>
  <c r="J196" i="7" s="1"/>
  <c r="E345" i="12"/>
  <c r="E761" i="12"/>
  <c r="G268" i="7"/>
  <c r="J268" i="7" s="1"/>
  <c r="G747" i="7"/>
  <c r="J747" i="7" s="1"/>
  <c r="G182" i="7"/>
  <c r="J182" i="7" s="1"/>
  <c r="E605" i="12"/>
  <c r="G670" i="7"/>
  <c r="J670" i="7" s="1"/>
  <c r="G153" i="7"/>
  <c r="J153" i="7" s="1"/>
  <c r="G564" i="7"/>
  <c r="J564" i="7" s="1"/>
  <c r="E315" i="12"/>
  <c r="E684" i="12"/>
  <c r="G452" i="7"/>
  <c r="J452" i="7" s="1"/>
  <c r="E710" i="12"/>
  <c r="G119" i="7"/>
  <c r="J119" i="7" s="1"/>
  <c r="E415" i="12"/>
  <c r="E111" i="12"/>
  <c r="E475" i="12"/>
  <c r="E716" i="12"/>
  <c r="E339" i="12"/>
  <c r="G603" i="7"/>
  <c r="J603" i="7" s="1"/>
  <c r="G207" i="7"/>
  <c r="J207" i="7" s="1"/>
  <c r="G175" i="7"/>
  <c r="J175" i="7" s="1"/>
  <c r="E559" i="12"/>
  <c r="D540" i="12"/>
  <c r="E540" i="12" s="1"/>
  <c r="G51" i="7"/>
  <c r="J51" i="7" s="1"/>
  <c r="G527" i="7"/>
  <c r="J527" i="7" s="1"/>
  <c r="G690" i="7"/>
  <c r="J690" i="7" s="1"/>
  <c r="G125" i="7"/>
  <c r="J125" i="7" s="1"/>
  <c r="G735" i="7"/>
  <c r="J735" i="7" s="1"/>
  <c r="E350" i="12"/>
  <c r="E553" i="12"/>
  <c r="E209" i="12"/>
  <c r="E558" i="12"/>
  <c r="E705" i="12"/>
  <c r="E191" i="12"/>
  <c r="G409" i="7"/>
  <c r="J409" i="7" s="1"/>
  <c r="E595" i="12"/>
  <c r="E142" i="12"/>
  <c r="E598" i="12"/>
  <c r="E543" i="12"/>
  <c r="E89" i="12"/>
  <c r="G579" i="7"/>
  <c r="J579" i="7" s="1"/>
  <c r="G748" i="7"/>
  <c r="J748" i="7" s="1"/>
  <c r="G340" i="7"/>
  <c r="J340" i="7" s="1"/>
  <c r="G307" i="7"/>
  <c r="J307" i="7" s="1"/>
  <c r="G128" i="7"/>
  <c r="J128" i="7" s="1"/>
  <c r="G431" i="7"/>
  <c r="J431" i="7" s="1"/>
  <c r="G50" i="7"/>
  <c r="J50" i="7" s="1"/>
  <c r="G629" i="7"/>
  <c r="J629" i="7" s="1"/>
  <c r="G233" i="7"/>
  <c r="J233" i="7" s="1"/>
  <c r="G377" i="7"/>
  <c r="J377" i="7" s="1"/>
  <c r="G449" i="7"/>
  <c r="J449" i="7" s="1"/>
  <c r="G521" i="7"/>
  <c r="J521" i="7" s="1"/>
  <c r="G161" i="7"/>
  <c r="J161" i="7" s="1"/>
  <c r="G414" i="7"/>
  <c r="J414" i="7" s="1"/>
  <c r="G740" i="7"/>
  <c r="J740" i="7" s="1"/>
  <c r="G451" i="7"/>
  <c r="J451" i="7" s="1"/>
  <c r="G116" i="7"/>
  <c r="J116" i="7" s="1"/>
  <c r="G443" i="7"/>
  <c r="J443" i="7" s="1"/>
  <c r="G167" i="7"/>
  <c r="J167" i="7" s="1"/>
  <c r="G94" i="7"/>
  <c r="J94" i="7" s="1"/>
  <c r="G548" i="7"/>
  <c r="J548" i="7" s="1"/>
  <c r="G620" i="7"/>
  <c r="J620" i="7" s="1"/>
  <c r="G692" i="7"/>
  <c r="J692" i="7" s="1"/>
  <c r="G718" i="7"/>
  <c r="J718" i="7" s="1"/>
  <c r="G513" i="7"/>
  <c r="J513" i="7" s="1"/>
  <c r="G57" i="7"/>
  <c r="J57" i="7" s="1"/>
  <c r="G129" i="7"/>
  <c r="J129" i="7" s="1"/>
  <c r="G719" i="7"/>
  <c r="J719" i="7" s="1"/>
  <c r="G298" i="7"/>
  <c r="J298" i="7" s="1"/>
  <c r="G370" i="7"/>
  <c r="J370" i="7" s="1"/>
  <c r="G442" i="7"/>
  <c r="J442" i="7" s="1"/>
  <c r="G239" i="7"/>
  <c r="J239" i="7" s="1"/>
  <c r="G419" i="7"/>
  <c r="J419" i="7" s="1"/>
  <c r="E538" i="12"/>
  <c r="E153" i="12"/>
  <c r="E639" i="12"/>
  <c r="E703" i="12"/>
  <c r="D26" i="12"/>
  <c r="E26" i="12" s="1"/>
  <c r="E423" i="12"/>
  <c r="D545" i="12"/>
  <c r="E545" i="12" s="1"/>
  <c r="E243" i="12"/>
  <c r="E712" i="12"/>
  <c r="E437" i="12"/>
  <c r="E124" i="12"/>
  <c r="E225" i="12"/>
  <c r="G675" i="7"/>
  <c r="J675" i="7" s="1"/>
  <c r="G355" i="7"/>
  <c r="J355" i="7" s="1"/>
  <c r="G742" i="7"/>
  <c r="J742" i="7" s="1"/>
  <c r="G179" i="7"/>
  <c r="J179" i="7" s="1"/>
  <c r="G142" i="7"/>
  <c r="J142" i="7" s="1"/>
  <c r="E736" i="12"/>
  <c r="E473" i="12"/>
  <c r="E667" i="12"/>
  <c r="D428" i="12"/>
  <c r="E428" i="12" s="1"/>
  <c r="G532" i="7"/>
  <c r="J532" i="7" s="1"/>
  <c r="E319" i="12"/>
  <c r="E569" i="12"/>
  <c r="G628" i="7"/>
  <c r="J628" i="7" s="1"/>
  <c r="G111" i="7"/>
  <c r="J111" i="7" s="1"/>
  <c r="G752" i="7"/>
  <c r="J752" i="7" s="1"/>
  <c r="G249" i="7"/>
  <c r="J249" i="7" s="1"/>
  <c r="G465" i="7"/>
  <c r="J465" i="7" s="1"/>
  <c r="G322" i="7"/>
  <c r="J322" i="7" s="1"/>
  <c r="G466" i="7"/>
  <c r="J466" i="7" s="1"/>
  <c r="G722" i="7"/>
  <c r="J722" i="7" s="1"/>
  <c r="G230" i="7"/>
  <c r="J230" i="7" s="1"/>
  <c r="G215" i="7"/>
  <c r="J215" i="7" s="1"/>
  <c r="E520" i="12"/>
  <c r="E751" i="12"/>
  <c r="E273" i="12"/>
  <c r="E346" i="12"/>
  <c r="E643" i="12"/>
  <c r="G308" i="7"/>
  <c r="J308" i="7" s="1"/>
  <c r="G130" i="7"/>
  <c r="J130" i="7" s="1"/>
  <c r="G683" i="7"/>
  <c r="J683" i="7" s="1"/>
  <c r="E556" i="12"/>
  <c r="E741" i="12"/>
  <c r="G575" i="7"/>
  <c r="J575" i="7" s="1"/>
  <c r="E143" i="12"/>
  <c r="E293" i="12"/>
  <c r="E739" i="12"/>
  <c r="E674" i="12"/>
  <c r="G39" i="7"/>
  <c r="J39" i="7" s="1"/>
  <c r="G124" i="7"/>
  <c r="J124" i="7" s="1"/>
  <c r="G499" i="7"/>
  <c r="J499" i="7" s="1"/>
  <c r="G491" i="7"/>
  <c r="J491" i="7" s="1"/>
  <c r="G250" i="7"/>
  <c r="J250" i="7" s="1"/>
  <c r="E439" i="12"/>
  <c r="E238" i="12"/>
  <c r="E333" i="12"/>
  <c r="G363" i="7"/>
  <c r="J363" i="7" s="1"/>
  <c r="G520" i="7"/>
  <c r="J520" i="7" s="1"/>
  <c r="G379" i="7"/>
  <c r="J379" i="7" s="1"/>
  <c r="G254" i="7"/>
  <c r="J254" i="7" s="1"/>
  <c r="G275" i="7"/>
  <c r="J275" i="7" s="1"/>
  <c r="G584" i="7"/>
  <c r="J584" i="7" s="1"/>
  <c r="E740" i="12"/>
  <c r="G760" i="7"/>
  <c r="J760" i="7" s="1"/>
  <c r="E231" i="12"/>
  <c r="E551" i="12"/>
  <c r="E19" i="12"/>
  <c r="E35" i="12"/>
  <c r="E388" i="12"/>
  <c r="G687" i="7"/>
  <c r="J687" i="7" s="1"/>
  <c r="G640" i="7"/>
  <c r="J640" i="7" s="1"/>
  <c r="G712" i="7"/>
  <c r="J712" i="7" s="1"/>
  <c r="G219" i="7"/>
  <c r="J219" i="7" s="1"/>
  <c r="G291" i="7"/>
  <c r="J291" i="7" s="1"/>
  <c r="G435" i="7"/>
  <c r="J435" i="7" s="1"/>
  <c r="G713" i="7"/>
  <c r="J713" i="7" s="1"/>
  <c r="G304" i="7"/>
  <c r="J304" i="7" s="1"/>
  <c r="G136" i="7"/>
  <c r="J136" i="7" s="1"/>
  <c r="G170" i="7"/>
  <c r="J170" i="7" s="1"/>
  <c r="G665" i="7"/>
  <c r="J665" i="7" s="1"/>
  <c r="G485" i="7"/>
  <c r="J485" i="7" s="1"/>
  <c r="G727" i="7"/>
  <c r="J727" i="7" s="1"/>
  <c r="G367" i="7"/>
  <c r="J367" i="7" s="1"/>
  <c r="G511" i="7"/>
  <c r="J511" i="7" s="1"/>
  <c r="G103" i="7"/>
  <c r="J103" i="7" s="1"/>
  <c r="G386" i="7"/>
  <c r="J386" i="7" s="1"/>
  <c r="G728" i="7"/>
  <c r="J728" i="7" s="1"/>
  <c r="E94" i="12"/>
  <c r="E484" i="12"/>
  <c r="E335" i="12"/>
  <c r="E118" i="12"/>
  <c r="E357" i="12"/>
  <c r="E327" i="12"/>
  <c r="E187" i="12"/>
  <c r="E465" i="12"/>
  <c r="E249" i="12"/>
  <c r="E431" i="12"/>
  <c r="E254" i="12"/>
  <c r="E239" i="12"/>
  <c r="G621" i="7"/>
  <c r="J621" i="7" s="1"/>
  <c r="G80" i="7"/>
  <c r="J80" i="7" s="1"/>
  <c r="E202" i="12"/>
  <c r="G604" i="7"/>
  <c r="J604" i="7" s="1"/>
  <c r="G676" i="7"/>
  <c r="J676" i="7" s="1"/>
  <c r="G327" i="7"/>
  <c r="J327" i="7" s="1"/>
  <c r="G100" i="7"/>
  <c r="J100" i="7" s="1"/>
  <c r="G67" i="7"/>
  <c r="J67" i="7" s="1"/>
  <c r="G89" i="7"/>
  <c r="J89" i="7" s="1"/>
  <c r="G283" i="7"/>
  <c r="J283" i="7" s="1"/>
  <c r="G55" i="7"/>
  <c r="J55" i="7" s="1"/>
  <c r="G607" i="7"/>
  <c r="J607" i="7" s="1"/>
  <c r="G369" i="7"/>
  <c r="J369" i="7" s="1"/>
  <c r="G441" i="7"/>
  <c r="J441" i="7" s="1"/>
  <c r="G107" i="7"/>
  <c r="J107" i="7" s="1"/>
  <c r="E628" i="12"/>
  <c r="G439" i="7"/>
  <c r="J439" i="7" s="1"/>
  <c r="G557" i="7"/>
  <c r="J557" i="7" s="1"/>
  <c r="E292" i="12"/>
  <c r="E280" i="12"/>
  <c r="E305" i="12"/>
  <c r="G191" i="7"/>
  <c r="J191" i="7" s="1"/>
  <c r="E45" i="12"/>
  <c r="D93" i="12"/>
  <c r="E93" i="12" s="1"/>
  <c r="D151" i="12"/>
  <c r="E151" i="12" s="1"/>
  <c r="D513" i="12"/>
  <c r="E513" i="12" s="1"/>
  <c r="D178" i="12"/>
  <c r="E178" i="12" s="1"/>
  <c r="E271" i="12"/>
  <c r="E105" i="12"/>
  <c r="E321" i="12"/>
  <c r="E190" i="12"/>
  <c r="E562" i="12"/>
  <c r="E419" i="12"/>
  <c r="E424" i="12"/>
  <c r="D303" i="12"/>
  <c r="E303" i="12" s="1"/>
  <c r="G190" i="7"/>
  <c r="J190" i="7" s="1"/>
  <c r="G703" i="7"/>
  <c r="J703" i="7" s="1"/>
  <c r="G585" i="7"/>
  <c r="J585" i="7" s="1"/>
  <c r="G657" i="7"/>
  <c r="J657" i="7" s="1"/>
  <c r="G729" i="7"/>
  <c r="J729" i="7" s="1"/>
  <c r="G236" i="7"/>
  <c r="J236" i="7" s="1"/>
  <c r="G380" i="7"/>
  <c r="J380" i="7" s="1"/>
  <c r="G20" i="7"/>
  <c r="J20" i="7" s="1"/>
  <c r="G539" i="7"/>
  <c r="J539" i="7" s="1"/>
  <c r="G611" i="7"/>
  <c r="J611" i="7" s="1"/>
  <c r="D427" i="12"/>
  <c r="E427" i="12" s="1"/>
  <c r="D310" i="12"/>
  <c r="E310" i="12" s="1"/>
  <c r="D263" i="12"/>
  <c r="E263" i="12" s="1"/>
  <c r="G436" i="7"/>
  <c r="J436" i="7" s="1"/>
  <c r="G82" i="7"/>
  <c r="J82" i="7" s="1"/>
  <c r="G393" i="7"/>
  <c r="J393" i="7" s="1"/>
  <c r="E55" i="12"/>
  <c r="E621" i="12"/>
  <c r="E285" i="12"/>
  <c r="G376" i="7"/>
  <c r="J376" i="7" s="1"/>
  <c r="G64" i="7"/>
  <c r="J64" i="7" s="1"/>
  <c r="G247" i="7"/>
  <c r="J247" i="7" s="1"/>
  <c r="G593" i="7"/>
  <c r="J593" i="7" s="1"/>
  <c r="G47" i="7"/>
  <c r="J47" i="7" s="1"/>
  <c r="G74" i="7"/>
  <c r="J74" i="7" s="1"/>
  <c r="E91" i="12"/>
  <c r="E644" i="12"/>
  <c r="E369" i="12"/>
  <c r="D670" i="12"/>
  <c r="E670" i="12" s="1"/>
  <c r="E74" i="12"/>
  <c r="D332" i="12"/>
  <c r="E332" i="12" s="1"/>
  <c r="E524" i="12"/>
  <c r="E656" i="12"/>
  <c r="E681" i="12"/>
  <c r="D511" i="12"/>
  <c r="E511" i="12" s="1"/>
  <c r="E355" i="12"/>
  <c r="E141" i="12"/>
  <c r="E406" i="12"/>
  <c r="E634" i="12"/>
  <c r="E585" i="12"/>
  <c r="E527" i="12"/>
  <c r="E472" i="12"/>
  <c r="D197" i="12"/>
  <c r="E197" i="12" s="1"/>
  <c r="E713" i="12"/>
  <c r="D627" i="12"/>
  <c r="E627" i="12" s="1"/>
  <c r="G35" i="7"/>
  <c r="J35" i="7" s="1"/>
  <c r="E226" i="12"/>
  <c r="D479" i="12"/>
  <c r="E479" i="12" s="1"/>
  <c r="D557" i="12"/>
  <c r="E557" i="12" s="1"/>
  <c r="D177" i="12"/>
  <c r="E177" i="12" s="1"/>
  <c r="D405" i="12"/>
  <c r="E405" i="12" s="1"/>
  <c r="D131" i="12"/>
  <c r="E131" i="12" s="1"/>
  <c r="E641" i="12"/>
  <c r="G176" i="7"/>
  <c r="J176" i="7" s="1"/>
  <c r="G321" i="7"/>
  <c r="J321" i="7" s="1"/>
  <c r="G479" i="7"/>
  <c r="J479" i="7" s="1"/>
  <c r="E574" i="12"/>
  <c r="G263" i="7"/>
  <c r="J263" i="7" s="1"/>
  <c r="G197" i="7"/>
  <c r="J197" i="7" s="1"/>
  <c r="G413" i="7"/>
  <c r="J413" i="7" s="1"/>
  <c r="G524" i="7"/>
  <c r="J524" i="7" s="1"/>
  <c r="G571" i="7"/>
  <c r="J571" i="7" s="1"/>
  <c r="G715" i="7"/>
  <c r="J715" i="7" s="1"/>
  <c r="G656" i="7"/>
  <c r="J656" i="7" s="1"/>
  <c r="E571" i="12"/>
  <c r="E34" i="12"/>
  <c r="E455" i="12"/>
  <c r="E700" i="12"/>
  <c r="E367" i="12"/>
  <c r="E358" i="12"/>
  <c r="E539" i="12"/>
  <c r="E352" i="12"/>
  <c r="E401" i="12"/>
  <c r="D548" i="12"/>
  <c r="E548" i="12" s="1"/>
  <c r="E309" i="12"/>
  <c r="E719" i="12"/>
  <c r="G178" i="7"/>
  <c r="J178" i="7" s="1"/>
  <c r="D609" i="12"/>
  <c r="E609" i="12" s="1"/>
  <c r="E57" i="12"/>
  <c r="D535" i="12"/>
  <c r="E535" i="12" s="1"/>
  <c r="E83" i="12"/>
  <c r="D88" i="12"/>
  <c r="E88" i="12" s="1"/>
  <c r="E171" i="12"/>
  <c r="G533" i="7"/>
  <c r="J533" i="7" s="1"/>
  <c r="G556" i="7"/>
  <c r="J556" i="7" s="1"/>
  <c r="G292" i="7"/>
  <c r="J292" i="7" s="1"/>
  <c r="E173" i="12"/>
  <c r="G535" i="7"/>
  <c r="J535" i="7" s="1"/>
  <c r="G615" i="7"/>
  <c r="J615" i="7" s="1"/>
  <c r="G448" i="7"/>
  <c r="J448" i="7" s="1"/>
  <c r="G53" i="7"/>
  <c r="J53" i="7" s="1"/>
  <c r="E117" i="12"/>
  <c r="E22" i="12"/>
  <c r="E322" i="12"/>
  <c r="E106" i="12"/>
  <c r="G536" i="7"/>
  <c r="J536" i="7" s="1"/>
  <c r="E395" i="12"/>
  <c r="E460" i="12"/>
  <c r="E139" i="12"/>
  <c r="E619" i="12"/>
  <c r="E418" i="12"/>
  <c r="E658" i="12"/>
  <c r="E349" i="12"/>
  <c r="E356" i="12"/>
  <c r="E692" i="12"/>
  <c r="E659" i="12"/>
  <c r="E587" i="12"/>
  <c r="E743" i="12"/>
  <c r="G549" i="7"/>
  <c r="J549" i="7" s="1"/>
  <c r="G693" i="7"/>
  <c r="J693" i="7" s="1"/>
  <c r="G200" i="7"/>
  <c r="J200" i="7" s="1"/>
  <c r="G272" i="7"/>
  <c r="J272" i="7" s="1"/>
  <c r="G344" i="7"/>
  <c r="J344" i="7" s="1"/>
  <c r="G416" i="7"/>
  <c r="J416" i="7" s="1"/>
  <c r="G647" i="7"/>
  <c r="J647" i="7" s="1"/>
  <c r="G154" i="7"/>
  <c r="J154" i="7" s="1"/>
  <c r="E257" i="12"/>
  <c r="D146" i="12"/>
  <c r="E146" i="12" s="1"/>
  <c r="D723" i="12"/>
  <c r="E723" i="12" s="1"/>
  <c r="G410" i="7"/>
  <c r="J410" i="7" s="1"/>
  <c r="D597" i="12"/>
  <c r="E597" i="12" s="1"/>
  <c r="G70" i="7"/>
  <c r="J70" i="7" s="1"/>
  <c r="E508" i="12"/>
  <c r="E476" i="12"/>
  <c r="E645" i="12"/>
  <c r="G651" i="7"/>
  <c r="J651" i="7" s="1"/>
  <c r="G58" i="7"/>
  <c r="J58" i="7" s="1"/>
  <c r="G266" i="7"/>
  <c r="J266" i="7" s="1"/>
  <c r="G646" i="7"/>
  <c r="J646" i="7" s="1"/>
  <c r="D731" i="12"/>
  <c r="E731" i="12" s="1"/>
  <c r="D364" i="12"/>
  <c r="E364" i="12" s="1"/>
  <c r="D528" i="12"/>
  <c r="E528" i="12" s="1"/>
  <c r="G488" i="7"/>
  <c r="J488" i="7" s="1"/>
  <c r="D103" i="12"/>
  <c r="E103" i="12" s="1"/>
  <c r="E71" i="12"/>
  <c r="G17" i="7"/>
  <c r="J17" i="7" s="1"/>
  <c r="E495" i="12"/>
  <c r="E192" i="12"/>
  <c r="G455" i="7"/>
  <c r="J455" i="7" s="1"/>
  <c r="D366" i="12"/>
  <c r="E366" i="12" s="1"/>
  <c r="D742" i="12"/>
  <c r="E742" i="12" s="1"/>
  <c r="D730" i="12"/>
  <c r="E730" i="12" s="1"/>
  <c r="E640" i="12"/>
  <c r="G118" i="7"/>
  <c r="J118" i="7" s="1"/>
  <c r="E40" i="12"/>
  <c r="E544" i="12"/>
  <c r="E70" i="12"/>
  <c r="E737" i="12"/>
  <c r="D615" i="12"/>
  <c r="E615" i="12" s="1"/>
  <c r="G495" i="7"/>
  <c r="J495" i="7" s="1"/>
  <c r="G364" i="7"/>
  <c r="J364" i="7" s="1"/>
  <c r="G508" i="7"/>
  <c r="J508" i="7" s="1"/>
  <c r="G52" i="7"/>
  <c r="J52" i="7" s="1"/>
  <c r="G81" i="7"/>
  <c r="J81" i="7" s="1"/>
  <c r="G394" i="7"/>
  <c r="J394" i="7" s="1"/>
  <c r="G10" i="7"/>
  <c r="J10" i="7" s="1"/>
  <c r="G6" i="7"/>
  <c r="J6" i="7" s="1"/>
  <c r="E5" i="12"/>
  <c r="G13" i="7"/>
  <c r="J13" i="7" s="1"/>
  <c r="E4" i="12"/>
  <c r="E15" i="12"/>
  <c r="G12" i="7"/>
  <c r="J12" i="7" s="1"/>
  <c r="G15" i="7"/>
  <c r="J15" i="7" s="1"/>
  <c r="D9" i="12"/>
  <c r="E9" i="12" s="1"/>
  <c r="G8" i="7"/>
  <c r="J8" i="7" s="1"/>
  <c r="G9" i="7"/>
  <c r="J9" i="7" s="1"/>
  <c r="E3" i="12"/>
  <c r="D2" i="12"/>
  <c r="E2" i="12" s="1"/>
  <c r="G104" i="7"/>
  <c r="J104" i="7" s="1"/>
  <c r="G530" i="7"/>
  <c r="J530" i="7" s="1"/>
  <c r="G402" i="7"/>
  <c r="J402" i="7" s="1"/>
  <c r="G404" i="7"/>
  <c r="J404" i="7" s="1"/>
  <c r="G756" i="7"/>
  <c r="J756" i="7" s="1"/>
  <c r="G229" i="7"/>
  <c r="J229" i="7" s="1"/>
  <c r="G641" i="7"/>
  <c r="J641" i="7" s="1"/>
  <c r="G237" i="7"/>
  <c r="J237" i="7" s="1"/>
  <c r="G552" i="7"/>
  <c r="J552" i="7" s="1"/>
  <c r="G601" i="7"/>
  <c r="J601" i="7" s="1"/>
  <c r="G673" i="7"/>
  <c r="J673" i="7" s="1"/>
  <c r="G385" i="7"/>
  <c r="J385" i="7" s="1"/>
  <c r="G566" i="7"/>
  <c r="J566" i="7" s="1"/>
  <c r="G638" i="7"/>
  <c r="J638" i="7" s="1"/>
  <c r="G434" i="7"/>
  <c r="J434" i="7" s="1"/>
  <c r="G332" i="7"/>
  <c r="J332" i="7" s="1"/>
  <c r="G265" i="7"/>
  <c r="J265" i="7" s="1"/>
  <c r="G335" i="7"/>
  <c r="J335" i="7" s="1"/>
  <c r="G553" i="7"/>
  <c r="J553" i="7" s="1"/>
  <c r="G697" i="7"/>
  <c r="J697" i="7" s="1"/>
  <c r="G260" i="7"/>
  <c r="J260" i="7" s="1"/>
  <c r="G117" i="7"/>
  <c r="J117" i="7" s="1"/>
  <c r="G157" i="7"/>
  <c r="J157" i="7" s="1"/>
  <c r="G590" i="7"/>
  <c r="J590" i="7" s="1"/>
  <c r="G662" i="7"/>
  <c r="J662" i="7" s="1"/>
  <c r="G550" i="7"/>
  <c r="J550" i="7" s="1"/>
  <c r="G622" i="7"/>
  <c r="J622" i="7" s="1"/>
  <c r="G694" i="7"/>
  <c r="J694" i="7" s="1"/>
  <c r="G273" i="7"/>
  <c r="J273" i="7" s="1"/>
  <c r="G345" i="7"/>
  <c r="J345" i="7" s="1"/>
  <c r="G417" i="7"/>
  <c r="J417" i="7" s="1"/>
  <c r="G489" i="7"/>
  <c r="J489" i="7" s="1"/>
  <c r="G33" i="7"/>
  <c r="J33" i="7" s="1"/>
  <c r="G105" i="7"/>
  <c r="J105" i="7" s="1"/>
  <c r="G177" i="7"/>
  <c r="J177" i="7" s="1"/>
  <c r="G202" i="7"/>
  <c r="J202" i="7" s="1"/>
  <c r="G274" i="7"/>
  <c r="J274" i="7" s="1"/>
  <c r="G346" i="7"/>
  <c r="J346" i="7" s="1"/>
  <c r="G418" i="7"/>
  <c r="J418" i="7" s="1"/>
  <c r="G490" i="7"/>
  <c r="J490" i="7" s="1"/>
  <c r="G347" i="7"/>
  <c r="J347" i="7" s="1"/>
  <c r="G23" i="7"/>
  <c r="J23" i="7" s="1"/>
  <c r="G745" i="7"/>
  <c r="J745" i="7" s="1"/>
  <c r="G408" i="7"/>
  <c r="J408" i="7" s="1"/>
  <c r="G84" i="7"/>
  <c r="J84" i="7" s="1"/>
  <c r="G241" i="7"/>
  <c r="J241" i="7" s="1"/>
  <c r="G433" i="7"/>
  <c r="J433" i="7" s="1"/>
  <c r="G109" i="7"/>
  <c r="J109" i="7" s="1"/>
  <c r="G326" i="7"/>
  <c r="J326" i="7" s="1"/>
  <c r="G26" i="7"/>
  <c r="J26" i="7" s="1"/>
  <c r="G763" i="7"/>
  <c r="J763" i="7" s="1"/>
  <c r="G602" i="7"/>
  <c r="J602" i="7" s="1"/>
  <c r="G674" i="7"/>
  <c r="J674" i="7" s="1"/>
  <c r="G562" i="7"/>
  <c r="J562" i="7" s="1"/>
  <c r="G634" i="7"/>
  <c r="J634" i="7" s="1"/>
  <c r="G706" i="7"/>
  <c r="J706" i="7" s="1"/>
  <c r="G213" i="7"/>
  <c r="J213" i="7" s="1"/>
  <c r="G285" i="7"/>
  <c r="J285" i="7" s="1"/>
  <c r="G357" i="7"/>
  <c r="J357" i="7" s="1"/>
  <c r="G429" i="7"/>
  <c r="J429" i="7" s="1"/>
  <c r="G501" i="7"/>
  <c r="J501" i="7" s="1"/>
  <c r="G45" i="7"/>
  <c r="J45" i="7" s="1"/>
  <c r="G189" i="7"/>
  <c r="J189" i="7" s="1"/>
  <c r="G214" i="7"/>
  <c r="J214" i="7" s="1"/>
  <c r="G286" i="7"/>
  <c r="J286" i="7" s="1"/>
  <c r="G358" i="7"/>
  <c r="J358" i="7" s="1"/>
  <c r="G430" i="7"/>
  <c r="J430" i="7" s="1"/>
  <c r="G502" i="7"/>
  <c r="J502" i="7" s="1"/>
  <c r="G46" i="7"/>
  <c r="J46" i="7" s="1"/>
  <c r="G383" i="7"/>
  <c r="J383" i="7" s="1"/>
  <c r="G59" i="7"/>
  <c r="J59" i="7" s="1"/>
  <c r="G216" i="7"/>
  <c r="J216" i="7" s="1"/>
  <c r="G444" i="7"/>
  <c r="J444" i="7" s="1"/>
  <c r="G120" i="7"/>
  <c r="J120" i="7" s="1"/>
  <c r="G481" i="7"/>
  <c r="J481" i="7" s="1"/>
  <c r="G362" i="7"/>
  <c r="J362" i="7" s="1"/>
  <c r="G62" i="7"/>
  <c r="J62" i="7" s="1"/>
  <c r="G600" i="7"/>
  <c r="J600" i="7" s="1"/>
  <c r="G672" i="7"/>
  <c r="J672" i="7" s="1"/>
  <c r="G744" i="7"/>
  <c r="J744" i="7" s="1"/>
  <c r="G287" i="7"/>
  <c r="J287" i="7" s="1"/>
  <c r="G565" i="7"/>
  <c r="J565" i="7" s="1"/>
  <c r="G582" i="7"/>
  <c r="J582" i="7" s="1"/>
  <c r="G471" i="7"/>
  <c r="J471" i="7" s="1"/>
  <c r="G445" i="7"/>
  <c r="J445" i="7" s="1"/>
  <c r="G338" i="7"/>
  <c r="J338" i="7" s="1"/>
  <c r="G701" i="7"/>
  <c r="J701" i="7" s="1"/>
  <c r="G305" i="7"/>
  <c r="J305" i="7" s="1"/>
  <c r="G686" i="7"/>
  <c r="J686" i="7" s="1"/>
  <c r="G591" i="7"/>
  <c r="J591" i="7" s="1"/>
  <c r="G663" i="7"/>
  <c r="J663" i="7" s="1"/>
  <c r="G544" i="7"/>
  <c r="J544" i="7" s="1"/>
  <c r="G616" i="7"/>
  <c r="J616" i="7" s="1"/>
  <c r="G688" i="7"/>
  <c r="J688" i="7" s="1"/>
  <c r="G195" i="7"/>
  <c r="J195" i="7" s="1"/>
  <c r="G267" i="7"/>
  <c r="J267" i="7" s="1"/>
  <c r="G339" i="7"/>
  <c r="J339" i="7" s="1"/>
  <c r="G411" i="7"/>
  <c r="J411" i="7" s="1"/>
  <c r="G483" i="7"/>
  <c r="J483" i="7" s="1"/>
  <c r="G27" i="7"/>
  <c r="J27" i="7" s="1"/>
  <c r="G99" i="7"/>
  <c r="J99" i="7" s="1"/>
  <c r="G171" i="7"/>
  <c r="J171" i="7" s="1"/>
  <c r="G208" i="7"/>
  <c r="J208" i="7" s="1"/>
  <c r="G280" i="7"/>
  <c r="J280" i="7" s="1"/>
  <c r="G352" i="7"/>
  <c r="J352" i="7" s="1"/>
  <c r="G424" i="7"/>
  <c r="J424" i="7" s="1"/>
  <c r="G496" i="7"/>
  <c r="J496" i="7" s="1"/>
  <c r="G40" i="7"/>
  <c r="J40" i="7" s="1"/>
  <c r="G112" i="7"/>
  <c r="J112" i="7" s="1"/>
  <c r="G184" i="7"/>
  <c r="J184" i="7" s="1"/>
  <c r="G331" i="7"/>
  <c r="J331" i="7" s="1"/>
  <c r="G475" i="7"/>
  <c r="J475" i="7" s="1"/>
  <c r="G151" i="7"/>
  <c r="J151" i="7" s="1"/>
  <c r="G152" i="7"/>
  <c r="J152" i="7" s="1"/>
  <c r="G467" i="7"/>
  <c r="J467" i="7" s="1"/>
  <c r="G155" i="7"/>
  <c r="J155" i="7" s="1"/>
  <c r="G348" i="7"/>
  <c r="J348" i="7" s="1"/>
  <c r="G72" i="7"/>
  <c r="J72" i="7" s="1"/>
  <c r="G469" i="7"/>
  <c r="J469" i="7" s="1"/>
  <c r="G723" i="7"/>
  <c r="J723" i="7" s="1"/>
  <c r="G374" i="7"/>
  <c r="J374" i="7" s="1"/>
  <c r="G86" i="7"/>
  <c r="J86" i="7" s="1"/>
  <c r="G569" i="7"/>
  <c r="J569" i="7" s="1"/>
  <c r="G725" i="7"/>
  <c r="J725" i="7" s="1"/>
  <c r="G594" i="7"/>
  <c r="J594" i="7" s="1"/>
  <c r="G666" i="7"/>
  <c r="J666" i="7" s="1"/>
  <c r="G738" i="7"/>
  <c r="J738" i="7" s="1"/>
  <c r="G245" i="7"/>
  <c r="J245" i="7" s="1"/>
  <c r="G317" i="7"/>
  <c r="J317" i="7" s="1"/>
  <c r="G389" i="7"/>
  <c r="J389" i="7" s="1"/>
  <c r="G461" i="7"/>
  <c r="J461" i="7" s="1"/>
  <c r="G29" i="7"/>
  <c r="J29" i="7" s="1"/>
  <c r="G101" i="7"/>
  <c r="J101" i="7" s="1"/>
  <c r="G173" i="7"/>
  <c r="J173" i="7" s="1"/>
  <c r="G210" i="7"/>
  <c r="J210" i="7" s="1"/>
  <c r="G282" i="7"/>
  <c r="J282" i="7" s="1"/>
  <c r="G354" i="7"/>
  <c r="J354" i="7" s="1"/>
  <c r="G426" i="7"/>
  <c r="J426" i="7" s="1"/>
  <c r="G498" i="7"/>
  <c r="J498" i="7" s="1"/>
  <c r="G66" i="7"/>
  <c r="J66" i="7" s="1"/>
  <c r="G138" i="7"/>
  <c r="J138" i="7" s="1"/>
  <c r="G199" i="7"/>
  <c r="J199" i="7" s="1"/>
  <c r="G319" i="7"/>
  <c r="J319" i="7" s="1"/>
  <c r="G463" i="7"/>
  <c r="J463" i="7" s="1"/>
  <c r="G79" i="7"/>
  <c r="J79" i="7" s="1"/>
  <c r="G163" i="7"/>
  <c r="J163" i="7" s="1"/>
  <c r="G140" i="7"/>
  <c r="J140" i="7" s="1"/>
  <c r="G503" i="7"/>
  <c r="J503" i="7" s="1"/>
  <c r="G709" i="7"/>
  <c r="J709" i="7" s="1"/>
  <c r="G372" i="7"/>
  <c r="J372" i="7" s="1"/>
  <c r="G60" i="7"/>
  <c r="J60" i="7" s="1"/>
  <c r="G253" i="7"/>
  <c r="J253" i="7" s="1"/>
  <c r="G457" i="7"/>
  <c r="J457" i="7" s="1"/>
  <c r="G133" i="7"/>
  <c r="J133" i="7" s="1"/>
  <c r="G314" i="7"/>
  <c r="J314" i="7" s="1"/>
  <c r="G518" i="7"/>
  <c r="J518" i="7" s="1"/>
  <c r="G547" i="7"/>
  <c r="J547" i="7" s="1"/>
  <c r="G619" i="7"/>
  <c r="J619" i="7" s="1"/>
  <c r="G691" i="7"/>
  <c r="J691" i="7" s="1"/>
  <c r="G560" i="7"/>
  <c r="J560" i="7" s="1"/>
  <c r="G632" i="7"/>
  <c r="J632" i="7" s="1"/>
  <c r="G704" i="7"/>
  <c r="J704" i="7" s="1"/>
  <c r="G561" i="7"/>
  <c r="J561" i="7" s="1"/>
  <c r="G633" i="7"/>
  <c r="J633" i="7" s="1"/>
  <c r="G705" i="7"/>
  <c r="J705" i="7" s="1"/>
  <c r="G212" i="7"/>
  <c r="J212" i="7" s="1"/>
  <c r="G284" i="7"/>
  <c r="J284" i="7" s="1"/>
  <c r="G356" i="7"/>
  <c r="J356" i="7" s="1"/>
  <c r="G428" i="7"/>
  <c r="J428" i="7" s="1"/>
  <c r="G500" i="7"/>
  <c r="J500" i="7" s="1"/>
  <c r="G188" i="7"/>
  <c r="J188" i="7" s="1"/>
  <c r="G14" i="7"/>
  <c r="J14" i="7" s="1"/>
  <c r="G225" i="7"/>
  <c r="J225" i="7" s="1"/>
  <c r="G226" i="7"/>
  <c r="J226" i="7" s="1"/>
  <c r="G468" i="7"/>
  <c r="J468" i="7" s="1"/>
  <c r="G587" i="7"/>
  <c r="J587" i="7" s="1"/>
  <c r="G659" i="7"/>
  <c r="J659" i="7" s="1"/>
  <c r="G540" i="7"/>
  <c r="J540" i="7" s="1"/>
  <c r="G612" i="7"/>
  <c r="J612" i="7" s="1"/>
  <c r="G684" i="7"/>
  <c r="J684" i="7" s="1"/>
  <c r="G311" i="7"/>
  <c r="J311" i="7" s="1"/>
  <c r="G554" i="7"/>
  <c r="J554" i="7" s="1"/>
  <c r="G626" i="7"/>
  <c r="J626" i="7" s="1"/>
  <c r="G698" i="7"/>
  <c r="J698" i="7" s="1"/>
  <c r="G586" i="7"/>
  <c r="J586" i="7" s="1"/>
  <c r="G658" i="7"/>
  <c r="J658" i="7" s="1"/>
  <c r="G730" i="7"/>
  <c r="J730" i="7" s="1"/>
  <c r="G309" i="7"/>
  <c r="J309" i="7" s="1"/>
  <c r="G381" i="7"/>
  <c r="J381" i="7" s="1"/>
  <c r="G453" i="7"/>
  <c r="J453" i="7" s="1"/>
  <c r="G525" i="7"/>
  <c r="J525" i="7" s="1"/>
  <c r="G69" i="7"/>
  <c r="J69" i="7" s="1"/>
  <c r="G141" i="7"/>
  <c r="J141" i="7" s="1"/>
  <c r="G731" i="7"/>
  <c r="J731" i="7" s="1"/>
  <c r="G238" i="7"/>
  <c r="J238" i="7" s="1"/>
  <c r="G310" i="7"/>
  <c r="J310" i="7" s="1"/>
  <c r="G382" i="7"/>
  <c r="J382" i="7" s="1"/>
  <c r="G454" i="7"/>
  <c r="J454" i="7" s="1"/>
  <c r="G526" i="7"/>
  <c r="J526" i="7" s="1"/>
  <c r="G299" i="7"/>
  <c r="J299" i="7" s="1"/>
  <c r="G122" i="7"/>
  <c r="J122" i="7" s="1"/>
  <c r="G581" i="7"/>
  <c r="J581" i="7" s="1"/>
  <c r="G653" i="7"/>
  <c r="J653" i="7" s="1"/>
  <c r="G606" i="7"/>
  <c r="J606" i="7" s="1"/>
  <c r="G678" i="7"/>
  <c r="J678" i="7" s="1"/>
  <c r="G750" i="7"/>
  <c r="J750" i="7" s="1"/>
  <c r="G257" i="7"/>
  <c r="J257" i="7" s="1"/>
  <c r="G329" i="7"/>
  <c r="J329" i="7" s="1"/>
  <c r="G401" i="7"/>
  <c r="J401" i="7" s="1"/>
  <c r="G473" i="7"/>
  <c r="J473" i="7" s="1"/>
  <c r="G41" i="7"/>
  <c r="J41" i="7" s="1"/>
  <c r="G113" i="7"/>
  <c r="J113" i="7" s="1"/>
  <c r="G185" i="7"/>
  <c r="J185" i="7" s="1"/>
  <c r="G222" i="7"/>
  <c r="J222" i="7" s="1"/>
  <c r="G294" i="7"/>
  <c r="J294" i="7" s="1"/>
  <c r="G366" i="7"/>
  <c r="J366" i="7" s="1"/>
  <c r="G438" i="7"/>
  <c r="J438" i="7" s="1"/>
  <c r="G510" i="7"/>
  <c r="J510" i="7" s="1"/>
  <c r="G78" i="7"/>
  <c r="J78" i="7" s="1"/>
  <c r="G150" i="7"/>
  <c r="J150" i="7" s="1"/>
  <c r="G211" i="7"/>
  <c r="J211" i="7" s="1"/>
  <c r="G343" i="7"/>
  <c r="J343" i="7" s="1"/>
  <c r="G487" i="7"/>
  <c r="J487" i="7" s="1"/>
  <c r="G91" i="7"/>
  <c r="J91" i="7" s="1"/>
  <c r="G187" i="7"/>
  <c r="J187" i="7" s="1"/>
  <c r="G164" i="7"/>
  <c r="J164" i="7" s="1"/>
  <c r="G11" i="7"/>
  <c r="J11" i="7" s="1"/>
  <c r="G757" i="7"/>
  <c r="J757" i="7" s="1"/>
  <c r="G420" i="7"/>
  <c r="J420" i="7" s="1"/>
  <c r="G96" i="7"/>
  <c r="J96" i="7" s="1"/>
  <c r="G277" i="7"/>
  <c r="J277" i="7" s="1"/>
  <c r="G493" i="7"/>
  <c r="J493" i="7" s="1"/>
  <c r="G169" i="7"/>
  <c r="J169" i="7" s="1"/>
  <c r="G350" i="7"/>
  <c r="J350" i="7" s="1"/>
  <c r="G38" i="7"/>
  <c r="J38" i="7" s="1"/>
  <c r="G559" i="7"/>
  <c r="J559" i="7" s="1"/>
  <c r="G631" i="7"/>
  <c r="J631" i="7" s="1"/>
  <c r="G572" i="7"/>
  <c r="J572" i="7" s="1"/>
  <c r="G644" i="7"/>
  <c r="J644" i="7" s="1"/>
  <c r="G716" i="7"/>
  <c r="J716" i="7" s="1"/>
  <c r="G573" i="7"/>
  <c r="J573" i="7" s="1"/>
  <c r="G645" i="7"/>
  <c r="J645" i="7" s="1"/>
  <c r="G717" i="7"/>
  <c r="J717" i="7" s="1"/>
  <c r="G224" i="7"/>
  <c r="J224" i="7" s="1"/>
  <c r="G296" i="7"/>
  <c r="J296" i="7" s="1"/>
  <c r="G368" i="7"/>
  <c r="J368" i="7" s="1"/>
  <c r="G440" i="7"/>
  <c r="J440" i="7" s="1"/>
  <c r="G512" i="7"/>
  <c r="J512" i="7" s="1"/>
  <c r="G95" i="7"/>
  <c r="J95" i="7" s="1"/>
  <c r="G98" i="7"/>
  <c r="J98" i="7" s="1"/>
  <c r="G143" i="7"/>
  <c r="J143" i="7" s="1"/>
  <c r="G504" i="7"/>
  <c r="J504" i="7" s="1"/>
  <c r="G599" i="7"/>
  <c r="J599" i="7" s="1"/>
  <c r="G671" i="7"/>
  <c r="J671" i="7" s="1"/>
  <c r="G624" i="7"/>
  <c r="J624" i="7" s="1"/>
  <c r="G696" i="7"/>
  <c r="J696" i="7" s="1"/>
  <c r="G203" i="7"/>
  <c r="J203" i="7" s="1"/>
  <c r="G589" i="7"/>
  <c r="J589" i="7" s="1"/>
  <c r="G505" i="7"/>
  <c r="J505" i="7" s="1"/>
  <c r="G762" i="7"/>
  <c r="J762" i="7" s="1"/>
  <c r="G700" i="7"/>
  <c r="J700" i="7" s="1"/>
  <c r="G578" i="7"/>
  <c r="J578" i="7" s="1"/>
  <c r="G650" i="7"/>
  <c r="J650" i="7" s="1"/>
  <c r="G568" i="7"/>
  <c r="J568" i="7" s="1"/>
  <c r="G507" i="7"/>
  <c r="J507" i="7" s="1"/>
  <c r="G523" i="7"/>
  <c r="J523" i="7" s="1"/>
  <c r="G432" i="7"/>
  <c r="J432" i="7" s="1"/>
  <c r="G269" i="7"/>
  <c r="J269" i="7" s="1"/>
  <c r="G341" i="7"/>
  <c r="J341" i="7" s="1"/>
  <c r="G450" i="7"/>
  <c r="J450" i="7" s="1"/>
  <c r="G529" i="7"/>
  <c r="J529" i="7" s="1"/>
  <c r="G643" i="7"/>
  <c r="J643" i="7" s="1"/>
  <c r="G538" i="7"/>
  <c r="J538" i="7" s="1"/>
  <c r="G610" i="7"/>
  <c r="J610" i="7" s="1"/>
  <c r="G682" i="7"/>
  <c r="J682" i="7" s="1"/>
  <c r="G754" i="7"/>
  <c r="J754" i="7" s="1"/>
  <c r="G261" i="7"/>
  <c r="J261" i="7" s="1"/>
  <c r="G333" i="7"/>
  <c r="J333" i="7" s="1"/>
  <c r="G405" i="7"/>
  <c r="J405" i="7" s="1"/>
  <c r="G477" i="7"/>
  <c r="J477" i="7" s="1"/>
  <c r="G21" i="7"/>
  <c r="J21" i="7" s="1"/>
  <c r="G93" i="7"/>
  <c r="J93" i="7" s="1"/>
  <c r="G165" i="7"/>
  <c r="J165" i="7" s="1"/>
  <c r="G755" i="7"/>
  <c r="J755" i="7" s="1"/>
  <c r="G262" i="7"/>
  <c r="J262" i="7" s="1"/>
  <c r="G334" i="7"/>
  <c r="J334" i="7" s="1"/>
  <c r="G406" i="7"/>
  <c r="J406" i="7" s="1"/>
  <c r="G478" i="7"/>
  <c r="J478" i="7" s="1"/>
  <c r="G22" i="7"/>
  <c r="J22" i="7" s="1"/>
  <c r="G515" i="7"/>
  <c r="J515" i="7" s="1"/>
  <c r="G733" i="7"/>
  <c r="J733" i="7" s="1"/>
  <c r="G360" i="7"/>
  <c r="J360" i="7" s="1"/>
  <c r="G48" i="7"/>
  <c r="J48" i="7" s="1"/>
  <c r="G205" i="7"/>
  <c r="J205" i="7" s="1"/>
  <c r="G73" i="7"/>
  <c r="J73" i="7" s="1"/>
  <c r="G278" i="7"/>
  <c r="J278" i="7" s="1"/>
  <c r="G506" i="7"/>
  <c r="J506" i="7" s="1"/>
  <c r="G541" i="7"/>
  <c r="J541" i="7" s="1"/>
  <c r="G613" i="7"/>
  <c r="J613" i="7" s="1"/>
  <c r="G685" i="7"/>
  <c r="J685" i="7" s="1"/>
  <c r="G555" i="7"/>
  <c r="J555" i="7" s="1"/>
  <c r="G627" i="7"/>
  <c r="J627" i="7" s="1"/>
  <c r="G699" i="7"/>
  <c r="J699" i="7" s="1"/>
  <c r="G580" i="7"/>
  <c r="J580" i="7" s="1"/>
  <c r="G652" i="7"/>
  <c r="J652" i="7" s="1"/>
  <c r="G724" i="7"/>
  <c r="J724" i="7" s="1"/>
  <c r="G231" i="7"/>
  <c r="J231" i="7" s="1"/>
  <c r="G303" i="7"/>
  <c r="J303" i="7" s="1"/>
  <c r="G375" i="7"/>
  <c r="J375" i="7" s="1"/>
  <c r="G519" i="7"/>
  <c r="J519" i="7" s="1"/>
  <c r="G63" i="7"/>
  <c r="J63" i="7" s="1"/>
  <c r="G135" i="7"/>
  <c r="J135" i="7" s="1"/>
  <c r="G737" i="7"/>
  <c r="J737" i="7" s="1"/>
  <c r="G244" i="7"/>
  <c r="J244" i="7" s="1"/>
  <c r="G316" i="7"/>
  <c r="J316" i="7" s="1"/>
  <c r="G388" i="7"/>
  <c r="J388" i="7" s="1"/>
  <c r="G460" i="7"/>
  <c r="J460" i="7" s="1"/>
  <c r="G4" i="7"/>
  <c r="J4" i="7" s="1"/>
  <c r="G76" i="7"/>
  <c r="J76" i="7" s="1"/>
  <c r="G148" i="7"/>
  <c r="J148" i="7" s="1"/>
  <c r="G271" i="7"/>
  <c r="J271" i="7" s="1"/>
  <c r="G403" i="7"/>
  <c r="J403" i="7" s="1"/>
  <c r="G19" i="7"/>
  <c r="J19" i="7" s="1"/>
  <c r="G68" i="7"/>
  <c r="J68" i="7" s="1"/>
  <c r="G371" i="7"/>
  <c r="J371" i="7" s="1"/>
  <c r="G240" i="7"/>
  <c r="J240" i="7" s="1"/>
  <c r="G480" i="7"/>
  <c r="J480" i="7" s="1"/>
  <c r="G192" i="7"/>
  <c r="J192" i="7" s="1"/>
  <c r="G361" i="7"/>
  <c r="J361" i="7" s="1"/>
  <c r="G85" i="7"/>
  <c r="J85" i="7" s="1"/>
  <c r="G290" i="7"/>
  <c r="J290" i="7" s="1"/>
  <c r="G494" i="7"/>
  <c r="J494" i="7" s="1"/>
  <c r="G605" i="7"/>
  <c r="J605" i="7" s="1"/>
  <c r="G677" i="7"/>
  <c r="J677" i="7" s="1"/>
  <c r="G558" i="7"/>
  <c r="J558" i="7" s="1"/>
  <c r="G630" i="7"/>
  <c r="J630" i="7" s="1"/>
  <c r="G702" i="7"/>
  <c r="J702" i="7" s="1"/>
  <c r="G209" i="7"/>
  <c r="J209" i="7" s="1"/>
  <c r="G281" i="7"/>
  <c r="J281" i="7" s="1"/>
  <c r="G353" i="7"/>
  <c r="J353" i="7" s="1"/>
  <c r="G425" i="7"/>
  <c r="J425" i="7" s="1"/>
  <c r="G497" i="7"/>
  <c r="J497" i="7" s="1"/>
  <c r="G65" i="7"/>
  <c r="J65" i="7" s="1"/>
  <c r="G137" i="7"/>
  <c r="J137" i="7" s="1"/>
  <c r="G739" i="7"/>
  <c r="J739" i="7" s="1"/>
  <c r="G246" i="7"/>
  <c r="J246" i="7" s="1"/>
  <c r="G318" i="7"/>
  <c r="J318" i="7" s="1"/>
  <c r="G390" i="7"/>
  <c r="J390" i="7" s="1"/>
  <c r="G462" i="7"/>
  <c r="J462" i="7" s="1"/>
  <c r="G30" i="7"/>
  <c r="J30" i="7" s="1"/>
  <c r="G102" i="7"/>
  <c r="J102" i="7" s="1"/>
  <c r="G174" i="7"/>
  <c r="J174" i="7" s="1"/>
  <c r="G235" i="7"/>
  <c r="J235" i="7" s="1"/>
  <c r="G391" i="7"/>
  <c r="J391" i="7" s="1"/>
  <c r="G7" i="7"/>
  <c r="J7" i="7" s="1"/>
  <c r="G115" i="7"/>
  <c r="J115" i="7" s="1"/>
  <c r="G56" i="7"/>
  <c r="J56" i="7" s="1"/>
  <c r="G359" i="7"/>
  <c r="J359" i="7" s="1"/>
  <c r="G83" i="7"/>
  <c r="J83" i="7" s="1"/>
  <c r="G264" i="7"/>
  <c r="J264" i="7" s="1"/>
  <c r="G168" i="7"/>
  <c r="J168" i="7" s="1"/>
  <c r="G349" i="7"/>
  <c r="J349" i="7" s="1"/>
  <c r="G25" i="7"/>
  <c r="J25" i="7" s="1"/>
  <c r="G206" i="7"/>
  <c r="J206" i="7" s="1"/>
  <c r="G110" i="7"/>
  <c r="J110" i="7" s="1"/>
  <c r="G655" i="7"/>
  <c r="J655" i="7" s="1"/>
  <c r="G146" i="7"/>
  <c r="J146" i="7" s="1"/>
  <c r="G596" i="7"/>
  <c r="J596" i="7" s="1"/>
  <c r="G668" i="7"/>
  <c r="J668" i="7" s="1"/>
  <c r="G597" i="7"/>
  <c r="J597" i="7" s="1"/>
  <c r="G669" i="7"/>
  <c r="J669" i="7" s="1"/>
  <c r="G741" i="7"/>
  <c r="J741" i="7" s="1"/>
  <c r="G248" i="7"/>
  <c r="J248" i="7" s="1"/>
  <c r="G320" i="7"/>
  <c r="J320" i="7" s="1"/>
  <c r="G392" i="7"/>
  <c r="J392" i="7" s="1"/>
  <c r="G464" i="7"/>
  <c r="J464" i="7" s="1"/>
  <c r="G32" i="7"/>
  <c r="J32" i="7" s="1"/>
  <c r="G746" i="7"/>
  <c r="J746" i="7" s="1"/>
  <c r="G551" i="7"/>
  <c r="J551" i="7" s="1"/>
  <c r="G623" i="7"/>
  <c r="J623" i="7" s="1"/>
  <c r="G695" i="7"/>
  <c r="J695" i="7" s="1"/>
  <c r="G576" i="7"/>
  <c r="J576" i="7" s="1"/>
  <c r="G720" i="7"/>
  <c r="J720" i="7" s="1"/>
  <c r="G227" i="7"/>
  <c r="J227" i="7" s="1"/>
  <c r="G567" i="7"/>
  <c r="J567" i="7" s="1"/>
  <c r="G639" i="7"/>
  <c r="J639" i="7" s="1"/>
  <c r="G711" i="7"/>
  <c r="J711" i="7" s="1"/>
  <c r="G592" i="7"/>
  <c r="J592" i="7" s="1"/>
  <c r="G664" i="7"/>
  <c r="J664" i="7" s="1"/>
  <c r="G736" i="7"/>
  <c r="J736" i="7" s="1"/>
  <c r="G243" i="7"/>
  <c r="J243" i="7" s="1"/>
  <c r="G315" i="7"/>
  <c r="J315" i="7" s="1"/>
  <c r="G387" i="7"/>
  <c r="J387" i="7" s="1"/>
  <c r="G459" i="7"/>
  <c r="J459" i="7" s="1"/>
  <c r="G3" i="7"/>
  <c r="J3" i="7" s="1"/>
  <c r="G75" i="7"/>
  <c r="J75" i="7" s="1"/>
  <c r="G147" i="7"/>
  <c r="J147" i="7" s="1"/>
  <c r="G749" i="7"/>
  <c r="J749" i="7" s="1"/>
  <c r="G256" i="7"/>
  <c r="J256" i="7" s="1"/>
  <c r="G328" i="7"/>
  <c r="J328" i="7" s="1"/>
  <c r="G400" i="7"/>
  <c r="J400" i="7" s="1"/>
  <c r="G472" i="7"/>
  <c r="J472" i="7" s="1"/>
  <c r="G16" i="7"/>
  <c r="J16" i="7" s="1"/>
  <c r="G88" i="7"/>
  <c r="J88" i="7" s="1"/>
  <c r="G160" i="7"/>
  <c r="J160" i="7" s="1"/>
  <c r="G295" i="7"/>
  <c r="J295" i="7" s="1"/>
  <c r="G427" i="7"/>
  <c r="J427" i="7" s="1"/>
  <c r="G43" i="7"/>
  <c r="J43" i="7" s="1"/>
  <c r="G407" i="7"/>
  <c r="J407" i="7" s="1"/>
  <c r="G71" i="7"/>
  <c r="J71" i="7" s="1"/>
  <c r="G276" i="7"/>
  <c r="J276" i="7" s="1"/>
  <c r="G528" i="7"/>
  <c r="J528" i="7" s="1"/>
  <c r="G710" i="7"/>
  <c r="J710" i="7" s="1"/>
  <c r="G397" i="7"/>
  <c r="J397" i="7" s="1"/>
  <c r="G121" i="7"/>
  <c r="J121" i="7" s="1"/>
  <c r="G302" i="7"/>
  <c r="J302" i="7" s="1"/>
  <c r="G545" i="7"/>
  <c r="J545" i="7" s="1"/>
  <c r="G617" i="7"/>
  <c r="J617" i="7" s="1"/>
  <c r="G689" i="7"/>
  <c r="J689" i="7" s="1"/>
  <c r="G570" i="7"/>
  <c r="J570" i="7" s="1"/>
  <c r="G642" i="7"/>
  <c r="J642" i="7" s="1"/>
  <c r="G714" i="7"/>
  <c r="J714" i="7" s="1"/>
  <c r="G221" i="7"/>
  <c r="J221" i="7" s="1"/>
  <c r="G293" i="7"/>
  <c r="J293" i="7" s="1"/>
  <c r="G365" i="7"/>
  <c r="J365" i="7" s="1"/>
  <c r="G437" i="7"/>
  <c r="J437" i="7" s="1"/>
  <c r="G509" i="7"/>
  <c r="J509" i="7" s="1"/>
  <c r="G77" i="7"/>
  <c r="J77" i="7" s="1"/>
  <c r="G149" i="7"/>
  <c r="J149" i="7" s="1"/>
  <c r="G751" i="7"/>
  <c r="J751" i="7" s="1"/>
  <c r="G258" i="7"/>
  <c r="J258" i="7" s="1"/>
  <c r="G330" i="7"/>
  <c r="J330" i="7" s="1"/>
  <c r="G474" i="7"/>
  <c r="J474" i="7" s="1"/>
  <c r="G42" i="7"/>
  <c r="J42" i="7" s="1"/>
  <c r="G114" i="7"/>
  <c r="J114" i="7" s="1"/>
  <c r="G186" i="7"/>
  <c r="J186" i="7" s="1"/>
  <c r="G259" i="7"/>
  <c r="J259" i="7" s="1"/>
  <c r="G415" i="7"/>
  <c r="J415" i="7" s="1"/>
  <c r="G31" i="7"/>
  <c r="J31" i="7" s="1"/>
  <c r="G127" i="7"/>
  <c r="J127" i="7" s="1"/>
  <c r="G92" i="7"/>
  <c r="J92" i="7" s="1"/>
  <c r="G395" i="7"/>
  <c r="J395" i="7" s="1"/>
  <c r="G131" i="7"/>
  <c r="J131" i="7" s="1"/>
  <c r="G300" i="7"/>
  <c r="J300" i="7" s="1"/>
  <c r="G516" i="7"/>
  <c r="J516" i="7" s="1"/>
  <c r="G734" i="7"/>
  <c r="J734" i="7" s="1"/>
  <c r="G61" i="7"/>
  <c r="J61" i="7" s="1"/>
  <c r="G242" i="7"/>
  <c r="J242" i="7" s="1"/>
  <c r="G446" i="7"/>
  <c r="J446" i="7" s="1"/>
  <c r="G158" i="7"/>
  <c r="J158" i="7" s="1"/>
  <c r="G595" i="7"/>
  <c r="J595" i="7" s="1"/>
  <c r="G667" i="7"/>
  <c r="J667" i="7" s="1"/>
  <c r="G608" i="7"/>
  <c r="J608" i="7" s="1"/>
  <c r="G680" i="7"/>
  <c r="J680" i="7" s="1"/>
  <c r="G537" i="7"/>
  <c r="J537" i="7" s="1"/>
  <c r="G609" i="7"/>
  <c r="J609" i="7" s="1"/>
  <c r="G681" i="7"/>
  <c r="J681" i="7" s="1"/>
  <c r="G753" i="7"/>
  <c r="J753" i="7" s="1"/>
  <c r="G476" i="7"/>
  <c r="J476" i="7" s="1"/>
  <c r="G44" i="7"/>
  <c r="J44" i="7" s="1"/>
  <c r="G145" i="7"/>
  <c r="J145" i="7" s="1"/>
  <c r="G201" i="7"/>
  <c r="J201" i="7" s="1"/>
  <c r="G34" i="7"/>
  <c r="J34" i="7" s="1"/>
  <c r="G563" i="7"/>
  <c r="J563" i="7" s="1"/>
  <c r="G635" i="7"/>
  <c r="J635" i="7" s="1"/>
  <c r="G707" i="7"/>
  <c r="J707" i="7" s="1"/>
  <c r="G588" i="7"/>
  <c r="J588" i="7" s="1"/>
  <c r="G732" i="7"/>
  <c r="J732" i="7" s="1"/>
  <c r="G251" i="7"/>
  <c r="J251" i="7" s="1"/>
  <c r="G625" i="7"/>
  <c r="J625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<sst xmlns="http://schemas.openxmlformats.org/spreadsheetml/2006/main" count="9319" uniqueCount="845">
  <si>
    <t>last 25%</t>
  </si>
  <si>
    <t>50-75%</t>
  </si>
  <si>
    <t>25-50%</t>
  </si>
  <si>
    <t>Retire</t>
  </si>
  <si>
    <t>Top 25 %</t>
  </si>
  <si>
    <t>MOQ</t>
  </si>
  <si>
    <t>AAB</t>
  </si>
  <si>
    <t>AAdi</t>
  </si>
  <si>
    <t>AAFC</t>
  </si>
  <si>
    <t>AAma</t>
  </si>
  <si>
    <t>AAre</t>
  </si>
  <si>
    <t>AARH</t>
  </si>
  <si>
    <t>AAri</t>
  </si>
  <si>
    <t>EBes</t>
  </si>
  <si>
    <t>EDaz</t>
  </si>
  <si>
    <t>EEnh</t>
  </si>
  <si>
    <t>EFai</t>
  </si>
  <si>
    <t>EFla</t>
  </si>
  <si>
    <t>EGRS</t>
  </si>
  <si>
    <t>EGV</t>
  </si>
  <si>
    <t>EHei</t>
  </si>
  <si>
    <t>EIta</t>
  </si>
  <si>
    <t>EJSK</t>
  </si>
  <si>
    <t>OKan</t>
  </si>
  <si>
    <t>OKP</t>
  </si>
  <si>
    <t>OKri</t>
  </si>
  <si>
    <t>OLux</t>
  </si>
  <si>
    <t>OMah</t>
  </si>
  <si>
    <t>OMD</t>
  </si>
  <si>
    <t>OMug</t>
  </si>
  <si>
    <t>ONex</t>
  </si>
  <si>
    <t>OOne</t>
  </si>
  <si>
    <t>OPar</t>
  </si>
  <si>
    <t>ORad</t>
  </si>
  <si>
    <t>ORav</t>
  </si>
  <si>
    <t>ORed</t>
  </si>
  <si>
    <t>ORoy</t>
  </si>
  <si>
    <t>OSAI</t>
  </si>
  <si>
    <t>OSha</t>
  </si>
  <si>
    <t>OShe</t>
  </si>
  <si>
    <t>OSon</t>
  </si>
  <si>
    <t>ISRV</t>
  </si>
  <si>
    <t>ISte</t>
  </si>
  <si>
    <t>IStu</t>
  </si>
  <si>
    <t>ISV</t>
  </si>
  <si>
    <t>IUni</t>
  </si>
  <si>
    <t>IVS</t>
  </si>
  <si>
    <t>IWal</t>
  </si>
  <si>
    <t>IWin</t>
  </si>
  <si>
    <t>IZoo</t>
  </si>
  <si>
    <t>Vendor Code</t>
  </si>
  <si>
    <t>REST</t>
  </si>
  <si>
    <t>Article type</t>
  </si>
  <si>
    <t>Favourable DOH</t>
  </si>
  <si>
    <t>2246068-BG11</t>
  </si>
  <si>
    <t>2245501-WH11</t>
  </si>
  <si>
    <t>2247076-BK11</t>
  </si>
  <si>
    <t>2246068-LG11</t>
  </si>
  <si>
    <t>2246068-BK11</t>
  </si>
  <si>
    <t>2242126-BK11</t>
  </si>
  <si>
    <t>2243174-BR11</t>
  </si>
  <si>
    <t>2247076-BG11</t>
  </si>
  <si>
    <t>2243183-BK11</t>
  </si>
  <si>
    <t>2245501-BK11</t>
  </si>
  <si>
    <t>2243071-BR11</t>
  </si>
  <si>
    <t>2246068-CR11</t>
  </si>
  <si>
    <t>2243174-BG11</t>
  </si>
  <si>
    <t>2244003-BK11</t>
  </si>
  <si>
    <t>2246059-BK11</t>
  </si>
  <si>
    <t>2243071-CR11</t>
  </si>
  <si>
    <t>2245501-BP11</t>
  </si>
  <si>
    <t>2243183-CR11</t>
  </si>
  <si>
    <t>2243174-BK11</t>
  </si>
  <si>
    <t>2242126-PH11</t>
  </si>
  <si>
    <t>2244062-TN11</t>
  </si>
  <si>
    <t>2244062-BR11</t>
  </si>
  <si>
    <t>2243183-TN11</t>
  </si>
  <si>
    <t>2244046-BY11</t>
  </si>
  <si>
    <t>2246059-LG11</t>
  </si>
  <si>
    <t>2244062-BG11</t>
  </si>
  <si>
    <t>2243071-BK11</t>
  </si>
  <si>
    <t>2245501-BG11</t>
  </si>
  <si>
    <t>2244003-CH11</t>
  </si>
  <si>
    <t>2244046-CR11</t>
  </si>
  <si>
    <t>2244062-BK11</t>
  </si>
  <si>
    <t>2244046-BK11</t>
  </si>
  <si>
    <t>2243071-BG11</t>
  </si>
  <si>
    <t>2246059-BG11</t>
  </si>
  <si>
    <t>2244003-BKGL</t>
  </si>
  <si>
    <t>2244003-TN11</t>
  </si>
  <si>
    <t>2244003-TNGL</t>
  </si>
  <si>
    <t>2244046-BG11</t>
  </si>
  <si>
    <t>2244046-BR11</t>
  </si>
  <si>
    <t>2244003-CHGL</t>
  </si>
  <si>
    <t>2244062-CH11</t>
  </si>
  <si>
    <t>2244046-PH11</t>
  </si>
  <si>
    <t>2247076-WH11</t>
  </si>
  <si>
    <t>2246059-CR11</t>
  </si>
  <si>
    <t>2243071-TN11</t>
  </si>
  <si>
    <t>2243183-MR11</t>
  </si>
  <si>
    <t>2244003-GN11</t>
  </si>
  <si>
    <t>2244046-GY11</t>
  </si>
  <si>
    <t>2244003-PH11</t>
  </si>
  <si>
    <t>2247076-MR11</t>
  </si>
  <si>
    <t>2242126-NB11</t>
  </si>
  <si>
    <t>2245501-PH11</t>
  </si>
  <si>
    <t>2243174-PK11</t>
  </si>
  <si>
    <t>2247067-CR11</t>
  </si>
  <si>
    <t>2247074-PH11</t>
  </si>
  <si>
    <t>2247075-BG11</t>
  </si>
  <si>
    <t>2242128-BK11</t>
  </si>
  <si>
    <t>2242128-NB11</t>
  </si>
  <si>
    <t>2242106-NB11</t>
  </si>
  <si>
    <t>2242106-BK11</t>
  </si>
  <si>
    <t>2247080-BK11</t>
  </si>
  <si>
    <t>2244096-CH11</t>
  </si>
  <si>
    <t>2243118-BK11</t>
  </si>
  <si>
    <t>2245039-BG11</t>
  </si>
  <si>
    <t>2247067-BK11</t>
  </si>
  <si>
    <t>2247065-BK11</t>
  </si>
  <si>
    <t>2244076-BR11</t>
  </si>
  <si>
    <t>2247075-PH11</t>
  </si>
  <si>
    <t>2248003-BKSG</t>
  </si>
  <si>
    <t>2245502-PH11</t>
  </si>
  <si>
    <t>2246060-BK11</t>
  </si>
  <si>
    <t>2245039-NB11</t>
  </si>
  <si>
    <t>2247067-GL11</t>
  </si>
  <si>
    <t>2247080-CR11</t>
  </si>
  <si>
    <t>2243185-CR11</t>
  </si>
  <si>
    <t>2247065-CR11</t>
  </si>
  <si>
    <t>2245502-BG11</t>
  </si>
  <si>
    <t>2243185-TN11</t>
  </si>
  <si>
    <t>2244096-TN11</t>
  </si>
  <si>
    <t>2246045-BK11</t>
  </si>
  <si>
    <t>2244097-BR11</t>
  </si>
  <si>
    <t>2244076-CR11</t>
  </si>
  <si>
    <t>2245039-PH11</t>
  </si>
  <si>
    <t>2247074-WH11</t>
  </si>
  <si>
    <t>2245039-GN11</t>
  </si>
  <si>
    <t>2246045-PH11</t>
  </si>
  <si>
    <t>2244097-BG11</t>
  </si>
  <si>
    <t>2243185-BK11</t>
  </si>
  <si>
    <t>2244097-BK11</t>
  </si>
  <si>
    <t>2246060-LG11</t>
  </si>
  <si>
    <t>2245039-LV11</t>
  </si>
  <si>
    <t>2247077-BK11</t>
  </si>
  <si>
    <t>2247077-CO11</t>
  </si>
  <si>
    <t>2243118-BG11</t>
  </si>
  <si>
    <t>2248003-NBPK</t>
  </si>
  <si>
    <t>2246045-BG11</t>
  </si>
  <si>
    <t>2247077-CR11</t>
  </si>
  <si>
    <t>2246060-CR11</t>
  </si>
  <si>
    <t>2243118-TN11</t>
  </si>
  <si>
    <t>2244097-CH11</t>
  </si>
  <si>
    <t>2246045-CR11</t>
  </si>
  <si>
    <t>2246060-BG11</t>
  </si>
  <si>
    <t>2244076-BK11</t>
  </si>
  <si>
    <t>2247065-MR11</t>
  </si>
  <si>
    <t>2246046-BK11</t>
  </si>
  <si>
    <t>2246045-TN11</t>
  </si>
  <si>
    <t>2247075-RD11</t>
  </si>
  <si>
    <t>2246046-TN11</t>
  </si>
  <si>
    <t>2246046-PH11</t>
  </si>
  <si>
    <t>2246046-CR11</t>
  </si>
  <si>
    <t>2244096-PK11</t>
  </si>
  <si>
    <t>2245039-WH11</t>
  </si>
  <si>
    <t>2244076-GN11</t>
  </si>
  <si>
    <t>2247077-MR11</t>
  </si>
  <si>
    <t>2244076-NB11</t>
  </si>
  <si>
    <t>2247074-RD11</t>
  </si>
  <si>
    <t>2244076-BY11</t>
  </si>
  <si>
    <t>2244076-YL11</t>
  </si>
  <si>
    <t>2247080-RD11</t>
  </si>
  <si>
    <t>2247080-PH11</t>
  </si>
  <si>
    <t>2242139-PHCR</t>
  </si>
  <si>
    <t>2244099-BGCO</t>
  </si>
  <si>
    <t>2244105-CO11</t>
  </si>
  <si>
    <t>2247073-BG11</t>
  </si>
  <si>
    <t>2242131-LV11</t>
  </si>
  <si>
    <t>2246069-BG11</t>
  </si>
  <si>
    <t>2244104-CO11</t>
  </si>
  <si>
    <t>2242139-GNCR</t>
  </si>
  <si>
    <t>2245512-BGSL</t>
  </si>
  <si>
    <t>2244103-CO11</t>
  </si>
  <si>
    <t>2242136-CRMR</t>
  </si>
  <si>
    <t>2245044-BGGL</t>
  </si>
  <si>
    <t>2247087-BG11</t>
  </si>
  <si>
    <t>2246069-BK11</t>
  </si>
  <si>
    <t>2245044-BKGL</t>
  </si>
  <si>
    <t>2246056-BG11</t>
  </si>
  <si>
    <t>2247074-BG11</t>
  </si>
  <si>
    <t>2247089-BK11</t>
  </si>
  <si>
    <t>2247087-BK11</t>
  </si>
  <si>
    <t>2242139-BKWH</t>
  </si>
  <si>
    <t>2246069-CR11</t>
  </si>
  <si>
    <t>2245504-BG11</t>
  </si>
  <si>
    <t>2245504-PH11</t>
  </si>
  <si>
    <t>2245051-PKLT</t>
  </si>
  <si>
    <t>2242131-BKPK</t>
  </si>
  <si>
    <t>2244105-BK11</t>
  </si>
  <si>
    <t>2246069-TN11</t>
  </si>
  <si>
    <t>2246070-CR11</t>
  </si>
  <si>
    <t>2241010-BK11</t>
  </si>
  <si>
    <t>2245046-BG11</t>
  </si>
  <si>
    <t>2245051-BG11</t>
  </si>
  <si>
    <t>2244099-CRCO</t>
  </si>
  <si>
    <t>2241010-DP11</t>
  </si>
  <si>
    <t>2247083-BK11</t>
  </si>
  <si>
    <t>2247026-DB11</t>
  </si>
  <si>
    <t>2245512-PKSL</t>
  </si>
  <si>
    <t>2247091-BG11</t>
  </si>
  <si>
    <t>2245508-BG11</t>
  </si>
  <si>
    <t>2242128-GY11</t>
  </si>
  <si>
    <t>2245046-BK11</t>
  </si>
  <si>
    <t>2244099-BKSL</t>
  </si>
  <si>
    <t>2245001-PKBK</t>
  </si>
  <si>
    <t>2247095-MR11</t>
  </si>
  <si>
    <t>2244104-BK11</t>
  </si>
  <si>
    <t>2246056-BK11</t>
  </si>
  <si>
    <t>2247091-BK11</t>
  </si>
  <si>
    <t>2246070-BK11</t>
  </si>
  <si>
    <t>2246070-BG11</t>
  </si>
  <si>
    <t>2247091-TN11</t>
  </si>
  <si>
    <t>2245506-PH11</t>
  </si>
  <si>
    <t>2247026-BR11</t>
  </si>
  <si>
    <t>2246038-BK11</t>
  </si>
  <si>
    <t>2245047-BG11</t>
  </si>
  <si>
    <t>2247089-BR11</t>
  </si>
  <si>
    <t>2247086-BK11</t>
  </si>
  <si>
    <t>2244103-BK11</t>
  </si>
  <si>
    <t>2243171-TN11</t>
  </si>
  <si>
    <t>2246038-BG11</t>
  </si>
  <si>
    <t>2246068-PH11</t>
  </si>
  <si>
    <t>2244096-BR11</t>
  </si>
  <si>
    <t>2244101-CH11</t>
  </si>
  <si>
    <t>2243100-GL11</t>
  </si>
  <si>
    <t>2245510-DKBG</t>
  </si>
  <si>
    <t>2246066-BK11</t>
  </si>
  <si>
    <t>2243172-CR11</t>
  </si>
  <si>
    <t>2244096-BK11</t>
  </si>
  <si>
    <t>2245512-BKSL</t>
  </si>
  <si>
    <t>2246067-BG11</t>
  </si>
  <si>
    <t>2242139-CRMR</t>
  </si>
  <si>
    <t>2243172-BK11</t>
  </si>
  <si>
    <t>2242145-WHBK</t>
  </si>
  <si>
    <t>2243188-CR11</t>
  </si>
  <si>
    <t>2242129-BK11</t>
  </si>
  <si>
    <t>2246080-BRBG</t>
  </si>
  <si>
    <t>2243182-CR11</t>
  </si>
  <si>
    <t>2244101-BK11</t>
  </si>
  <si>
    <t>2242146-PHWH</t>
  </si>
  <si>
    <t>2247095-BK11</t>
  </si>
  <si>
    <t>2246067-BK11</t>
  </si>
  <si>
    <t>2242136-CRGN</t>
  </si>
  <si>
    <t>2243029-BK11</t>
  </si>
  <si>
    <t>2242136-CRPH</t>
  </si>
  <si>
    <t>2246055-TN11</t>
  </si>
  <si>
    <t>2245506-BG11</t>
  </si>
  <si>
    <t>2242090-BG11</t>
  </si>
  <si>
    <t>2243027-GTBK</t>
  </si>
  <si>
    <t>2246066-TN11</t>
  </si>
  <si>
    <t>2246072-BK11</t>
  </si>
  <si>
    <t>2243175-BK11</t>
  </si>
  <si>
    <t>2243188-BK11</t>
  </si>
  <si>
    <t>2243182-BK11</t>
  </si>
  <si>
    <t>2245001-RDBK</t>
  </si>
  <si>
    <t>2246072-GN11</t>
  </si>
  <si>
    <t>2247082-BK11</t>
  </si>
  <si>
    <t>2242143-GN11</t>
  </si>
  <si>
    <t>2246066-CR11</t>
  </si>
  <si>
    <t>2243029-CO11</t>
  </si>
  <si>
    <t>2242145-WHPL</t>
  </si>
  <si>
    <t>2244092-PK11</t>
  </si>
  <si>
    <t>2246072-BG11</t>
  </si>
  <si>
    <t>2241010-PH11</t>
  </si>
  <si>
    <t>2243027-CO11</t>
  </si>
  <si>
    <t>2245503-BG11</t>
  </si>
  <si>
    <t>2243029-GL11</t>
  </si>
  <si>
    <t>2247073-WH11</t>
  </si>
  <si>
    <t>2246080-TNBG</t>
  </si>
  <si>
    <t>2241006-BKWH</t>
  </si>
  <si>
    <t>2242125-BK11</t>
  </si>
  <si>
    <t>2247026-BK11</t>
  </si>
  <si>
    <t>2246070-PH11</t>
  </si>
  <si>
    <t>2243100-BK11</t>
  </si>
  <si>
    <t>2243201-CR11</t>
  </si>
  <si>
    <t>2246073-BK11</t>
  </si>
  <si>
    <t>2242125-BU11</t>
  </si>
  <si>
    <t>2247073-PH11</t>
  </si>
  <si>
    <t>2242141-BR11</t>
  </si>
  <si>
    <t>2246080-CHBG</t>
  </si>
  <si>
    <t>2246055-BG11</t>
  </si>
  <si>
    <t>2247082-BG11</t>
  </si>
  <si>
    <t>2247095-CR11</t>
  </si>
  <si>
    <t>2246048-BK11</t>
  </si>
  <si>
    <t>2246068-DNBU</t>
  </si>
  <si>
    <t>2247082-BU11</t>
  </si>
  <si>
    <t>2245010-BKWH</t>
  </si>
  <si>
    <t>2245505-BGBR</t>
  </si>
  <si>
    <t>2245047-PH11</t>
  </si>
  <si>
    <t>2245511-CR11</t>
  </si>
  <si>
    <t>2246055-BK11</t>
  </si>
  <si>
    <t>2243182-MR11</t>
  </si>
  <si>
    <t>2243202-BG11</t>
  </si>
  <si>
    <t>2243188-PH11</t>
  </si>
  <si>
    <t>2247086-BG11</t>
  </si>
  <si>
    <t>2244096-BG11</t>
  </si>
  <si>
    <t>2243186-PH11</t>
  </si>
  <si>
    <t>2243202-CR11</t>
  </si>
  <si>
    <t>2246048-TN11</t>
  </si>
  <si>
    <t>2243201-BG11</t>
  </si>
  <si>
    <t>2245510-PH11</t>
  </si>
  <si>
    <t>2243172-PH11</t>
  </si>
  <si>
    <t>2243027-RGGL</t>
  </si>
  <si>
    <t>2247084-BK11</t>
  </si>
  <si>
    <t>2245048-BK11</t>
  </si>
  <si>
    <t>2244100-CH11</t>
  </si>
  <si>
    <t>2247081-BG11</t>
  </si>
  <si>
    <t>2247108-BG11</t>
  </si>
  <si>
    <t>2242144-MR11</t>
  </si>
  <si>
    <t>2242146-BKWH</t>
  </si>
  <si>
    <t>2243184-BG11</t>
  </si>
  <si>
    <t>2241006-PHWH</t>
  </si>
  <si>
    <t>2242143-NB11</t>
  </si>
  <si>
    <t>2244093-BG11</t>
  </si>
  <si>
    <t>2244092-TN11</t>
  </si>
  <si>
    <t>2245510-CR11</t>
  </si>
  <si>
    <t>2245503-PH11</t>
  </si>
  <si>
    <t>2246076-CR11</t>
  </si>
  <si>
    <t>2246071-BK11</t>
  </si>
  <si>
    <t>2245511-DKBG</t>
  </si>
  <si>
    <t>2243175-PK11</t>
  </si>
  <si>
    <t>2247086-WH11</t>
  </si>
  <si>
    <t>2243175-BG11</t>
  </si>
  <si>
    <t>2243184-BK11</t>
  </si>
  <si>
    <t>2245048-BG11</t>
  </si>
  <si>
    <t>2243187-CH11</t>
  </si>
  <si>
    <t>2246081-BG11</t>
  </si>
  <si>
    <t>2242090-PH11</t>
  </si>
  <si>
    <t>2246076-BG11</t>
  </si>
  <si>
    <t>2244102-BR11</t>
  </si>
  <si>
    <t>2245506-CR11</t>
  </si>
  <si>
    <t>2247066-BG11</t>
  </si>
  <si>
    <t>2246048-PH11</t>
  </si>
  <si>
    <t>2245511-PH11</t>
  </si>
  <si>
    <t>2246068-DNBK</t>
  </si>
  <si>
    <t>2247064-BK11</t>
  </si>
  <si>
    <t>2246065-CR11</t>
  </si>
  <si>
    <t>2246047-TN11</t>
  </si>
  <si>
    <t>2247045-BK11</t>
  </si>
  <si>
    <t>2242136-BKWH</t>
  </si>
  <si>
    <t>2242144-WH11</t>
  </si>
  <si>
    <t>2243187-BK11</t>
  </si>
  <si>
    <t>2246058-CR11</t>
  </si>
  <si>
    <t>2242126-OL11</t>
  </si>
  <si>
    <t>2245001-BURD</t>
  </si>
  <si>
    <t>2243100-GT11</t>
  </si>
  <si>
    <t>2243184-CR11</t>
  </si>
  <si>
    <t>2246065-BK11</t>
  </si>
  <si>
    <t>2242145-WHPK</t>
  </si>
  <si>
    <t>2245041-MRSG</t>
  </si>
  <si>
    <t>2247084-BG11</t>
  </si>
  <si>
    <t>2245508-PH11</t>
  </si>
  <si>
    <t>2243181-BG11</t>
  </si>
  <si>
    <t>2245505-PKOR</t>
  </si>
  <si>
    <t>2243200-BK11</t>
  </si>
  <si>
    <t>2243200-BG11</t>
  </si>
  <si>
    <t>2244102-CH11</t>
  </si>
  <si>
    <t>2242144-BG11</t>
  </si>
  <si>
    <t>2244102-CR11</t>
  </si>
  <si>
    <t>2246076-LG11</t>
  </si>
  <si>
    <t>2247094-KH11</t>
  </si>
  <si>
    <t>2247108-BK11</t>
  </si>
  <si>
    <t>2243186-BG11</t>
  </si>
  <si>
    <t>2244092-BK11</t>
  </si>
  <si>
    <t>2246058-PH11</t>
  </si>
  <si>
    <t>2242141-TN11</t>
  </si>
  <si>
    <t>2247092-BK11</t>
  </si>
  <si>
    <t>2246057-BG11</t>
  </si>
  <si>
    <t>2243186-BK11</t>
  </si>
  <si>
    <t>2247066-WH11</t>
  </si>
  <si>
    <t>2244077-BG11</t>
  </si>
  <si>
    <t>2246047-DG11</t>
  </si>
  <si>
    <t>2247089-BG11</t>
  </si>
  <si>
    <t>2243181-BK11</t>
  </si>
  <si>
    <t>2246080-BKBG</t>
  </si>
  <si>
    <t>2246076-BK11</t>
  </si>
  <si>
    <t>2246078-RG11</t>
  </si>
  <si>
    <t>2242125-PK11</t>
  </si>
  <si>
    <t>2247053-BK11</t>
  </si>
  <si>
    <t>2247081-BK11</t>
  </si>
  <si>
    <t>2247085-BKWH</t>
  </si>
  <si>
    <t>2246058-TLBU</t>
  </si>
  <si>
    <t>2243190-BK11</t>
  </si>
  <si>
    <t>2247083-BG11</t>
  </si>
  <si>
    <t>2244100-BR11</t>
  </si>
  <si>
    <t>2246079-BG11</t>
  </si>
  <si>
    <t>2243201-BK11</t>
  </si>
  <si>
    <t>2244077-BK11</t>
  </si>
  <si>
    <t>2247092-BG11</t>
  </si>
  <si>
    <t>2247108-CR11</t>
  </si>
  <si>
    <t>2242125-FLBK</t>
  </si>
  <si>
    <t>2242125-GYWH</t>
  </si>
  <si>
    <t>2245508-WH11</t>
  </si>
  <si>
    <t>2242146-PLWH</t>
  </si>
  <si>
    <t>2245041-PHCR</t>
  </si>
  <si>
    <t>2243202-BK11</t>
  </si>
  <si>
    <t>2242132-BK11</t>
  </si>
  <si>
    <t>2244094-KH11</t>
  </si>
  <si>
    <t>2243181-PK11</t>
  </si>
  <si>
    <t>2242136-GYBK</t>
  </si>
  <si>
    <t>2246068-DNSB</t>
  </si>
  <si>
    <t>2247094-MR11</t>
  </si>
  <si>
    <t>2247045-BR11</t>
  </si>
  <si>
    <t>2242142-GL11</t>
  </si>
  <si>
    <t>2247063-BG11</t>
  </si>
  <si>
    <t>2247083-WH11</t>
  </si>
  <si>
    <t>2246082-BK11</t>
  </si>
  <si>
    <t>2246073-GY11</t>
  </si>
  <si>
    <t>2247063-RG11</t>
  </si>
  <si>
    <t>2247073-RD11</t>
  </si>
  <si>
    <t>2246061-BG11</t>
  </si>
  <si>
    <t>2244094-CR11</t>
  </si>
  <si>
    <t>2244075-BG11</t>
  </si>
  <si>
    <t>2242140-CH11</t>
  </si>
  <si>
    <t>2246074-BR11</t>
  </si>
  <si>
    <t>2244094-BK11</t>
  </si>
  <si>
    <t>2246062-BK11</t>
  </si>
  <si>
    <t>2247085-TNWH</t>
  </si>
  <si>
    <t>2245041-NBRD</t>
  </si>
  <si>
    <t>2247066-BK11</t>
  </si>
  <si>
    <t>2245045-BRBG</t>
  </si>
  <si>
    <t>2244077-TN11</t>
  </si>
  <si>
    <t>2246054-BG11</t>
  </si>
  <si>
    <t>2244075-CH11</t>
  </si>
  <si>
    <t>2245042-PK11</t>
  </si>
  <si>
    <t>2246062-BG11</t>
  </si>
  <si>
    <t>2246078-GT11</t>
  </si>
  <si>
    <t>2247036-BG11</t>
  </si>
  <si>
    <t>2247036-BK11</t>
  </si>
  <si>
    <t>2241007-BK11</t>
  </si>
  <si>
    <t>2247094-BK11</t>
  </si>
  <si>
    <t>2243170-BK11</t>
  </si>
  <si>
    <t>2246082-PH11</t>
  </si>
  <si>
    <t>2247088-BG11</t>
  </si>
  <si>
    <t>2247099-BG11</t>
  </si>
  <si>
    <t>2243190-BG11</t>
  </si>
  <si>
    <t>2242140-TN11</t>
  </si>
  <si>
    <t>2246057-BK11</t>
  </si>
  <si>
    <t>2243180-BG11</t>
  </si>
  <si>
    <t>2247083-CR11</t>
  </si>
  <si>
    <t>2246057-TN11</t>
  </si>
  <si>
    <t>2246071-BG11</t>
  </si>
  <si>
    <t>2246078-GL11</t>
  </si>
  <si>
    <t>2246081-CR11</t>
  </si>
  <si>
    <t>2246079-BK11</t>
  </si>
  <si>
    <t>2241007-NB11</t>
  </si>
  <si>
    <t>2247097-CO11</t>
  </si>
  <si>
    <t>2246077-CR11</t>
  </si>
  <si>
    <t>2244093-BK11</t>
  </si>
  <si>
    <t>2243198-BG11</t>
  </si>
  <si>
    <t>2245045-BKPK</t>
  </si>
  <si>
    <t>2243171-BK11</t>
  </si>
  <si>
    <t>2246081-BK11</t>
  </si>
  <si>
    <t>2242141-CH11</t>
  </si>
  <si>
    <t>2243171-BG11</t>
  </si>
  <si>
    <t>2245503-PK11</t>
  </si>
  <si>
    <t>2247099-BK11</t>
  </si>
  <si>
    <t>2242132-TN11</t>
  </si>
  <si>
    <t>2243187-BG11</t>
  </si>
  <si>
    <t>2246054-GN11</t>
  </si>
  <si>
    <t>2244095-CR11</t>
  </si>
  <si>
    <t>2245041-SGTN</t>
  </si>
  <si>
    <t>2244078-BR11</t>
  </si>
  <si>
    <t>2244093-CR11</t>
  </si>
  <si>
    <t>2245505-BKPK</t>
  </si>
  <si>
    <t>2242140-BR11</t>
  </si>
  <si>
    <t>2246074-GY11</t>
  </si>
  <si>
    <t>2247063-BK11</t>
  </si>
  <si>
    <t>2246047-WH11</t>
  </si>
  <si>
    <t>2243180-WH11</t>
  </si>
  <si>
    <t>2243190-BR11</t>
  </si>
  <si>
    <t>2245038-GY11</t>
  </si>
  <si>
    <t>2246064-BK11</t>
  </si>
  <si>
    <t>2245042-BU11</t>
  </si>
  <si>
    <t>2247068-BG11</t>
  </si>
  <si>
    <t>2247090-BK11</t>
  </si>
  <si>
    <t>2248003-BKTQ</t>
  </si>
  <si>
    <t>2247084-WH11</t>
  </si>
  <si>
    <t>2246063-TN11</t>
  </si>
  <si>
    <t>2246077-GL11</t>
  </si>
  <si>
    <t>2244077-GY11</t>
  </si>
  <si>
    <t>2242132-LV11</t>
  </si>
  <si>
    <t>2246079-CR11</t>
  </si>
  <si>
    <t>2244095-TN11</t>
  </si>
  <si>
    <t>2246077-BKGT</t>
  </si>
  <si>
    <t>2243199-BG11</t>
  </si>
  <si>
    <t>2244098-BG11</t>
  </si>
  <si>
    <t>2246082-BR11</t>
  </si>
  <si>
    <t>2247072-RD11</t>
  </si>
  <si>
    <t>2246075-BK11</t>
  </si>
  <si>
    <t>2247063-GY11</t>
  </si>
  <si>
    <t>2246061-BK11</t>
  </si>
  <si>
    <t>2244098-BR11</t>
  </si>
  <si>
    <t>2247088-CR11</t>
  </si>
  <si>
    <t>2242142-DB11</t>
  </si>
  <si>
    <t>2243199-BR11</t>
  </si>
  <si>
    <t>2244101-BG11</t>
  </si>
  <si>
    <t>2245010-YLNB</t>
  </si>
  <si>
    <t>2246063-BK11</t>
  </si>
  <si>
    <t>2243190-PH11</t>
  </si>
  <si>
    <t>2243198-CR11</t>
  </si>
  <si>
    <t>2247072-BK11</t>
  </si>
  <si>
    <t>2243181-MR11</t>
  </si>
  <si>
    <t>2244077-CH11</t>
  </si>
  <si>
    <t>2246063-KH11</t>
  </si>
  <si>
    <t>2247072-BG11</t>
  </si>
  <si>
    <t>2247088-PH11</t>
  </si>
  <si>
    <t>2246080-BGBG</t>
  </si>
  <si>
    <t>2244078-BG11</t>
  </si>
  <si>
    <t>2247064-CR11</t>
  </si>
  <si>
    <t>2247064-BG11</t>
  </si>
  <si>
    <t>2241003-PK11</t>
  </si>
  <si>
    <t>2247100-BK11</t>
  </si>
  <si>
    <t>2243189-BG11</t>
  </si>
  <si>
    <t>2247088-BK11</t>
  </si>
  <si>
    <t>2244075-BK11</t>
  </si>
  <si>
    <t>2247092-TN11</t>
  </si>
  <si>
    <t>2247093-BG11</t>
  </si>
  <si>
    <t>2244098-TN11</t>
  </si>
  <si>
    <t>2246054-BK11</t>
  </si>
  <si>
    <t>2246064-TN11</t>
  </si>
  <si>
    <t>2242129-BG11</t>
  </si>
  <si>
    <t>2243189-BR11</t>
  </si>
  <si>
    <t>2245045-NBRD</t>
  </si>
  <si>
    <t>2245049-BGGN</t>
  </si>
  <si>
    <t>2246083-TN11</t>
  </si>
  <si>
    <t>2247100-BG11</t>
  </si>
  <si>
    <t>2246062-PK11</t>
  </si>
  <si>
    <t>2243189-PH11</t>
  </si>
  <si>
    <t>2244078-CH11</t>
  </si>
  <si>
    <t>2245040-BKCR</t>
  </si>
  <si>
    <t>2246064-BG11</t>
  </si>
  <si>
    <t>2242120-PHGN</t>
  </si>
  <si>
    <t>2247053-BR11</t>
  </si>
  <si>
    <t>2246065-WH11</t>
  </si>
  <si>
    <t>2247105-MR11</t>
  </si>
  <si>
    <t>2242135-TLBU</t>
  </si>
  <si>
    <t>2243180-BK11</t>
  </si>
  <si>
    <t>2244095-BG11</t>
  </si>
  <si>
    <t>2246064-WH11</t>
  </si>
  <si>
    <t>2247097-BK11</t>
  </si>
  <si>
    <t>2242120-BKGY</t>
  </si>
  <si>
    <t>2247097-CH11</t>
  </si>
  <si>
    <t>2247072-WH11</t>
  </si>
  <si>
    <t>2247098-BK11</t>
  </si>
  <si>
    <t>2243200-BR11</t>
  </si>
  <si>
    <t>2247083-PH11</t>
  </si>
  <si>
    <t>2242142-PK11</t>
  </si>
  <si>
    <t>2246074-BK11</t>
  </si>
  <si>
    <t>2246032-TN11</t>
  </si>
  <si>
    <t>2243177-BK11</t>
  </si>
  <si>
    <t>2246075-BG11</t>
  </si>
  <si>
    <t>2244098-CH11</t>
  </si>
  <si>
    <t>2244100-BG11</t>
  </si>
  <si>
    <t>2245037-PL11</t>
  </si>
  <si>
    <t>2247068-BK11</t>
  </si>
  <si>
    <t>2247068-CR11</t>
  </si>
  <si>
    <t>2242121-BU11</t>
  </si>
  <si>
    <t>2244104-GY11</t>
  </si>
  <si>
    <t>2247096-BK11</t>
  </si>
  <si>
    <t>2247100-PH11</t>
  </si>
  <si>
    <t>2243188-LTMV</t>
  </si>
  <si>
    <t>2246073-BU11</t>
  </si>
  <si>
    <t>2247060-CR11</t>
  </si>
  <si>
    <t>2243176-PH11</t>
  </si>
  <si>
    <t>2244075-TN11</t>
  </si>
  <si>
    <t>2244088-PK11</t>
  </si>
  <si>
    <t>2244091-BK11</t>
  </si>
  <si>
    <t>2246053-TLBU</t>
  </si>
  <si>
    <t>2247068-WH11</t>
  </si>
  <si>
    <t>2247090-BR11</t>
  </si>
  <si>
    <t>2247093-BK11</t>
  </si>
  <si>
    <t>2246075-BR11</t>
  </si>
  <si>
    <t>2242122-BKML</t>
  </si>
  <si>
    <t>2243198-BK11</t>
  </si>
  <si>
    <t>2242122-GNML</t>
  </si>
  <si>
    <t>2243192-BG11</t>
  </si>
  <si>
    <t>2243192-CR11</t>
  </si>
  <si>
    <t>2246083-MR11</t>
  </si>
  <si>
    <t>2242121-GY11</t>
  </si>
  <si>
    <t>2243199-BK11</t>
  </si>
  <si>
    <t>2244083-TN11</t>
  </si>
  <si>
    <t>2244084-YL11</t>
  </si>
  <si>
    <t>2246075-PK11</t>
  </si>
  <si>
    <t>2242117-SBWH</t>
  </si>
  <si>
    <t>2242135-BKWH</t>
  </si>
  <si>
    <t>2244084-BU11</t>
  </si>
  <si>
    <t>2244091-TN11</t>
  </si>
  <si>
    <t>2246038-PK11</t>
  </si>
  <si>
    <t>2246083-RG11</t>
  </si>
  <si>
    <t>2247069-MR11</t>
  </si>
  <si>
    <t>2247096-PH11</t>
  </si>
  <si>
    <t>2242124-LV11</t>
  </si>
  <si>
    <t>2242124-TN11</t>
  </si>
  <si>
    <t>2243173-PH11</t>
  </si>
  <si>
    <t>2243176-WH11</t>
  </si>
  <si>
    <t>2243192-BK11</t>
  </si>
  <si>
    <t>2244082-BR11</t>
  </si>
  <si>
    <t>2244082-PH11</t>
  </si>
  <si>
    <t>2244086-BK11</t>
  </si>
  <si>
    <t>2244105-GY11</t>
  </si>
  <si>
    <t>2245050-BKPK</t>
  </si>
  <si>
    <t>2246036-PK11</t>
  </si>
  <si>
    <t>2246039-CR11</t>
  </si>
  <si>
    <t>2246044-BK11</t>
  </si>
  <si>
    <t>2246052-TLBU</t>
  </si>
  <si>
    <t>2246071-GY11</t>
  </si>
  <si>
    <t>2247061-BK11</t>
  </si>
  <si>
    <t>2247061-WH11</t>
  </si>
  <si>
    <t>2247064-RD11</t>
  </si>
  <si>
    <t>2247068-PH11</t>
  </si>
  <si>
    <t>2247104-NB11</t>
  </si>
  <si>
    <t>2242106-BR11</t>
  </si>
  <si>
    <t>2247098-CH11</t>
  </si>
  <si>
    <t>2247098-BG11</t>
  </si>
  <si>
    <t>2241012-BK11</t>
  </si>
  <si>
    <t>2247093-TN11</t>
  </si>
  <si>
    <t>2241012-PK11</t>
  </si>
  <si>
    <t>2243191-CR11</t>
  </si>
  <si>
    <t>2244083-PH11</t>
  </si>
  <si>
    <t>2244103-GY11</t>
  </si>
  <si>
    <t>2247068-PK11</t>
  </si>
  <si>
    <t>2247085-BK11</t>
  </si>
  <si>
    <t>2242123-BG11</t>
  </si>
  <si>
    <t>2243191-BK11</t>
  </si>
  <si>
    <t>2245037-PK11</t>
  </si>
  <si>
    <t>2246039-BG11</t>
  </si>
  <si>
    <t>2246050-BK11</t>
  </si>
  <si>
    <t>2246053-BK11</t>
  </si>
  <si>
    <t>2246053-TN11</t>
  </si>
  <si>
    <t>2246083-BK11</t>
  </si>
  <si>
    <t>2247062-GN11</t>
  </si>
  <si>
    <t>2247078-BK11</t>
  </si>
  <si>
    <t>2241009-PHPK</t>
  </si>
  <si>
    <t>2241009-WHLV</t>
  </si>
  <si>
    <t>2242090-BK11</t>
  </si>
  <si>
    <t>2242116-PKWH</t>
  </si>
  <si>
    <t>2242116-WH11</t>
  </si>
  <si>
    <t>2242117-GNWH</t>
  </si>
  <si>
    <t>2242117-GYWH</t>
  </si>
  <si>
    <t>2242117-PLWH</t>
  </si>
  <si>
    <t>2242118-GYPL</t>
  </si>
  <si>
    <t>2242118-PKSB</t>
  </si>
  <si>
    <t>2242118-PLBK</t>
  </si>
  <si>
    <t>2242118-SBGN</t>
  </si>
  <si>
    <t>2242120-GYBK</t>
  </si>
  <si>
    <t>2242120-PKSB</t>
  </si>
  <si>
    <t>2242121-BK11</t>
  </si>
  <si>
    <t>2242121-WH11</t>
  </si>
  <si>
    <t>2242122-PHML</t>
  </si>
  <si>
    <t>2242123-PK11</t>
  </si>
  <si>
    <t>2242124-BK11</t>
  </si>
  <si>
    <t>2242129-BR11</t>
  </si>
  <si>
    <t>2242131-PH11</t>
  </si>
  <si>
    <t>2243100-WH11</t>
  </si>
  <si>
    <t>2243113-CH11</t>
  </si>
  <si>
    <t>2243113-TN11</t>
  </si>
  <si>
    <t>2243169-BK11</t>
  </si>
  <si>
    <t>2243169-GY11</t>
  </si>
  <si>
    <t>2243169-PH11</t>
  </si>
  <si>
    <t>2243170-GY11</t>
  </si>
  <si>
    <t>2243170-PH11</t>
  </si>
  <si>
    <t>2243171-GY11</t>
  </si>
  <si>
    <t>2243173-CH11</t>
  </si>
  <si>
    <t>2243173-OL11</t>
  </si>
  <si>
    <t>2243176-BK11</t>
  </si>
  <si>
    <t>2243177-GL11</t>
  </si>
  <si>
    <t>2243177-RG11</t>
  </si>
  <si>
    <t>2243178-BK11</t>
  </si>
  <si>
    <t>2243178-PH11</t>
  </si>
  <si>
    <t>2243178-WH11</t>
  </si>
  <si>
    <t>2243179-BK11</t>
  </si>
  <si>
    <t>2243179-GL11</t>
  </si>
  <si>
    <t>2243179-PH11</t>
  </si>
  <si>
    <t>2243184-PK11</t>
  </si>
  <si>
    <t>2244075-GN11</t>
  </si>
  <si>
    <t>2244075-LV11</t>
  </si>
  <si>
    <t>2244075-SB11</t>
  </si>
  <si>
    <t>2244083-BK11</t>
  </si>
  <si>
    <t>2244084-BK11</t>
  </si>
  <si>
    <t>2244085-BG11</t>
  </si>
  <si>
    <t>2244085-BK11</t>
  </si>
  <si>
    <t>2244085-PH11</t>
  </si>
  <si>
    <t>2244086-LV11</t>
  </si>
  <si>
    <t>2244086-PK11</t>
  </si>
  <si>
    <t>2244087-BK11</t>
  </si>
  <si>
    <t>2244087-SG11</t>
  </si>
  <si>
    <t>2244087-TN11</t>
  </si>
  <si>
    <t>2244088-BG11</t>
  </si>
  <si>
    <t>2244089-BK11</t>
  </si>
  <si>
    <t>2244089-PK11</t>
  </si>
  <si>
    <t>2244089-YL11</t>
  </si>
  <si>
    <t>2244090-BK11</t>
  </si>
  <si>
    <t>2244090-PK11</t>
  </si>
  <si>
    <t>2244090-SG11</t>
  </si>
  <si>
    <t>2244091-PK11</t>
  </si>
  <si>
    <t>2244093-MR11</t>
  </si>
  <si>
    <t>2245001-BROR</t>
  </si>
  <si>
    <t>2245001-GNBK</t>
  </si>
  <si>
    <t>2245001-GYPK</t>
  </si>
  <si>
    <t>2245001-PKNB</t>
  </si>
  <si>
    <t>2245010-BUWH</t>
  </si>
  <si>
    <t>2245010-NBRD</t>
  </si>
  <si>
    <t>2245010-RDWH</t>
  </si>
  <si>
    <t>2245011-BK11</t>
  </si>
  <si>
    <t>2245011-BRBK</t>
  </si>
  <si>
    <t>2245011-BUBK</t>
  </si>
  <si>
    <t>2245011-GYBK</t>
  </si>
  <si>
    <t>2245011-MRBK</t>
  </si>
  <si>
    <t>2245011-YLBK</t>
  </si>
  <si>
    <t>2245013-BK11</t>
  </si>
  <si>
    <t>2245013-BKBR</t>
  </si>
  <si>
    <t>2245013-RDBK</t>
  </si>
  <si>
    <t>2245038-BK11</t>
  </si>
  <si>
    <t>2245040-BRTN</t>
  </si>
  <si>
    <t>2245043-BG11</t>
  </si>
  <si>
    <t>2245043-BK11</t>
  </si>
  <si>
    <t>2245051-RD11</t>
  </si>
  <si>
    <t>2246031-BK11</t>
  </si>
  <si>
    <t>2246031-PK11</t>
  </si>
  <si>
    <t>2246032-PK11</t>
  </si>
  <si>
    <t>2246036-BG11</t>
  </si>
  <si>
    <t>2246036-BK11</t>
  </si>
  <si>
    <t>2246037-BK11</t>
  </si>
  <si>
    <t>2246037-PH11</t>
  </si>
  <si>
    <t>2246037-RG11</t>
  </si>
  <si>
    <t>2246037-TN11</t>
  </si>
  <si>
    <t>2246039-BK11</t>
  </si>
  <si>
    <t>2246044-BG11</t>
  </si>
  <si>
    <t>2246044-CR11</t>
  </si>
  <si>
    <t>2246044-PH11</t>
  </si>
  <si>
    <t>2246050-BG11</t>
  </si>
  <si>
    <t>2246050-CR11</t>
  </si>
  <si>
    <t>2246051-BK11</t>
  </si>
  <si>
    <t>2246051-CR11</t>
  </si>
  <si>
    <t>2246051-TN11</t>
  </si>
  <si>
    <t>2246052-BK11</t>
  </si>
  <si>
    <t>2246052-PH11</t>
  </si>
  <si>
    <t>2246052-TN11</t>
  </si>
  <si>
    <t>2246053-PH11</t>
  </si>
  <si>
    <t>2246064-RD11</t>
  </si>
  <si>
    <t>2247053-TN11</t>
  </si>
  <si>
    <t>2247060-BK11</t>
  </si>
  <si>
    <t>2247060-PK11</t>
  </si>
  <si>
    <t>2247061-PK11</t>
  </si>
  <si>
    <t>2247062-BK11</t>
  </si>
  <si>
    <t>2247062-PK11</t>
  </si>
  <si>
    <t>2247063-RD11</t>
  </si>
  <si>
    <t>2247069-BK11</t>
  </si>
  <si>
    <t>2247069-PH11</t>
  </si>
  <si>
    <t>2247078-BG11</t>
  </si>
  <si>
    <t>2247079-BG11</t>
  </si>
  <si>
    <t>2247079-BK11</t>
  </si>
  <si>
    <t>2247079-CR11</t>
  </si>
  <si>
    <t>2247085-CR11</t>
  </si>
  <si>
    <t>2247096-BG11</t>
  </si>
  <si>
    <t>2247097-SL11</t>
  </si>
  <si>
    <t>2247099-SL11</t>
  </si>
  <si>
    <t>2247104-OL11</t>
  </si>
  <si>
    <t>2247105-BK11</t>
  </si>
  <si>
    <t>2242147-BG11</t>
  </si>
  <si>
    <t>2242147-BK11</t>
  </si>
  <si>
    <t>2243069-RG11</t>
  </si>
  <si>
    <t>2243069-CO11</t>
  </si>
  <si>
    <t>2242147-PH11</t>
  </si>
  <si>
    <t>2243069-BK11</t>
  </si>
  <si>
    <t>2242137-WHBG</t>
  </si>
  <si>
    <t>2242137-WHGY</t>
  </si>
  <si>
    <t>2242134-BKWH</t>
  </si>
  <si>
    <t>2242134-RGBK</t>
  </si>
  <si>
    <t>2242134-BGCH</t>
  </si>
  <si>
    <t>2242137-WHGN</t>
  </si>
  <si>
    <t>2244001-BG11</t>
  </si>
  <si>
    <t>2246043-CH11</t>
  </si>
  <si>
    <t>2243098-BK11</t>
  </si>
  <si>
    <t>2244061-BG11</t>
  </si>
  <si>
    <t>2246043-TN11</t>
  </si>
  <si>
    <t>2244061-TN11</t>
  </si>
  <si>
    <t>2243070-BK11</t>
  </si>
  <si>
    <t>2243098-BG11</t>
  </si>
  <si>
    <t>2243070-CR11</t>
  </si>
  <si>
    <t>2244061-BR11</t>
  </si>
  <si>
    <t>2244001-BK11</t>
  </si>
  <si>
    <t>2244001-CH11</t>
  </si>
  <si>
    <t>2244006-BGMR</t>
  </si>
  <si>
    <t>2244006-CRBK</t>
  </si>
  <si>
    <t>2244006-BKTN</t>
  </si>
  <si>
    <t>2244001-TN11</t>
  </si>
  <si>
    <t>2243070-BR11</t>
  </si>
  <si>
    <t>2244061-BK11</t>
  </si>
  <si>
    <t>2243098-PH11</t>
  </si>
  <si>
    <t>2246043-BK11</t>
  </si>
  <si>
    <t>2246030-CR11</t>
  </si>
  <si>
    <t>2246030-BK11</t>
  </si>
  <si>
    <t>2246043-BG11</t>
  </si>
  <si>
    <t>2243070-BG11</t>
  </si>
  <si>
    <t>2243070-PH11</t>
  </si>
  <si>
    <t>2244061-CH11</t>
  </si>
  <si>
    <t>2243098-CH11</t>
  </si>
  <si>
    <t>2246030-BG11</t>
  </si>
  <si>
    <t>2243070-TN11</t>
  </si>
  <si>
    <t>2246030-TN11</t>
  </si>
  <si>
    <t>2244006-BUGN</t>
  </si>
  <si>
    <t>2243098-TN11</t>
  </si>
  <si>
    <t>2244006-GNCR</t>
  </si>
  <si>
    <t>SKU</t>
  </si>
  <si>
    <t>Lead Time in days</t>
  </si>
  <si>
    <t>Per month Sales  units</t>
  </si>
  <si>
    <t>Current inventory in the warehouse</t>
  </si>
  <si>
    <t>Grand Total</t>
  </si>
  <si>
    <t>Avg Monthly Sales</t>
  </si>
  <si>
    <t>Forecast (Next 60 Days)</t>
  </si>
  <si>
    <t>Method Used</t>
  </si>
  <si>
    <t>Simple Moving Average</t>
  </si>
  <si>
    <t xml:space="preserve">SKU </t>
  </si>
  <si>
    <t>ArticleType</t>
  </si>
  <si>
    <t>DOC Required</t>
  </si>
  <si>
    <t>Forecast Daily Sale</t>
  </si>
  <si>
    <t>Required Quantity</t>
  </si>
  <si>
    <t>Current Stock</t>
  </si>
  <si>
    <t>Shortages/Excess</t>
  </si>
  <si>
    <t>Vendor</t>
  </si>
  <si>
    <t>Lead Time</t>
  </si>
  <si>
    <t>Shortage</t>
  </si>
  <si>
    <t>Qty Needed for Lead Time</t>
  </si>
  <si>
    <t>Suggested PO Qty</t>
  </si>
  <si>
    <t>Final PO Value</t>
  </si>
  <si>
    <t>Total Required</t>
  </si>
  <si>
    <t>Mundka</t>
  </si>
  <si>
    <t>Allocation Logic</t>
  </si>
  <si>
    <t>FBA (11 DOC)</t>
  </si>
  <si>
    <t>Q-Commerce (6 DOC)</t>
  </si>
  <si>
    <t>DOC is taken as 11 for FBA and DOC is taken as 6 for Q-Commerce</t>
  </si>
  <si>
    <t>Purphase Price (asssumed since selling price not available in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</si>
</sst>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43" formatCode="_ * #,##0.00_ ;_ * \-#,##0.00_ ;_ * &quot;-&quot;??_ ;_ @_ 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33" borderId="10" xfId="0" applyFill="1" applyBorder="1"/>
    <xf numFmtId="17" fontId="0" fillId="33" borderId="10" xfId="0" applyNumberFormat="1" applyFill="1" applyBorder="1"/>
    <xf numFmtId="0" fontId="0" fillId="0" borderId="0" xfId="0" applyAlignment="1">
      <alignment horizontal="left"/>
    </xf>
    <xf numFmtId="0" fontId="0" fillId="33" borderId="11" xfId="0" applyFill="1" applyBorder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7" fontId="0" fillId="34" borderId="0" xfId="0" applyNumberFormat="1" applyFill="1"/>
    <xf numFmtId="43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5F4D-23D3-734E-B7E8-99229BDD7DC1}">
  <dimension ref="A1:C45"/>
  <sheetViews>
    <sheetView workbookViewId="0">
      <selection activeCell="K29" sqref="K29"/>
    </sheetView>
  </sheetViews>
  <sheetFormatPr defaultColWidth="11.19921875" defaultRowHeight="15.6" x14ac:dyDescent="0.3"/>
  <cols>
    <col min="1" max="1" width="14" bestFit="1" customWidth="1"/>
    <col min="2" max="2" width="11.69921875" bestFit="1" customWidth="1"/>
    <col min="3" max="3" width="12.19921875" customWidth="1"/>
  </cols>
  <sheetData>
    <row r="1" spans="1:3" x14ac:dyDescent="0.3">
      <c r="A1" s="1" t="s">
        <v>50</v>
      </c>
      <c r="B1" t="s">
        <v>817</v>
      </c>
      <c r="C1" t="s">
        <v>5</v>
      </c>
    </row>
    <row r="2" spans="1:3" x14ac:dyDescent="0.3">
      <c r="A2" s="3" t="s">
        <v>6</v>
      </c>
      <c r="B2">
        <v>45</v>
      </c>
      <c r="C2">
        <v>270</v>
      </c>
    </row>
    <row r="3" spans="1:3" x14ac:dyDescent="0.3">
      <c r="A3" s="3" t="s">
        <v>7</v>
      </c>
      <c r="B3">
        <v>45</v>
      </c>
      <c r="C3">
        <v>270</v>
      </c>
    </row>
    <row r="4" spans="1:3" x14ac:dyDescent="0.3">
      <c r="A4" s="3" t="s">
        <v>8</v>
      </c>
      <c r="B4">
        <v>45</v>
      </c>
      <c r="C4">
        <v>270</v>
      </c>
    </row>
    <row r="5" spans="1:3" x14ac:dyDescent="0.3">
      <c r="A5" s="3" t="s">
        <v>9</v>
      </c>
      <c r="B5">
        <v>45</v>
      </c>
      <c r="C5">
        <v>270</v>
      </c>
    </row>
    <row r="6" spans="1:3" x14ac:dyDescent="0.3">
      <c r="A6" s="3" t="s">
        <v>10</v>
      </c>
      <c r="B6">
        <v>45</v>
      </c>
      <c r="C6">
        <v>270</v>
      </c>
    </row>
    <row r="7" spans="1:3" x14ac:dyDescent="0.3">
      <c r="A7" s="3" t="s">
        <v>11</v>
      </c>
      <c r="B7">
        <v>90</v>
      </c>
      <c r="C7">
        <v>1080</v>
      </c>
    </row>
    <row r="8" spans="1:3" x14ac:dyDescent="0.3">
      <c r="A8" s="3" t="s">
        <v>12</v>
      </c>
      <c r="B8">
        <v>30</v>
      </c>
      <c r="C8">
        <v>180</v>
      </c>
    </row>
    <row r="9" spans="1:3" x14ac:dyDescent="0.3">
      <c r="A9" s="3" t="s">
        <v>13</v>
      </c>
      <c r="B9">
        <v>45</v>
      </c>
      <c r="C9">
        <v>270</v>
      </c>
    </row>
    <row r="10" spans="1:3" x14ac:dyDescent="0.3">
      <c r="A10" s="3" t="s">
        <v>14</v>
      </c>
      <c r="B10">
        <v>30</v>
      </c>
      <c r="C10">
        <v>180</v>
      </c>
    </row>
    <row r="11" spans="1:3" x14ac:dyDescent="0.3">
      <c r="A11" s="3" t="s">
        <v>15</v>
      </c>
      <c r="B11">
        <v>60</v>
      </c>
      <c r="C11">
        <v>720</v>
      </c>
    </row>
    <row r="12" spans="1:3" x14ac:dyDescent="0.3">
      <c r="A12" s="3" t="s">
        <v>16</v>
      </c>
      <c r="B12">
        <v>60</v>
      </c>
      <c r="C12">
        <v>1080</v>
      </c>
    </row>
    <row r="13" spans="1:3" x14ac:dyDescent="0.3">
      <c r="A13" s="3" t="s">
        <v>17</v>
      </c>
      <c r="B13">
        <v>90</v>
      </c>
      <c r="C13">
        <v>1440</v>
      </c>
    </row>
    <row r="14" spans="1:3" x14ac:dyDescent="0.3">
      <c r="A14" s="3" t="s">
        <v>18</v>
      </c>
      <c r="B14">
        <v>45</v>
      </c>
      <c r="C14">
        <v>270</v>
      </c>
    </row>
    <row r="15" spans="1:3" x14ac:dyDescent="0.3">
      <c r="A15" s="3" t="s">
        <v>19</v>
      </c>
      <c r="B15">
        <v>45</v>
      </c>
      <c r="C15">
        <v>270</v>
      </c>
    </row>
    <row r="16" spans="1:3" x14ac:dyDescent="0.3">
      <c r="A16" s="3" t="s">
        <v>20</v>
      </c>
      <c r="B16">
        <v>45</v>
      </c>
      <c r="C16">
        <v>270</v>
      </c>
    </row>
    <row r="17" spans="1:3" x14ac:dyDescent="0.3">
      <c r="A17" s="3" t="s">
        <v>21</v>
      </c>
      <c r="B17">
        <v>60</v>
      </c>
      <c r="C17">
        <v>1080</v>
      </c>
    </row>
    <row r="18" spans="1:3" x14ac:dyDescent="0.3">
      <c r="A18" s="3" t="s">
        <v>22</v>
      </c>
      <c r="B18">
        <v>45</v>
      </c>
      <c r="C18">
        <v>270</v>
      </c>
    </row>
    <row r="19" spans="1:3" x14ac:dyDescent="0.3">
      <c r="A19" s="3" t="s">
        <v>23</v>
      </c>
      <c r="B19">
        <v>45</v>
      </c>
      <c r="C19">
        <v>270</v>
      </c>
    </row>
    <row r="20" spans="1:3" x14ac:dyDescent="0.3">
      <c r="A20" s="3" t="s">
        <v>24</v>
      </c>
      <c r="B20">
        <v>30</v>
      </c>
      <c r="C20">
        <v>180</v>
      </c>
    </row>
    <row r="21" spans="1:3" x14ac:dyDescent="0.3">
      <c r="A21" s="3" t="s">
        <v>25</v>
      </c>
      <c r="B21">
        <v>45</v>
      </c>
      <c r="C21">
        <v>270</v>
      </c>
    </row>
    <row r="22" spans="1:3" x14ac:dyDescent="0.3">
      <c r="A22" s="3" t="s">
        <v>26</v>
      </c>
      <c r="B22">
        <v>30</v>
      </c>
      <c r="C22">
        <v>180</v>
      </c>
    </row>
    <row r="23" spans="1:3" x14ac:dyDescent="0.3">
      <c r="A23" s="3" t="s">
        <v>27</v>
      </c>
      <c r="B23">
        <v>45</v>
      </c>
      <c r="C23">
        <v>270</v>
      </c>
    </row>
    <row r="24" spans="1:3" x14ac:dyDescent="0.3">
      <c r="A24" s="3" t="s">
        <v>28</v>
      </c>
      <c r="B24">
        <v>30</v>
      </c>
      <c r="C24">
        <v>180</v>
      </c>
    </row>
    <row r="25" spans="1:3" x14ac:dyDescent="0.3">
      <c r="A25" s="3" t="s">
        <v>29</v>
      </c>
      <c r="B25">
        <v>45</v>
      </c>
      <c r="C25">
        <v>270</v>
      </c>
    </row>
    <row r="26" spans="1:3" x14ac:dyDescent="0.3">
      <c r="A26" s="3" t="s">
        <v>30</v>
      </c>
      <c r="B26">
        <v>90</v>
      </c>
      <c r="C26">
        <v>1440</v>
      </c>
    </row>
    <row r="27" spans="1:3" x14ac:dyDescent="0.3">
      <c r="A27" s="3" t="s">
        <v>31</v>
      </c>
      <c r="B27">
        <v>30</v>
      </c>
      <c r="C27">
        <v>180</v>
      </c>
    </row>
    <row r="28" spans="1:3" x14ac:dyDescent="0.3">
      <c r="A28" s="3" t="s">
        <v>32</v>
      </c>
      <c r="B28">
        <v>30</v>
      </c>
      <c r="C28">
        <v>180</v>
      </c>
    </row>
    <row r="29" spans="1:3" x14ac:dyDescent="0.3">
      <c r="A29" s="3" t="s">
        <v>33</v>
      </c>
      <c r="B29">
        <v>45</v>
      </c>
      <c r="C29">
        <v>270</v>
      </c>
    </row>
    <row r="30" spans="1:3" x14ac:dyDescent="0.3">
      <c r="A30" s="3" t="s">
        <v>34</v>
      </c>
      <c r="B30">
        <v>30</v>
      </c>
      <c r="C30">
        <v>180</v>
      </c>
    </row>
    <row r="31" spans="1:3" x14ac:dyDescent="0.3">
      <c r="A31" s="3" t="s">
        <v>35</v>
      </c>
      <c r="B31">
        <v>30</v>
      </c>
      <c r="C31">
        <v>180</v>
      </c>
    </row>
    <row r="32" spans="1:3" x14ac:dyDescent="0.3">
      <c r="A32" s="3" t="s">
        <v>36</v>
      </c>
      <c r="B32">
        <v>45</v>
      </c>
      <c r="C32">
        <v>270</v>
      </c>
    </row>
    <row r="33" spans="1:3" x14ac:dyDescent="0.3">
      <c r="A33" s="3" t="s">
        <v>37</v>
      </c>
      <c r="B33">
        <v>30</v>
      </c>
      <c r="C33">
        <v>180</v>
      </c>
    </row>
    <row r="34" spans="1:3" x14ac:dyDescent="0.3">
      <c r="A34" s="3" t="s">
        <v>38</v>
      </c>
      <c r="B34">
        <v>45</v>
      </c>
      <c r="C34">
        <v>270</v>
      </c>
    </row>
    <row r="35" spans="1:3" x14ac:dyDescent="0.3">
      <c r="A35" s="3" t="s">
        <v>39</v>
      </c>
      <c r="B35">
        <v>30</v>
      </c>
      <c r="C35">
        <v>180</v>
      </c>
    </row>
    <row r="36" spans="1:3" x14ac:dyDescent="0.3">
      <c r="A36" s="3" t="s">
        <v>40</v>
      </c>
      <c r="B36">
        <v>30</v>
      </c>
      <c r="C36">
        <v>180</v>
      </c>
    </row>
    <row r="37" spans="1:3" x14ac:dyDescent="0.3">
      <c r="A37" s="3" t="s">
        <v>41</v>
      </c>
      <c r="B37">
        <v>90</v>
      </c>
      <c r="C37">
        <v>1440</v>
      </c>
    </row>
    <row r="38" spans="1:3" x14ac:dyDescent="0.3">
      <c r="A38" s="3" t="s">
        <v>42</v>
      </c>
      <c r="B38">
        <v>45</v>
      </c>
      <c r="C38">
        <v>270</v>
      </c>
    </row>
    <row r="39" spans="1:3" x14ac:dyDescent="0.3">
      <c r="A39" s="3" t="s">
        <v>43</v>
      </c>
      <c r="B39">
        <v>30</v>
      </c>
      <c r="C39">
        <v>180</v>
      </c>
    </row>
    <row r="40" spans="1:3" x14ac:dyDescent="0.3">
      <c r="A40" s="3" t="s">
        <v>44</v>
      </c>
      <c r="B40">
        <v>45</v>
      </c>
      <c r="C40">
        <v>270</v>
      </c>
    </row>
    <row r="41" spans="1:3" x14ac:dyDescent="0.3">
      <c r="A41" s="3" t="s">
        <v>45</v>
      </c>
      <c r="B41">
        <v>90</v>
      </c>
      <c r="C41">
        <v>1440</v>
      </c>
    </row>
    <row r="42" spans="1:3" x14ac:dyDescent="0.3">
      <c r="A42" s="3" t="s">
        <v>46</v>
      </c>
      <c r="B42">
        <v>30</v>
      </c>
      <c r="C42">
        <v>180</v>
      </c>
    </row>
    <row r="43" spans="1:3" x14ac:dyDescent="0.3">
      <c r="A43" s="3" t="s">
        <v>47</v>
      </c>
      <c r="B43">
        <v>45</v>
      </c>
      <c r="C43">
        <v>270</v>
      </c>
    </row>
    <row r="44" spans="1:3" x14ac:dyDescent="0.3">
      <c r="A44" s="3" t="s">
        <v>48</v>
      </c>
      <c r="B44">
        <v>90</v>
      </c>
      <c r="C44">
        <v>1440</v>
      </c>
    </row>
    <row r="45" spans="1:3" x14ac:dyDescent="0.3">
      <c r="A45" s="3" t="s">
        <v>49</v>
      </c>
      <c r="B45">
        <v>90</v>
      </c>
      <c r="C45">
        <v>2880</v>
      </c>
    </row>
  </sheetData>
  <autoFilter ref="A1:C45" xr:uid="{9C745F4D-23D3-734E-B7E8-99229BDD7DC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7FD0-1F16-EA4A-93AB-A69667DFFD7E}">
  <dimension ref="A1:B7"/>
  <sheetViews>
    <sheetView workbookViewId="0">
      <selection activeCell="B3" sqref="B3"/>
    </sheetView>
  </sheetViews>
  <sheetFormatPr defaultColWidth="11.19921875" defaultRowHeight="15.6" x14ac:dyDescent="0.3"/>
  <cols>
    <col min="1" max="1" width="10.296875" bestFit="1" customWidth="1"/>
    <col min="2" max="2" width="14.5" bestFit="1" customWidth="1"/>
  </cols>
  <sheetData>
    <row r="1" spans="1:2" x14ac:dyDescent="0.3">
      <c r="A1" t="s">
        <v>52</v>
      </c>
      <c r="B1" t="s">
        <v>53</v>
      </c>
    </row>
    <row r="2" spans="1:2" x14ac:dyDescent="0.3">
      <c r="A2" s="3" t="s">
        <v>2</v>
      </c>
      <c r="B2">
        <v>45</v>
      </c>
    </row>
    <row r="3" spans="1:2" x14ac:dyDescent="0.3">
      <c r="A3" s="3" t="s">
        <v>1</v>
      </c>
      <c r="B3">
        <v>30</v>
      </c>
    </row>
    <row r="4" spans="1:2" x14ac:dyDescent="0.3">
      <c r="A4" s="3" t="s">
        <v>0</v>
      </c>
      <c r="B4">
        <v>30</v>
      </c>
    </row>
    <row r="5" spans="1:2" x14ac:dyDescent="0.3">
      <c r="A5" s="3" t="s">
        <v>3</v>
      </c>
      <c r="B5">
        <v>0</v>
      </c>
    </row>
    <row r="6" spans="1:2" x14ac:dyDescent="0.3">
      <c r="A6" s="3" t="s">
        <v>4</v>
      </c>
      <c r="B6">
        <v>60</v>
      </c>
    </row>
    <row r="7" spans="1:2" x14ac:dyDescent="0.3">
      <c r="A7" s="3" t="s">
        <v>51</v>
      </c>
      <c r="B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C53D1-3C8A-EC49-B72D-7ADAA4E59C98}">
  <dimension ref="A1:B806"/>
  <sheetViews>
    <sheetView topLeftCell="A145" workbookViewId="0">
      <selection activeCell="B153" sqref="B153"/>
    </sheetView>
  </sheetViews>
  <sheetFormatPr defaultColWidth="11.19921875" defaultRowHeight="15.6" x14ac:dyDescent="0.3"/>
  <sheetData>
    <row r="1" spans="1:2" x14ac:dyDescent="0.3">
      <c r="A1" t="s">
        <v>6</v>
      </c>
      <c r="B1" t="s">
        <v>6</v>
      </c>
    </row>
    <row r="2" spans="1:2" x14ac:dyDescent="0.3">
      <c r="A2" t="s">
        <v>6</v>
      </c>
      <c r="B2" t="s">
        <v>388</v>
      </c>
    </row>
    <row r="3" spans="1:2" x14ac:dyDescent="0.3">
      <c r="A3" t="s">
        <v>6</v>
      </c>
      <c r="B3" t="s">
        <v>368</v>
      </c>
    </row>
    <row r="4" spans="1:2" x14ac:dyDescent="0.3">
      <c r="A4" t="s">
        <v>6</v>
      </c>
      <c r="B4" t="s">
        <v>245</v>
      </c>
    </row>
    <row r="5" spans="1:2" x14ac:dyDescent="0.3">
      <c r="A5" t="s">
        <v>6</v>
      </c>
      <c r="B5" t="s">
        <v>794</v>
      </c>
    </row>
    <row r="6" spans="1:2" x14ac:dyDescent="0.3">
      <c r="A6" t="s">
        <v>6</v>
      </c>
      <c r="B6" t="s">
        <v>234</v>
      </c>
    </row>
    <row r="7" spans="1:2" x14ac:dyDescent="0.3">
      <c r="A7" t="s">
        <v>6</v>
      </c>
      <c r="B7" t="s">
        <v>139</v>
      </c>
    </row>
    <row r="8" spans="1:2" x14ac:dyDescent="0.3">
      <c r="A8" t="s">
        <v>6</v>
      </c>
      <c r="B8" t="s">
        <v>358</v>
      </c>
    </row>
    <row r="9" spans="1:2" x14ac:dyDescent="0.3">
      <c r="A9" t="s">
        <v>6</v>
      </c>
      <c r="B9" t="s">
        <v>328</v>
      </c>
    </row>
    <row r="10" spans="1:2" x14ac:dyDescent="0.3">
      <c r="A10" t="s">
        <v>7</v>
      </c>
      <c r="B10" t="s">
        <v>7</v>
      </c>
    </row>
    <row r="11" spans="1:2" x14ac:dyDescent="0.3">
      <c r="A11" t="s">
        <v>7</v>
      </c>
      <c r="B11" t="s">
        <v>244</v>
      </c>
    </row>
    <row r="12" spans="1:2" x14ac:dyDescent="0.3">
      <c r="A12" t="s">
        <v>7</v>
      </c>
      <c r="B12" t="s">
        <v>408</v>
      </c>
    </row>
    <row r="13" spans="1:2" x14ac:dyDescent="0.3">
      <c r="A13" t="s">
        <v>7</v>
      </c>
      <c r="B13" t="s">
        <v>564</v>
      </c>
    </row>
    <row r="14" spans="1:2" x14ac:dyDescent="0.3">
      <c r="A14" t="s">
        <v>7</v>
      </c>
      <c r="B14" t="s">
        <v>715</v>
      </c>
    </row>
    <row r="15" spans="1:2" x14ac:dyDescent="0.3">
      <c r="A15" t="s">
        <v>7</v>
      </c>
      <c r="B15" t="s">
        <v>300</v>
      </c>
    </row>
    <row r="16" spans="1:2" x14ac:dyDescent="0.3">
      <c r="A16" t="s">
        <v>7</v>
      </c>
      <c r="B16" t="s">
        <v>309</v>
      </c>
    </row>
    <row r="17" spans="1:2" x14ac:dyDescent="0.3">
      <c r="A17" t="s">
        <v>7</v>
      </c>
      <c r="B17" t="s">
        <v>252</v>
      </c>
    </row>
    <row r="18" spans="1:2" x14ac:dyDescent="0.3">
      <c r="A18" t="s">
        <v>7</v>
      </c>
      <c r="B18" t="s">
        <v>518</v>
      </c>
    </row>
    <row r="19" spans="1:2" x14ac:dyDescent="0.3">
      <c r="A19" t="s">
        <v>7</v>
      </c>
      <c r="B19" t="s">
        <v>444</v>
      </c>
    </row>
    <row r="20" spans="1:2" x14ac:dyDescent="0.3">
      <c r="A20" t="s">
        <v>7</v>
      </c>
      <c r="B20" t="s">
        <v>571</v>
      </c>
    </row>
    <row r="21" spans="1:2" x14ac:dyDescent="0.3">
      <c r="A21" t="s">
        <v>8</v>
      </c>
      <c r="B21" t="s">
        <v>8</v>
      </c>
    </row>
    <row r="22" spans="1:2" x14ac:dyDescent="0.3">
      <c r="A22" t="s">
        <v>8</v>
      </c>
      <c r="B22" t="s">
        <v>258</v>
      </c>
    </row>
    <row r="23" spans="1:2" x14ac:dyDescent="0.3">
      <c r="A23" t="s">
        <v>8</v>
      </c>
      <c r="B23" t="s">
        <v>781</v>
      </c>
    </row>
    <row r="24" spans="1:2" x14ac:dyDescent="0.3">
      <c r="A24" t="s">
        <v>8</v>
      </c>
      <c r="B24" t="s">
        <v>782</v>
      </c>
    </row>
    <row r="25" spans="1:2" x14ac:dyDescent="0.3">
      <c r="A25" t="s">
        <v>8</v>
      </c>
      <c r="B25" t="s">
        <v>313</v>
      </c>
    </row>
    <row r="26" spans="1:2" x14ac:dyDescent="0.3">
      <c r="A26" t="s">
        <v>8</v>
      </c>
      <c r="B26" t="s">
        <v>64</v>
      </c>
    </row>
    <row r="27" spans="1:2" x14ac:dyDescent="0.3">
      <c r="A27" t="s">
        <v>8</v>
      </c>
      <c r="B27" t="s">
        <v>678</v>
      </c>
    </row>
    <row r="28" spans="1:2" x14ac:dyDescent="0.3">
      <c r="A28" t="s">
        <v>8</v>
      </c>
      <c r="B28" t="s">
        <v>307</v>
      </c>
    </row>
    <row r="29" spans="1:2" x14ac:dyDescent="0.3">
      <c r="A29" t="s">
        <v>8</v>
      </c>
      <c r="B29" t="s">
        <v>406</v>
      </c>
    </row>
    <row r="30" spans="1:2" x14ac:dyDescent="0.3">
      <c r="A30" t="s">
        <v>8</v>
      </c>
      <c r="B30" t="s">
        <v>783</v>
      </c>
    </row>
    <row r="31" spans="1:2" x14ac:dyDescent="0.3">
      <c r="A31" t="s">
        <v>8</v>
      </c>
      <c r="B31" t="s">
        <v>166</v>
      </c>
    </row>
    <row r="32" spans="1:2" x14ac:dyDescent="0.3">
      <c r="A32" t="s">
        <v>8</v>
      </c>
      <c r="B32" t="s">
        <v>367</v>
      </c>
    </row>
    <row r="33" spans="1:2" x14ac:dyDescent="0.3">
      <c r="A33" t="s">
        <v>8</v>
      </c>
      <c r="B33" t="s">
        <v>265</v>
      </c>
    </row>
    <row r="34" spans="1:2" x14ac:dyDescent="0.3">
      <c r="A34" t="s">
        <v>8</v>
      </c>
      <c r="B34" t="s">
        <v>70</v>
      </c>
    </row>
    <row r="35" spans="1:2" x14ac:dyDescent="0.3">
      <c r="A35" t="s">
        <v>8</v>
      </c>
      <c r="B35" t="s">
        <v>223</v>
      </c>
    </row>
    <row r="36" spans="1:2" x14ac:dyDescent="0.3">
      <c r="A36" t="s">
        <v>8</v>
      </c>
      <c r="B36" t="s">
        <v>294</v>
      </c>
    </row>
    <row r="37" spans="1:2" x14ac:dyDescent="0.3">
      <c r="A37" t="s">
        <v>8</v>
      </c>
      <c r="B37" t="s">
        <v>155</v>
      </c>
    </row>
    <row r="38" spans="1:2" x14ac:dyDescent="0.3">
      <c r="A38" t="s">
        <v>8</v>
      </c>
      <c r="B38" t="s">
        <v>260</v>
      </c>
    </row>
    <row r="39" spans="1:2" x14ac:dyDescent="0.3">
      <c r="A39" t="s">
        <v>8</v>
      </c>
      <c r="B39" t="s">
        <v>232</v>
      </c>
    </row>
    <row r="40" spans="1:2" x14ac:dyDescent="0.3">
      <c r="A40" t="s">
        <v>8</v>
      </c>
      <c r="B40" t="s">
        <v>283</v>
      </c>
    </row>
    <row r="41" spans="1:2" x14ac:dyDescent="0.3">
      <c r="A41" t="s">
        <v>8</v>
      </c>
      <c r="B41" t="s">
        <v>477</v>
      </c>
    </row>
    <row r="42" spans="1:2" x14ac:dyDescent="0.3">
      <c r="A42" t="s">
        <v>8</v>
      </c>
      <c r="B42" t="s">
        <v>370</v>
      </c>
    </row>
    <row r="43" spans="1:2" x14ac:dyDescent="0.3">
      <c r="A43" t="s">
        <v>8</v>
      </c>
      <c r="B43" t="s">
        <v>107</v>
      </c>
    </row>
    <row r="44" spans="1:2" x14ac:dyDescent="0.3">
      <c r="A44" t="s">
        <v>8</v>
      </c>
      <c r="B44" t="s">
        <v>450</v>
      </c>
    </row>
    <row r="45" spans="1:2" x14ac:dyDescent="0.3">
      <c r="A45" t="s">
        <v>8</v>
      </c>
      <c r="B45" t="s">
        <v>332</v>
      </c>
    </row>
    <row r="46" spans="1:2" x14ac:dyDescent="0.3">
      <c r="A46" t="s">
        <v>8</v>
      </c>
      <c r="B46" t="s">
        <v>377</v>
      </c>
    </row>
    <row r="47" spans="1:2" x14ac:dyDescent="0.3">
      <c r="A47" t="s">
        <v>8</v>
      </c>
      <c r="B47" t="s">
        <v>627</v>
      </c>
    </row>
    <row r="48" spans="1:2" x14ac:dyDescent="0.3">
      <c r="A48" t="s">
        <v>9</v>
      </c>
      <c r="B48" t="s">
        <v>9</v>
      </c>
    </row>
    <row r="49" spans="1:2" x14ac:dyDescent="0.3">
      <c r="A49" t="s">
        <v>9</v>
      </c>
      <c r="B49" t="s">
        <v>596</v>
      </c>
    </row>
    <row r="50" spans="1:2" x14ac:dyDescent="0.3">
      <c r="A50" t="s">
        <v>9</v>
      </c>
      <c r="B50" t="s">
        <v>464</v>
      </c>
    </row>
    <row r="51" spans="1:2" x14ac:dyDescent="0.3">
      <c r="A51" t="s">
        <v>9</v>
      </c>
      <c r="B51" t="s">
        <v>665</v>
      </c>
    </row>
    <row r="52" spans="1:2" x14ac:dyDescent="0.3">
      <c r="A52" t="s">
        <v>9</v>
      </c>
      <c r="B52" t="s">
        <v>684</v>
      </c>
    </row>
    <row r="53" spans="1:2" x14ac:dyDescent="0.3">
      <c r="A53" t="s">
        <v>9</v>
      </c>
      <c r="B53" t="s">
        <v>578</v>
      </c>
    </row>
    <row r="54" spans="1:2" x14ac:dyDescent="0.3">
      <c r="A54" t="s">
        <v>9</v>
      </c>
      <c r="B54" t="s">
        <v>471</v>
      </c>
    </row>
    <row r="55" spans="1:2" x14ac:dyDescent="0.3">
      <c r="A55" t="s">
        <v>9</v>
      </c>
      <c r="B55" t="s">
        <v>482</v>
      </c>
    </row>
    <row r="56" spans="1:2" x14ac:dyDescent="0.3">
      <c r="A56" t="s">
        <v>9</v>
      </c>
      <c r="B56" t="s">
        <v>429</v>
      </c>
    </row>
    <row r="57" spans="1:2" x14ac:dyDescent="0.3">
      <c r="A57" t="s">
        <v>9</v>
      </c>
      <c r="B57" t="s">
        <v>615</v>
      </c>
    </row>
    <row r="58" spans="1:2" x14ac:dyDescent="0.3">
      <c r="A58" t="s">
        <v>9</v>
      </c>
      <c r="B58" t="s">
        <v>579</v>
      </c>
    </row>
    <row r="59" spans="1:2" x14ac:dyDescent="0.3">
      <c r="A59" t="s">
        <v>9</v>
      </c>
      <c r="B59" t="s">
        <v>498</v>
      </c>
    </row>
    <row r="60" spans="1:2" x14ac:dyDescent="0.3">
      <c r="A60" t="s">
        <v>9</v>
      </c>
      <c r="B60" t="s">
        <v>390</v>
      </c>
    </row>
    <row r="61" spans="1:2" x14ac:dyDescent="0.3">
      <c r="A61" t="s">
        <v>9</v>
      </c>
      <c r="B61" t="s">
        <v>624</v>
      </c>
    </row>
    <row r="62" spans="1:2" x14ac:dyDescent="0.3">
      <c r="A62" t="s">
        <v>10</v>
      </c>
      <c r="B62" t="s">
        <v>10</v>
      </c>
    </row>
    <row r="63" spans="1:2" x14ac:dyDescent="0.3">
      <c r="A63" t="s">
        <v>10</v>
      </c>
      <c r="B63" t="s">
        <v>656</v>
      </c>
    </row>
    <row r="64" spans="1:2" x14ac:dyDescent="0.3">
      <c r="A64" t="s">
        <v>10</v>
      </c>
      <c r="B64" t="s">
        <v>104</v>
      </c>
    </row>
    <row r="65" spans="1:2" x14ac:dyDescent="0.3">
      <c r="A65" t="s">
        <v>10</v>
      </c>
      <c r="B65" t="s">
        <v>147</v>
      </c>
    </row>
    <row r="66" spans="1:2" x14ac:dyDescent="0.3">
      <c r="A66" t="s">
        <v>10</v>
      </c>
      <c r="B66" t="s">
        <v>561</v>
      </c>
    </row>
    <row r="67" spans="1:2" x14ac:dyDescent="0.3">
      <c r="A67" t="s">
        <v>10</v>
      </c>
      <c r="B67" t="s">
        <v>93</v>
      </c>
    </row>
    <row r="68" spans="1:2" x14ac:dyDescent="0.3">
      <c r="A68" t="s">
        <v>10</v>
      </c>
      <c r="B68" t="s">
        <v>77</v>
      </c>
    </row>
    <row r="69" spans="1:2" x14ac:dyDescent="0.3">
      <c r="A69" t="s">
        <v>10</v>
      </c>
      <c r="B69" t="s">
        <v>101</v>
      </c>
    </row>
    <row r="70" spans="1:2" x14ac:dyDescent="0.3">
      <c r="A70" t="s">
        <v>10</v>
      </c>
      <c r="B70" t="s">
        <v>94</v>
      </c>
    </row>
    <row r="71" spans="1:2" x14ac:dyDescent="0.3">
      <c r="A71" t="s">
        <v>10</v>
      </c>
      <c r="B71" t="s">
        <v>540</v>
      </c>
    </row>
    <row r="72" spans="1:2" x14ac:dyDescent="0.3">
      <c r="A72" t="s">
        <v>10</v>
      </c>
      <c r="B72" t="s">
        <v>529</v>
      </c>
    </row>
    <row r="73" spans="1:2" x14ac:dyDescent="0.3">
      <c r="A73" t="s">
        <v>10</v>
      </c>
      <c r="B73" t="s">
        <v>183</v>
      </c>
    </row>
    <row r="74" spans="1:2" x14ac:dyDescent="0.3">
      <c r="A74" t="s">
        <v>10</v>
      </c>
      <c r="B74" t="s">
        <v>569</v>
      </c>
    </row>
    <row r="75" spans="1:2" x14ac:dyDescent="0.3">
      <c r="A75" t="s">
        <v>10</v>
      </c>
      <c r="B75" t="s">
        <v>508</v>
      </c>
    </row>
    <row r="76" spans="1:2" x14ac:dyDescent="0.3">
      <c r="A76" t="s">
        <v>10</v>
      </c>
      <c r="B76" t="s">
        <v>162</v>
      </c>
    </row>
    <row r="77" spans="1:2" x14ac:dyDescent="0.3">
      <c r="A77" t="s">
        <v>10</v>
      </c>
      <c r="B77" t="s">
        <v>187</v>
      </c>
    </row>
    <row r="78" spans="1:2" x14ac:dyDescent="0.3">
      <c r="A78" t="s">
        <v>10</v>
      </c>
      <c r="B78" t="s">
        <v>273</v>
      </c>
    </row>
    <row r="79" spans="1:2" x14ac:dyDescent="0.3">
      <c r="A79" t="s">
        <v>10</v>
      </c>
      <c r="B79" t="s">
        <v>499</v>
      </c>
    </row>
    <row r="80" spans="1:2" x14ac:dyDescent="0.3">
      <c r="A80" t="s">
        <v>10</v>
      </c>
      <c r="B80" t="s">
        <v>145</v>
      </c>
    </row>
    <row r="81" spans="1:2" x14ac:dyDescent="0.3">
      <c r="A81" t="s">
        <v>10</v>
      </c>
      <c r="B81" t="s">
        <v>525</v>
      </c>
    </row>
    <row r="82" spans="1:2" x14ac:dyDescent="0.3">
      <c r="A82" t="s">
        <v>10</v>
      </c>
      <c r="B82" t="s">
        <v>486</v>
      </c>
    </row>
    <row r="83" spans="1:2" x14ac:dyDescent="0.3">
      <c r="A83" t="s">
        <v>10</v>
      </c>
      <c r="B83" t="s">
        <v>551</v>
      </c>
    </row>
    <row r="84" spans="1:2" x14ac:dyDescent="0.3">
      <c r="A84" t="s">
        <v>11</v>
      </c>
      <c r="B84" t="s">
        <v>11</v>
      </c>
    </row>
    <row r="85" spans="1:2" x14ac:dyDescent="0.3">
      <c r="A85" t="s">
        <v>11</v>
      </c>
      <c r="B85" t="s">
        <v>652</v>
      </c>
    </row>
    <row r="86" spans="1:2" x14ac:dyDescent="0.3">
      <c r="A86" t="s">
        <v>11</v>
      </c>
      <c r="B86" t="s">
        <v>66</v>
      </c>
    </row>
    <row r="87" spans="1:2" x14ac:dyDescent="0.3">
      <c r="A87" t="s">
        <v>11</v>
      </c>
      <c r="B87" t="s">
        <v>264</v>
      </c>
    </row>
    <row r="88" spans="1:2" x14ac:dyDescent="0.3">
      <c r="A88" t="s">
        <v>11</v>
      </c>
      <c r="B88" t="s">
        <v>170</v>
      </c>
    </row>
    <row r="89" spans="1:2" x14ac:dyDescent="0.3">
      <c r="A89" t="s">
        <v>11</v>
      </c>
      <c r="B89" t="s">
        <v>144</v>
      </c>
    </row>
    <row r="90" spans="1:2" x14ac:dyDescent="0.3">
      <c r="A90" t="s">
        <v>11</v>
      </c>
      <c r="B90" t="s">
        <v>105</v>
      </c>
    </row>
    <row r="91" spans="1:2" x14ac:dyDescent="0.3">
      <c r="A91" t="s">
        <v>11</v>
      </c>
      <c r="B91" t="s">
        <v>160</v>
      </c>
    </row>
    <row r="92" spans="1:2" x14ac:dyDescent="0.3">
      <c r="A92" t="s">
        <v>11</v>
      </c>
      <c r="B92" t="s">
        <v>293</v>
      </c>
    </row>
    <row r="93" spans="1:2" x14ac:dyDescent="0.3">
      <c r="A93" t="s">
        <v>12</v>
      </c>
      <c r="B93" t="s">
        <v>12</v>
      </c>
    </row>
    <row r="94" spans="1:2" x14ac:dyDescent="0.3">
      <c r="A94" t="s">
        <v>12</v>
      </c>
      <c r="B94" t="s">
        <v>552</v>
      </c>
    </row>
    <row r="95" spans="1:2" x14ac:dyDescent="0.3">
      <c r="A95" t="s">
        <v>12</v>
      </c>
      <c r="B95" t="s">
        <v>559</v>
      </c>
    </row>
    <row r="96" spans="1:2" x14ac:dyDescent="0.3">
      <c r="A96" t="s">
        <v>12</v>
      </c>
      <c r="B96" t="s">
        <v>546</v>
      </c>
    </row>
    <row r="97" spans="1:2" x14ac:dyDescent="0.3">
      <c r="A97" t="s">
        <v>13</v>
      </c>
      <c r="B97" t="s">
        <v>13</v>
      </c>
    </row>
    <row r="98" spans="1:2" x14ac:dyDescent="0.3">
      <c r="A98" t="s">
        <v>13</v>
      </c>
      <c r="B98" t="s">
        <v>648</v>
      </c>
    </row>
    <row r="99" spans="1:2" x14ac:dyDescent="0.3">
      <c r="A99" t="s">
        <v>13</v>
      </c>
      <c r="B99" t="s">
        <v>205</v>
      </c>
    </row>
    <row r="100" spans="1:2" x14ac:dyDescent="0.3">
      <c r="A100" t="s">
        <v>13</v>
      </c>
      <c r="B100" t="s">
        <v>182</v>
      </c>
    </row>
    <row r="101" spans="1:2" x14ac:dyDescent="0.3">
      <c r="A101" t="s">
        <v>13</v>
      </c>
      <c r="B101" t="s">
        <v>599</v>
      </c>
    </row>
    <row r="102" spans="1:2" x14ac:dyDescent="0.3">
      <c r="A102" t="s">
        <v>13</v>
      </c>
      <c r="B102" t="s">
        <v>638</v>
      </c>
    </row>
    <row r="103" spans="1:2" x14ac:dyDescent="0.3">
      <c r="A103" t="s">
        <v>13</v>
      </c>
      <c r="B103" t="s">
        <v>583</v>
      </c>
    </row>
    <row r="104" spans="1:2" x14ac:dyDescent="0.3">
      <c r="A104" t="s">
        <v>13</v>
      </c>
      <c r="B104" t="s">
        <v>420</v>
      </c>
    </row>
    <row r="105" spans="1:2" x14ac:dyDescent="0.3">
      <c r="A105" t="s">
        <v>14</v>
      </c>
      <c r="B105" t="s">
        <v>14</v>
      </c>
    </row>
    <row r="106" spans="1:2" x14ac:dyDescent="0.3">
      <c r="A106" t="s">
        <v>14</v>
      </c>
      <c r="B106" t="s">
        <v>626</v>
      </c>
    </row>
    <row r="107" spans="1:2" x14ac:dyDescent="0.3">
      <c r="A107" t="s">
        <v>14</v>
      </c>
      <c r="B107" t="s">
        <v>113</v>
      </c>
    </row>
    <row r="108" spans="1:2" x14ac:dyDescent="0.3">
      <c r="A108" t="s">
        <v>14</v>
      </c>
      <c r="B108" t="s">
        <v>543</v>
      </c>
    </row>
    <row r="109" spans="1:2" x14ac:dyDescent="0.3">
      <c r="A109" t="s">
        <v>14</v>
      </c>
      <c r="B109" t="s">
        <v>402</v>
      </c>
    </row>
    <row r="110" spans="1:2" x14ac:dyDescent="0.3">
      <c r="A110" t="s">
        <v>14</v>
      </c>
      <c r="B110" t="s">
        <v>73</v>
      </c>
    </row>
    <row r="111" spans="1:2" x14ac:dyDescent="0.3">
      <c r="A111" t="s">
        <v>14</v>
      </c>
      <c r="B111" t="s">
        <v>468</v>
      </c>
    </row>
    <row r="112" spans="1:2" x14ac:dyDescent="0.3">
      <c r="A112" t="s">
        <v>14</v>
      </c>
      <c r="B112" t="s">
        <v>253</v>
      </c>
    </row>
    <row r="113" spans="1:2" x14ac:dyDescent="0.3">
      <c r="A113" t="s">
        <v>14</v>
      </c>
      <c r="B113" t="s">
        <v>410</v>
      </c>
    </row>
    <row r="114" spans="1:2" x14ac:dyDescent="0.3">
      <c r="A114" t="s">
        <v>14</v>
      </c>
      <c r="B114" t="s">
        <v>268</v>
      </c>
    </row>
    <row r="115" spans="1:2" x14ac:dyDescent="0.3">
      <c r="A115" t="s">
        <v>14</v>
      </c>
      <c r="B115" t="s">
        <v>277</v>
      </c>
    </row>
    <row r="116" spans="1:2" x14ac:dyDescent="0.3">
      <c r="A116" t="s">
        <v>14</v>
      </c>
      <c r="B116" t="s">
        <v>86</v>
      </c>
    </row>
    <row r="117" spans="1:2" x14ac:dyDescent="0.3">
      <c r="A117" t="s">
        <v>14</v>
      </c>
      <c r="B117" t="s">
        <v>575</v>
      </c>
    </row>
    <row r="118" spans="1:2" x14ac:dyDescent="0.3">
      <c r="A118" t="s">
        <v>14</v>
      </c>
      <c r="B118" t="s">
        <v>572</v>
      </c>
    </row>
    <row r="119" spans="1:2" x14ac:dyDescent="0.3">
      <c r="A119" t="s">
        <v>14</v>
      </c>
      <c r="B119" t="s">
        <v>524</v>
      </c>
    </row>
    <row r="120" spans="1:2" x14ac:dyDescent="0.3">
      <c r="A120" t="s">
        <v>14</v>
      </c>
      <c r="B120" t="s">
        <v>591</v>
      </c>
    </row>
    <row r="121" spans="1:2" x14ac:dyDescent="0.3">
      <c r="A121" t="s">
        <v>14</v>
      </c>
      <c r="B121" t="s">
        <v>82</v>
      </c>
    </row>
    <row r="122" spans="1:2" x14ac:dyDescent="0.3">
      <c r="A122" t="s">
        <v>14</v>
      </c>
      <c r="B122" t="s">
        <v>95</v>
      </c>
    </row>
    <row r="123" spans="1:2" x14ac:dyDescent="0.3">
      <c r="A123" t="s">
        <v>14</v>
      </c>
      <c r="B123" t="s">
        <v>115</v>
      </c>
    </row>
    <row r="124" spans="1:2" x14ac:dyDescent="0.3">
      <c r="A124" t="s">
        <v>14</v>
      </c>
      <c r="B124" t="s">
        <v>195</v>
      </c>
    </row>
    <row r="125" spans="1:2" x14ac:dyDescent="0.3">
      <c r="A125" t="s">
        <v>14</v>
      </c>
      <c r="B125" t="s">
        <v>225</v>
      </c>
    </row>
    <row r="126" spans="1:2" x14ac:dyDescent="0.3">
      <c r="A126" t="s">
        <v>14</v>
      </c>
      <c r="B126" t="s">
        <v>241</v>
      </c>
    </row>
    <row r="127" spans="1:2" x14ac:dyDescent="0.3">
      <c r="A127" t="s">
        <v>14</v>
      </c>
      <c r="B127" t="s">
        <v>57</v>
      </c>
    </row>
    <row r="128" spans="1:2" x14ac:dyDescent="0.3">
      <c r="A128" t="s">
        <v>14</v>
      </c>
      <c r="B128" t="s">
        <v>589</v>
      </c>
    </row>
    <row r="129" spans="1:2" x14ac:dyDescent="0.3">
      <c r="A129" t="s">
        <v>14</v>
      </c>
      <c r="B129" t="s">
        <v>119</v>
      </c>
    </row>
    <row r="130" spans="1:2" x14ac:dyDescent="0.3">
      <c r="A130" t="s">
        <v>14</v>
      </c>
      <c r="B130" t="s">
        <v>517</v>
      </c>
    </row>
    <row r="131" spans="1:2" x14ac:dyDescent="0.3">
      <c r="A131" t="s">
        <v>14</v>
      </c>
      <c r="B131" t="s">
        <v>553</v>
      </c>
    </row>
    <row r="132" spans="1:2" x14ac:dyDescent="0.3">
      <c r="A132" t="s">
        <v>14</v>
      </c>
      <c r="B132" t="s">
        <v>148</v>
      </c>
    </row>
    <row r="133" spans="1:2" x14ac:dyDescent="0.3">
      <c r="A133" t="s">
        <v>15</v>
      </c>
      <c r="B133" t="s">
        <v>15</v>
      </c>
    </row>
    <row r="134" spans="1:2" x14ac:dyDescent="0.3">
      <c r="A134" t="s">
        <v>15</v>
      </c>
      <c r="B134" t="s">
        <v>771</v>
      </c>
    </row>
    <row r="135" spans="1:2" x14ac:dyDescent="0.3">
      <c r="A135" t="s">
        <v>15</v>
      </c>
      <c r="B135" t="s">
        <v>772</v>
      </c>
    </row>
    <row r="136" spans="1:2" x14ac:dyDescent="0.3">
      <c r="A136" t="s">
        <v>15</v>
      </c>
      <c r="B136" t="s">
        <v>773</v>
      </c>
    </row>
    <row r="137" spans="1:2" x14ac:dyDescent="0.3">
      <c r="A137" t="s">
        <v>15</v>
      </c>
      <c r="B137" t="s">
        <v>577</v>
      </c>
    </row>
    <row r="138" spans="1:2" x14ac:dyDescent="0.3">
      <c r="A138" t="s">
        <v>15</v>
      </c>
      <c r="B138" t="s">
        <v>538</v>
      </c>
    </row>
    <row r="139" spans="1:2" x14ac:dyDescent="0.3">
      <c r="A139" t="s">
        <v>15</v>
      </c>
      <c r="B139" t="s">
        <v>643</v>
      </c>
    </row>
    <row r="140" spans="1:2" x14ac:dyDescent="0.3">
      <c r="A140" t="s">
        <v>16</v>
      </c>
      <c r="B140" t="s">
        <v>16</v>
      </c>
    </row>
    <row r="141" spans="1:2" x14ac:dyDescent="0.3">
      <c r="A141" t="s">
        <v>16</v>
      </c>
      <c r="B141" t="s">
        <v>116</v>
      </c>
    </row>
    <row r="142" spans="1:2" x14ac:dyDescent="0.3">
      <c r="A142" t="s">
        <v>16</v>
      </c>
      <c r="B142" t="s">
        <v>675</v>
      </c>
    </row>
    <row r="143" spans="1:2" x14ac:dyDescent="0.3">
      <c r="A143" t="s">
        <v>16</v>
      </c>
      <c r="B143" t="s">
        <v>321</v>
      </c>
    </row>
    <row r="144" spans="1:2" x14ac:dyDescent="0.3">
      <c r="A144" t="s">
        <v>16</v>
      </c>
      <c r="B144" t="s">
        <v>598</v>
      </c>
    </row>
    <row r="145" spans="1:2" x14ac:dyDescent="0.3">
      <c r="A145" t="s">
        <v>16</v>
      </c>
      <c r="B145" t="s">
        <v>422</v>
      </c>
    </row>
    <row r="146" spans="1:2" x14ac:dyDescent="0.3">
      <c r="A146" t="s">
        <v>16</v>
      </c>
      <c r="B146" t="s">
        <v>199</v>
      </c>
    </row>
    <row r="147" spans="1:2" x14ac:dyDescent="0.3">
      <c r="A147" t="s">
        <v>16</v>
      </c>
      <c r="B147" t="s">
        <v>257</v>
      </c>
    </row>
    <row r="148" spans="1:2" x14ac:dyDescent="0.3">
      <c r="A148" t="s">
        <v>16</v>
      </c>
      <c r="B148" t="s">
        <v>291</v>
      </c>
    </row>
    <row r="149" spans="1:2" x14ac:dyDescent="0.3">
      <c r="A149" t="s">
        <v>16</v>
      </c>
      <c r="B149" t="s">
        <v>301</v>
      </c>
    </row>
    <row r="150" spans="1:2" x14ac:dyDescent="0.3">
      <c r="A150" t="s">
        <v>16</v>
      </c>
      <c r="B150" t="s">
        <v>157</v>
      </c>
    </row>
    <row r="151" spans="1:2" x14ac:dyDescent="0.3">
      <c r="A151" t="s">
        <v>16</v>
      </c>
      <c r="B151" t="s">
        <v>127</v>
      </c>
    </row>
    <row r="152" spans="1:2" x14ac:dyDescent="0.3">
      <c r="A152" t="s">
        <v>16</v>
      </c>
      <c r="B152" t="s">
        <v>173</v>
      </c>
    </row>
    <row r="153" spans="1:2" x14ac:dyDescent="0.3">
      <c r="A153" t="s">
        <v>16</v>
      </c>
      <c r="B153" t="s">
        <v>317</v>
      </c>
    </row>
    <row r="154" spans="1:2" x14ac:dyDescent="0.3">
      <c r="A154" t="s">
        <v>16</v>
      </c>
      <c r="B154" t="s">
        <v>292</v>
      </c>
    </row>
    <row r="155" spans="1:2" x14ac:dyDescent="0.3">
      <c r="A155" t="s">
        <v>16</v>
      </c>
      <c r="B155" t="s">
        <v>314</v>
      </c>
    </row>
    <row r="156" spans="1:2" x14ac:dyDescent="0.3">
      <c r="A156" t="s">
        <v>16</v>
      </c>
      <c r="B156" t="s">
        <v>227</v>
      </c>
    </row>
    <row r="157" spans="1:2" x14ac:dyDescent="0.3">
      <c r="A157" t="s">
        <v>17</v>
      </c>
      <c r="B157" t="s">
        <v>17</v>
      </c>
    </row>
    <row r="158" spans="1:2" x14ac:dyDescent="0.3">
      <c r="A158" t="s">
        <v>17</v>
      </c>
      <c r="B158" t="s">
        <v>491</v>
      </c>
    </row>
    <row r="159" spans="1:2" x14ac:dyDescent="0.3">
      <c r="A159" t="s">
        <v>17</v>
      </c>
      <c r="B159" t="s">
        <v>550</v>
      </c>
    </row>
    <row r="160" spans="1:2" x14ac:dyDescent="0.3">
      <c r="A160" t="s">
        <v>17</v>
      </c>
      <c r="B160" t="s">
        <v>452</v>
      </c>
    </row>
    <row r="161" spans="1:2" x14ac:dyDescent="0.3">
      <c r="A161" t="s">
        <v>18</v>
      </c>
      <c r="B161" t="s">
        <v>18</v>
      </c>
    </row>
    <row r="162" spans="1:2" x14ac:dyDescent="0.3">
      <c r="A162" t="s">
        <v>18</v>
      </c>
      <c r="B162" t="s">
        <v>90</v>
      </c>
    </row>
    <row r="163" spans="1:2" x14ac:dyDescent="0.3">
      <c r="A163" t="s">
        <v>18</v>
      </c>
      <c r="B163" t="s">
        <v>54</v>
      </c>
    </row>
    <row r="164" spans="1:2" x14ac:dyDescent="0.3">
      <c r="A164" t="s">
        <v>18</v>
      </c>
      <c r="B164" t="s">
        <v>618</v>
      </c>
    </row>
    <row r="165" spans="1:2" x14ac:dyDescent="0.3">
      <c r="A165" t="s">
        <v>18</v>
      </c>
      <c r="B165" t="s">
        <v>172</v>
      </c>
    </row>
    <row r="166" spans="1:2" x14ac:dyDescent="0.3">
      <c r="A166" t="s">
        <v>19</v>
      </c>
      <c r="B166" t="s">
        <v>19</v>
      </c>
    </row>
    <row r="167" spans="1:2" x14ac:dyDescent="0.3">
      <c r="A167" t="s">
        <v>19</v>
      </c>
      <c r="B167" t="s">
        <v>807</v>
      </c>
    </row>
    <row r="168" spans="1:2" x14ac:dyDescent="0.3">
      <c r="A168" t="s">
        <v>19</v>
      </c>
      <c r="B168" t="s">
        <v>683</v>
      </c>
    </row>
    <row r="169" spans="1:2" x14ac:dyDescent="0.3">
      <c r="A169" t="s">
        <v>19</v>
      </c>
      <c r="B169" t="s">
        <v>480</v>
      </c>
    </row>
    <row r="170" spans="1:2" x14ac:dyDescent="0.3">
      <c r="A170" t="s">
        <v>19</v>
      </c>
      <c r="B170" t="s">
        <v>384</v>
      </c>
    </row>
    <row r="171" spans="1:2" x14ac:dyDescent="0.3">
      <c r="A171" t="s">
        <v>19</v>
      </c>
      <c r="B171" t="s">
        <v>334</v>
      </c>
    </row>
    <row r="172" spans="1:2" x14ac:dyDescent="0.3">
      <c r="A172" t="s">
        <v>19</v>
      </c>
      <c r="B172" t="s">
        <v>800</v>
      </c>
    </row>
    <row r="173" spans="1:2" x14ac:dyDescent="0.3">
      <c r="A173" t="s">
        <v>19</v>
      </c>
      <c r="B173" t="s">
        <v>374</v>
      </c>
    </row>
    <row r="174" spans="1:2" x14ac:dyDescent="0.3">
      <c r="A174" t="s">
        <v>19</v>
      </c>
      <c r="B174" t="s">
        <v>325</v>
      </c>
    </row>
    <row r="175" spans="1:2" x14ac:dyDescent="0.3">
      <c r="A175" t="s">
        <v>19</v>
      </c>
      <c r="B175" t="s">
        <v>335</v>
      </c>
    </row>
    <row r="176" spans="1:2" x14ac:dyDescent="0.3">
      <c r="A176" t="s">
        <v>19</v>
      </c>
      <c r="B176" t="s">
        <v>616</v>
      </c>
    </row>
    <row r="177" spans="1:2" x14ac:dyDescent="0.3">
      <c r="A177" t="s">
        <v>19</v>
      </c>
      <c r="B177" t="s">
        <v>470</v>
      </c>
    </row>
    <row r="178" spans="1:2" x14ac:dyDescent="0.3">
      <c r="A178" t="s">
        <v>19</v>
      </c>
      <c r="B178" t="s">
        <v>451</v>
      </c>
    </row>
    <row r="179" spans="1:2" x14ac:dyDescent="0.3">
      <c r="A179" t="s">
        <v>19</v>
      </c>
      <c r="B179" t="s">
        <v>509</v>
      </c>
    </row>
    <row r="180" spans="1:2" x14ac:dyDescent="0.3">
      <c r="A180" t="s">
        <v>19</v>
      </c>
      <c r="B180" t="s">
        <v>425</v>
      </c>
    </row>
    <row r="181" spans="1:2" x14ac:dyDescent="0.3">
      <c r="A181" t="s">
        <v>19</v>
      </c>
      <c r="B181" t="s">
        <v>458</v>
      </c>
    </row>
    <row r="182" spans="1:2" x14ac:dyDescent="0.3">
      <c r="A182" t="s">
        <v>19</v>
      </c>
      <c r="B182" t="s">
        <v>417</v>
      </c>
    </row>
    <row r="183" spans="1:2" x14ac:dyDescent="0.3">
      <c r="A183" t="s">
        <v>19</v>
      </c>
      <c r="B183" t="s">
        <v>438</v>
      </c>
    </row>
    <row r="184" spans="1:2" x14ac:dyDescent="0.3">
      <c r="A184" t="s">
        <v>19</v>
      </c>
      <c r="B184" t="s">
        <v>520</v>
      </c>
    </row>
    <row r="185" spans="1:2" x14ac:dyDescent="0.3">
      <c r="A185" t="s">
        <v>19</v>
      </c>
      <c r="B185" t="s">
        <v>430</v>
      </c>
    </row>
    <row r="186" spans="1:2" x14ac:dyDescent="0.3">
      <c r="A186" t="s">
        <v>19</v>
      </c>
      <c r="B186" t="s">
        <v>399</v>
      </c>
    </row>
    <row r="187" spans="1:2" x14ac:dyDescent="0.3">
      <c r="A187" t="s">
        <v>19</v>
      </c>
      <c r="B187" t="s">
        <v>457</v>
      </c>
    </row>
    <row r="188" spans="1:2" x14ac:dyDescent="0.3">
      <c r="A188" t="s">
        <v>20</v>
      </c>
      <c r="B188" t="s">
        <v>20</v>
      </c>
    </row>
    <row r="189" spans="1:2" x14ac:dyDescent="0.3">
      <c r="A189" t="s">
        <v>20</v>
      </c>
      <c r="B189" t="s">
        <v>522</v>
      </c>
    </row>
    <row r="190" spans="1:2" x14ac:dyDescent="0.3">
      <c r="A190" t="s">
        <v>20</v>
      </c>
      <c r="B190" t="s">
        <v>331</v>
      </c>
    </row>
    <row r="191" spans="1:2" x14ac:dyDescent="0.3">
      <c r="A191" t="s">
        <v>20</v>
      </c>
      <c r="B191" t="s">
        <v>513</v>
      </c>
    </row>
    <row r="192" spans="1:2" x14ac:dyDescent="0.3">
      <c r="A192" t="s">
        <v>20</v>
      </c>
      <c r="B192" t="s">
        <v>357</v>
      </c>
    </row>
    <row r="193" spans="1:2" x14ac:dyDescent="0.3">
      <c r="A193" t="s">
        <v>20</v>
      </c>
      <c r="B193" t="s">
        <v>352</v>
      </c>
    </row>
    <row r="194" spans="1:2" x14ac:dyDescent="0.3">
      <c r="A194" t="s">
        <v>20</v>
      </c>
      <c r="B194" t="s">
        <v>366</v>
      </c>
    </row>
    <row r="195" spans="1:2" x14ac:dyDescent="0.3">
      <c r="A195" t="s">
        <v>20</v>
      </c>
      <c r="B195" t="s">
        <v>285</v>
      </c>
    </row>
    <row r="196" spans="1:2" x14ac:dyDescent="0.3">
      <c r="A196" t="s">
        <v>20</v>
      </c>
      <c r="B196" t="s">
        <v>272</v>
      </c>
    </row>
    <row r="197" spans="1:2" x14ac:dyDescent="0.3">
      <c r="A197" t="s">
        <v>20</v>
      </c>
      <c r="B197" t="s">
        <v>466</v>
      </c>
    </row>
    <row r="198" spans="1:2" x14ac:dyDescent="0.3">
      <c r="A198" t="s">
        <v>20</v>
      </c>
      <c r="B198" t="s">
        <v>348</v>
      </c>
    </row>
    <row r="199" spans="1:2" x14ac:dyDescent="0.3">
      <c r="A199" t="s">
        <v>20</v>
      </c>
      <c r="B199" t="s">
        <v>542</v>
      </c>
    </row>
    <row r="200" spans="1:2" x14ac:dyDescent="0.3">
      <c r="A200" t="s">
        <v>20</v>
      </c>
      <c r="B200" t="s">
        <v>345</v>
      </c>
    </row>
    <row r="201" spans="1:2" x14ac:dyDescent="0.3">
      <c r="A201" t="s">
        <v>20</v>
      </c>
      <c r="B201" t="s">
        <v>500</v>
      </c>
    </row>
    <row r="202" spans="1:2" x14ac:dyDescent="0.3">
      <c r="A202" t="s">
        <v>20</v>
      </c>
      <c r="B202" t="s">
        <v>386</v>
      </c>
    </row>
    <row r="203" spans="1:2" x14ac:dyDescent="0.3">
      <c r="A203" t="s">
        <v>20</v>
      </c>
      <c r="B203" t="s">
        <v>453</v>
      </c>
    </row>
    <row r="204" spans="1:2" x14ac:dyDescent="0.3">
      <c r="A204" t="s">
        <v>20</v>
      </c>
      <c r="B204" t="s">
        <v>454</v>
      </c>
    </row>
    <row r="205" spans="1:2" x14ac:dyDescent="0.3">
      <c r="A205" t="s">
        <v>20</v>
      </c>
      <c r="B205" t="s">
        <v>536</v>
      </c>
    </row>
    <row r="206" spans="1:2" x14ac:dyDescent="0.3">
      <c r="A206" t="s">
        <v>20</v>
      </c>
      <c r="B206" t="s">
        <v>566</v>
      </c>
    </row>
    <row r="207" spans="1:2" x14ac:dyDescent="0.3">
      <c r="A207" t="s">
        <v>20</v>
      </c>
      <c r="B207" t="s">
        <v>391</v>
      </c>
    </row>
    <row r="208" spans="1:2" x14ac:dyDescent="0.3">
      <c r="A208" t="s">
        <v>20</v>
      </c>
      <c r="B208" t="s">
        <v>537</v>
      </c>
    </row>
    <row r="209" spans="1:2" x14ac:dyDescent="0.3">
      <c r="A209" t="s">
        <v>21</v>
      </c>
      <c r="B209" t="s">
        <v>21</v>
      </c>
    </row>
    <row r="210" spans="1:2" x14ac:dyDescent="0.3">
      <c r="A210" t="s">
        <v>21</v>
      </c>
      <c r="B210" t="s">
        <v>584</v>
      </c>
    </row>
    <row r="211" spans="1:2" x14ac:dyDescent="0.3">
      <c r="A211" t="s">
        <v>21</v>
      </c>
      <c r="B211" t="s">
        <v>323</v>
      </c>
    </row>
    <row r="212" spans="1:2" x14ac:dyDescent="0.3">
      <c r="A212" t="s">
        <v>21</v>
      </c>
      <c r="B212" t="s">
        <v>706</v>
      </c>
    </row>
    <row r="213" spans="1:2" x14ac:dyDescent="0.3">
      <c r="A213" t="s">
        <v>21</v>
      </c>
      <c r="B213" t="s">
        <v>180</v>
      </c>
    </row>
    <row r="214" spans="1:2" x14ac:dyDescent="0.3">
      <c r="A214" t="s">
        <v>21</v>
      </c>
      <c r="B214" t="s">
        <v>204</v>
      </c>
    </row>
    <row r="215" spans="1:2" x14ac:dyDescent="0.3">
      <c r="A215" t="s">
        <v>21</v>
      </c>
      <c r="B215" t="s">
        <v>276</v>
      </c>
    </row>
    <row r="216" spans="1:2" x14ac:dyDescent="0.3">
      <c r="A216" t="s">
        <v>21</v>
      </c>
      <c r="B216" t="s">
        <v>236</v>
      </c>
    </row>
    <row r="217" spans="1:2" x14ac:dyDescent="0.3">
      <c r="A217" t="s">
        <v>21</v>
      </c>
      <c r="B217" t="s">
        <v>290</v>
      </c>
    </row>
    <row r="218" spans="1:2" x14ac:dyDescent="0.3">
      <c r="A218" t="s">
        <v>22</v>
      </c>
      <c r="B218" t="s">
        <v>22</v>
      </c>
    </row>
    <row r="219" spans="1:2" x14ac:dyDescent="0.3">
      <c r="A219" t="s">
        <v>22</v>
      </c>
      <c r="B219" t="s">
        <v>590</v>
      </c>
    </row>
    <row r="220" spans="1:2" x14ac:dyDescent="0.3">
      <c r="A220" t="s">
        <v>22</v>
      </c>
      <c r="B220" t="s">
        <v>586</v>
      </c>
    </row>
    <row r="221" spans="1:2" x14ac:dyDescent="0.3">
      <c r="A221" t="s">
        <v>22</v>
      </c>
      <c r="B221" t="s">
        <v>511</v>
      </c>
    </row>
    <row r="222" spans="1:2" x14ac:dyDescent="0.3">
      <c r="A222" t="s">
        <v>22</v>
      </c>
      <c r="B222" t="s">
        <v>526</v>
      </c>
    </row>
    <row r="223" spans="1:2" x14ac:dyDescent="0.3">
      <c r="A223" t="s">
        <v>22</v>
      </c>
      <c r="B223" t="s">
        <v>497</v>
      </c>
    </row>
    <row r="224" spans="1:2" x14ac:dyDescent="0.3">
      <c r="A224" t="s">
        <v>22</v>
      </c>
      <c r="B224" t="s">
        <v>563</v>
      </c>
    </row>
    <row r="225" spans="1:2" x14ac:dyDescent="0.3">
      <c r="A225" t="s">
        <v>22</v>
      </c>
      <c r="B225" t="s">
        <v>479</v>
      </c>
    </row>
    <row r="226" spans="1:2" x14ac:dyDescent="0.3">
      <c r="A226" t="s">
        <v>22</v>
      </c>
      <c r="B226" t="s">
        <v>531</v>
      </c>
    </row>
    <row r="227" spans="1:2" x14ac:dyDescent="0.3">
      <c r="A227" t="s">
        <v>22</v>
      </c>
      <c r="B227" t="s">
        <v>516</v>
      </c>
    </row>
    <row r="228" spans="1:2" x14ac:dyDescent="0.3">
      <c r="A228" t="s">
        <v>41</v>
      </c>
      <c r="B228" t="s">
        <v>41</v>
      </c>
    </row>
    <row r="229" spans="1:2" x14ac:dyDescent="0.3">
      <c r="A229" t="s">
        <v>41</v>
      </c>
      <c r="B229" t="s">
        <v>460</v>
      </c>
    </row>
    <row r="230" spans="1:2" x14ac:dyDescent="0.3">
      <c r="A230" t="s">
        <v>42</v>
      </c>
      <c r="B230" t="s">
        <v>42</v>
      </c>
    </row>
    <row r="231" spans="1:2" x14ac:dyDescent="0.3">
      <c r="A231" t="s">
        <v>42</v>
      </c>
      <c r="B231" t="s">
        <v>322</v>
      </c>
    </row>
    <row r="232" spans="1:2" x14ac:dyDescent="0.3">
      <c r="A232" t="s">
        <v>42</v>
      </c>
      <c r="B232" t="s">
        <v>202</v>
      </c>
    </row>
    <row r="233" spans="1:2" x14ac:dyDescent="0.3">
      <c r="A233" t="s">
        <v>42</v>
      </c>
      <c r="B233" t="s">
        <v>628</v>
      </c>
    </row>
    <row r="234" spans="1:2" x14ac:dyDescent="0.3">
      <c r="A234" t="s">
        <v>42</v>
      </c>
      <c r="B234" t="s">
        <v>649</v>
      </c>
    </row>
    <row r="235" spans="1:2" x14ac:dyDescent="0.3">
      <c r="A235" t="s">
        <v>42</v>
      </c>
      <c r="B235" t="s">
        <v>654</v>
      </c>
    </row>
    <row r="236" spans="1:2" x14ac:dyDescent="0.3">
      <c r="A236" t="s">
        <v>42</v>
      </c>
      <c r="B236" t="s">
        <v>655</v>
      </c>
    </row>
    <row r="237" spans="1:2" x14ac:dyDescent="0.3">
      <c r="A237" t="s">
        <v>42</v>
      </c>
      <c r="B237" t="s">
        <v>657</v>
      </c>
    </row>
    <row r="238" spans="1:2" x14ac:dyDescent="0.3">
      <c r="A238" t="s">
        <v>42</v>
      </c>
      <c r="B238" t="s">
        <v>661</v>
      </c>
    </row>
    <row r="239" spans="1:2" x14ac:dyDescent="0.3">
      <c r="A239" t="s">
        <v>42</v>
      </c>
      <c r="B239" t="s">
        <v>662</v>
      </c>
    </row>
    <row r="240" spans="1:2" x14ac:dyDescent="0.3">
      <c r="A240" t="s">
        <v>42</v>
      </c>
      <c r="B240" t="s">
        <v>287</v>
      </c>
    </row>
    <row r="241" spans="1:2" x14ac:dyDescent="0.3">
      <c r="A241" t="s">
        <v>42</v>
      </c>
      <c r="B241" t="s">
        <v>111</v>
      </c>
    </row>
    <row r="242" spans="1:2" x14ac:dyDescent="0.3">
      <c r="A242" t="s">
        <v>42</v>
      </c>
      <c r="B242" t="s">
        <v>663</v>
      </c>
    </row>
    <row r="243" spans="1:2" x14ac:dyDescent="0.3">
      <c r="A243" t="s">
        <v>42</v>
      </c>
      <c r="B243" t="s">
        <v>198</v>
      </c>
    </row>
    <row r="244" spans="1:2" x14ac:dyDescent="0.3">
      <c r="A244" t="s">
        <v>42</v>
      </c>
      <c r="B244" t="s">
        <v>178</v>
      </c>
    </row>
    <row r="245" spans="1:2" x14ac:dyDescent="0.3">
      <c r="A245" t="s">
        <v>42</v>
      </c>
      <c r="B245" t="s">
        <v>492</v>
      </c>
    </row>
    <row r="246" spans="1:2" x14ac:dyDescent="0.3">
      <c r="A246" t="s">
        <v>42</v>
      </c>
      <c r="B246" t="s">
        <v>779</v>
      </c>
    </row>
    <row r="247" spans="1:2" x14ac:dyDescent="0.3">
      <c r="A247" t="s">
        <v>42</v>
      </c>
      <c r="B247" t="s">
        <v>777</v>
      </c>
    </row>
    <row r="248" spans="1:2" x14ac:dyDescent="0.3">
      <c r="A248" t="s">
        <v>42</v>
      </c>
      <c r="B248" t="s">
        <v>778</v>
      </c>
    </row>
    <row r="249" spans="1:2" x14ac:dyDescent="0.3">
      <c r="A249" t="s">
        <v>42</v>
      </c>
      <c r="B249" t="s">
        <v>289</v>
      </c>
    </row>
    <row r="250" spans="1:2" x14ac:dyDescent="0.3">
      <c r="A250" t="s">
        <v>42</v>
      </c>
      <c r="B250" t="s">
        <v>250</v>
      </c>
    </row>
    <row r="251" spans="1:2" x14ac:dyDescent="0.3">
      <c r="A251" t="s">
        <v>42</v>
      </c>
      <c r="B251" t="s">
        <v>775</v>
      </c>
    </row>
    <row r="252" spans="1:2" x14ac:dyDescent="0.3">
      <c r="A252" t="s">
        <v>42</v>
      </c>
      <c r="B252" t="s">
        <v>776</v>
      </c>
    </row>
    <row r="253" spans="1:2" x14ac:dyDescent="0.3">
      <c r="A253" t="s">
        <v>42</v>
      </c>
      <c r="B253" t="s">
        <v>774</v>
      </c>
    </row>
    <row r="254" spans="1:2" x14ac:dyDescent="0.3">
      <c r="A254" t="s">
        <v>42</v>
      </c>
      <c r="B254" t="s">
        <v>799</v>
      </c>
    </row>
    <row r="255" spans="1:2" x14ac:dyDescent="0.3">
      <c r="A255" t="s">
        <v>42</v>
      </c>
      <c r="B255" t="s">
        <v>356</v>
      </c>
    </row>
    <row r="256" spans="1:2" x14ac:dyDescent="0.3">
      <c r="A256" t="s">
        <v>42</v>
      </c>
      <c r="B256" t="s">
        <v>666</v>
      </c>
    </row>
    <row r="257" spans="1:2" x14ac:dyDescent="0.3">
      <c r="A257" t="s">
        <v>42</v>
      </c>
      <c r="B257" t="s">
        <v>667</v>
      </c>
    </row>
    <row r="258" spans="1:2" x14ac:dyDescent="0.3">
      <c r="A258" t="s">
        <v>42</v>
      </c>
      <c r="B258" t="s">
        <v>671</v>
      </c>
    </row>
    <row r="259" spans="1:2" x14ac:dyDescent="0.3">
      <c r="A259" t="s">
        <v>42</v>
      </c>
      <c r="B259" t="s">
        <v>672</v>
      </c>
    </row>
    <row r="260" spans="1:2" x14ac:dyDescent="0.3">
      <c r="A260" t="s">
        <v>42</v>
      </c>
      <c r="B260" t="s">
        <v>462</v>
      </c>
    </row>
    <row r="261" spans="1:2" x14ac:dyDescent="0.3">
      <c r="A261" t="s">
        <v>42</v>
      </c>
      <c r="B261" t="s">
        <v>673</v>
      </c>
    </row>
    <row r="262" spans="1:2" x14ac:dyDescent="0.3">
      <c r="A262" t="s">
        <v>42</v>
      </c>
      <c r="B262" t="s">
        <v>605</v>
      </c>
    </row>
    <row r="263" spans="1:2" x14ac:dyDescent="0.3">
      <c r="A263" t="s">
        <v>42</v>
      </c>
      <c r="B263" t="s">
        <v>676</v>
      </c>
    </row>
    <row r="264" spans="1:2" x14ac:dyDescent="0.3">
      <c r="A264" t="s">
        <v>42</v>
      </c>
      <c r="B264" t="s">
        <v>681</v>
      </c>
    </row>
    <row r="265" spans="1:2" x14ac:dyDescent="0.3">
      <c r="A265" t="s">
        <v>42</v>
      </c>
      <c r="B265" t="s">
        <v>682</v>
      </c>
    </row>
    <row r="266" spans="1:2" x14ac:dyDescent="0.3">
      <c r="A266" t="s">
        <v>42</v>
      </c>
      <c r="B266" t="s">
        <v>548</v>
      </c>
    </row>
    <row r="267" spans="1:2" x14ac:dyDescent="0.3">
      <c r="A267" t="s">
        <v>42</v>
      </c>
      <c r="B267" t="s">
        <v>469</v>
      </c>
    </row>
    <row r="268" spans="1:2" x14ac:dyDescent="0.3">
      <c r="A268" t="s">
        <v>42</v>
      </c>
      <c r="B268" t="s">
        <v>446</v>
      </c>
    </row>
    <row r="269" spans="1:2" x14ac:dyDescent="0.3">
      <c r="A269" t="s">
        <v>42</v>
      </c>
      <c r="B269" t="s">
        <v>635</v>
      </c>
    </row>
    <row r="270" spans="1:2" x14ac:dyDescent="0.3">
      <c r="A270" t="s">
        <v>42</v>
      </c>
      <c r="B270" t="s">
        <v>587</v>
      </c>
    </row>
    <row r="271" spans="1:2" x14ac:dyDescent="0.3">
      <c r="A271" t="s">
        <v>42</v>
      </c>
      <c r="B271" t="s">
        <v>585</v>
      </c>
    </row>
    <row r="272" spans="1:2" x14ac:dyDescent="0.3">
      <c r="A272" t="s">
        <v>42</v>
      </c>
      <c r="B272" t="s">
        <v>506</v>
      </c>
    </row>
    <row r="273" spans="1:2" x14ac:dyDescent="0.3">
      <c r="A273" t="s">
        <v>42</v>
      </c>
      <c r="B273" t="s">
        <v>798</v>
      </c>
    </row>
    <row r="274" spans="1:2" x14ac:dyDescent="0.3">
      <c r="A274" t="s">
        <v>42</v>
      </c>
      <c r="B274" t="s">
        <v>89</v>
      </c>
    </row>
    <row r="275" spans="1:2" x14ac:dyDescent="0.3">
      <c r="A275" t="s">
        <v>42</v>
      </c>
      <c r="B275" t="s">
        <v>795</v>
      </c>
    </row>
    <row r="276" spans="1:2" x14ac:dyDescent="0.3">
      <c r="A276" t="s">
        <v>42</v>
      </c>
      <c r="B276" t="s">
        <v>797</v>
      </c>
    </row>
    <row r="277" spans="1:2" x14ac:dyDescent="0.3">
      <c r="A277" t="s">
        <v>42</v>
      </c>
      <c r="B277" t="s">
        <v>796</v>
      </c>
    </row>
    <row r="278" spans="1:2" x14ac:dyDescent="0.3">
      <c r="A278" t="s">
        <v>42</v>
      </c>
      <c r="B278" t="s">
        <v>808</v>
      </c>
    </row>
    <row r="279" spans="1:2" x14ac:dyDescent="0.3">
      <c r="A279" t="s">
        <v>42</v>
      </c>
      <c r="B279" t="s">
        <v>74</v>
      </c>
    </row>
    <row r="280" spans="1:2" x14ac:dyDescent="0.3">
      <c r="A280" t="s">
        <v>42</v>
      </c>
      <c r="B280" t="s">
        <v>423</v>
      </c>
    </row>
    <row r="281" spans="1:2" x14ac:dyDescent="0.3">
      <c r="A281" t="s">
        <v>42</v>
      </c>
      <c r="B281" t="s">
        <v>381</v>
      </c>
    </row>
    <row r="282" spans="1:2" x14ac:dyDescent="0.3">
      <c r="A282" t="s">
        <v>42</v>
      </c>
      <c r="B282" t="s">
        <v>398</v>
      </c>
    </row>
    <row r="283" spans="1:2" x14ac:dyDescent="0.3">
      <c r="A283" t="s">
        <v>42</v>
      </c>
      <c r="B283" t="s">
        <v>514</v>
      </c>
    </row>
    <row r="284" spans="1:2" x14ac:dyDescent="0.3">
      <c r="A284" t="s">
        <v>42</v>
      </c>
      <c r="B284" t="s">
        <v>519</v>
      </c>
    </row>
    <row r="285" spans="1:2" x14ac:dyDescent="0.3">
      <c r="A285" t="s">
        <v>42</v>
      </c>
      <c r="B285" t="s">
        <v>609</v>
      </c>
    </row>
    <row r="286" spans="1:2" x14ac:dyDescent="0.3">
      <c r="A286" t="s">
        <v>42</v>
      </c>
      <c r="B286" t="s">
        <v>592</v>
      </c>
    </row>
    <row r="287" spans="1:2" x14ac:dyDescent="0.3">
      <c r="A287" t="s">
        <v>42</v>
      </c>
      <c r="B287" t="s">
        <v>593</v>
      </c>
    </row>
    <row r="288" spans="1:2" x14ac:dyDescent="0.3">
      <c r="A288" t="s">
        <v>42</v>
      </c>
      <c r="B288" t="s">
        <v>610</v>
      </c>
    </row>
    <row r="289" spans="1:2" x14ac:dyDescent="0.3">
      <c r="A289" t="s">
        <v>42</v>
      </c>
      <c r="B289" t="s">
        <v>703</v>
      </c>
    </row>
    <row r="290" spans="1:2" x14ac:dyDescent="0.3">
      <c r="A290" t="s">
        <v>42</v>
      </c>
      <c r="B290" t="s">
        <v>704</v>
      </c>
    </row>
    <row r="291" spans="1:2" x14ac:dyDescent="0.3">
      <c r="A291" t="s">
        <v>42</v>
      </c>
      <c r="B291" t="s">
        <v>549</v>
      </c>
    </row>
    <row r="292" spans="1:2" x14ac:dyDescent="0.3">
      <c r="A292" t="s">
        <v>42</v>
      </c>
      <c r="B292" t="s">
        <v>233</v>
      </c>
    </row>
    <row r="293" spans="1:2" x14ac:dyDescent="0.3">
      <c r="A293" t="s">
        <v>42</v>
      </c>
      <c r="B293" t="s">
        <v>164</v>
      </c>
    </row>
    <row r="294" spans="1:2" x14ac:dyDescent="0.3">
      <c r="A294" t="s">
        <v>42</v>
      </c>
      <c r="B294" t="s">
        <v>503</v>
      </c>
    </row>
    <row r="295" spans="1:2" x14ac:dyDescent="0.3">
      <c r="A295" t="s">
        <v>42</v>
      </c>
      <c r="B295" t="s">
        <v>710</v>
      </c>
    </row>
    <row r="296" spans="1:2" x14ac:dyDescent="0.3">
      <c r="A296" t="s">
        <v>42</v>
      </c>
      <c r="B296" t="s">
        <v>711</v>
      </c>
    </row>
    <row r="297" spans="1:2" x14ac:dyDescent="0.3">
      <c r="A297" t="s">
        <v>42</v>
      </c>
      <c r="B297" t="s">
        <v>712</v>
      </c>
    </row>
    <row r="298" spans="1:2" x14ac:dyDescent="0.3">
      <c r="A298" t="s">
        <v>42</v>
      </c>
      <c r="B298" t="s">
        <v>713</v>
      </c>
    </row>
    <row r="299" spans="1:2" x14ac:dyDescent="0.3">
      <c r="A299" t="s">
        <v>42</v>
      </c>
      <c r="B299" t="s">
        <v>714</v>
      </c>
    </row>
    <row r="300" spans="1:2" x14ac:dyDescent="0.3">
      <c r="A300" t="s">
        <v>42</v>
      </c>
      <c r="B300" t="s">
        <v>636</v>
      </c>
    </row>
    <row r="301" spans="1:2" x14ac:dyDescent="0.3">
      <c r="A301" t="s">
        <v>42</v>
      </c>
      <c r="B301" t="s">
        <v>117</v>
      </c>
    </row>
    <row r="302" spans="1:2" x14ac:dyDescent="0.3">
      <c r="A302" t="s">
        <v>42</v>
      </c>
      <c r="B302" t="s">
        <v>165</v>
      </c>
    </row>
    <row r="303" spans="1:2" x14ac:dyDescent="0.3">
      <c r="A303" t="s">
        <v>42</v>
      </c>
      <c r="B303" t="s">
        <v>484</v>
      </c>
    </row>
    <row r="304" spans="1:2" x14ac:dyDescent="0.3">
      <c r="A304" t="s">
        <v>42</v>
      </c>
      <c r="B304" t="s">
        <v>185</v>
      </c>
    </row>
    <row r="305" spans="1:2" x14ac:dyDescent="0.3">
      <c r="A305" t="s">
        <v>42</v>
      </c>
      <c r="B305" t="s">
        <v>535</v>
      </c>
    </row>
    <row r="306" spans="1:2" x14ac:dyDescent="0.3">
      <c r="A306" t="s">
        <v>42</v>
      </c>
      <c r="B306" t="s">
        <v>612</v>
      </c>
    </row>
    <row r="307" spans="1:2" x14ac:dyDescent="0.3">
      <c r="A307" t="s">
        <v>42</v>
      </c>
      <c r="B307" t="s">
        <v>197</v>
      </c>
    </row>
    <row r="308" spans="1:2" x14ac:dyDescent="0.3">
      <c r="A308" t="s">
        <v>42</v>
      </c>
      <c r="B308" t="s">
        <v>728</v>
      </c>
    </row>
    <row r="309" spans="1:2" x14ac:dyDescent="0.3">
      <c r="A309" t="s">
        <v>42</v>
      </c>
      <c r="B309" t="s">
        <v>130</v>
      </c>
    </row>
    <row r="310" spans="1:2" x14ac:dyDescent="0.3">
      <c r="A310" t="s">
        <v>42</v>
      </c>
      <c r="B310" t="s">
        <v>403</v>
      </c>
    </row>
    <row r="311" spans="1:2" x14ac:dyDescent="0.3">
      <c r="A311" t="s">
        <v>42</v>
      </c>
      <c r="B311" t="s">
        <v>729</v>
      </c>
    </row>
    <row r="312" spans="1:2" x14ac:dyDescent="0.3">
      <c r="A312" t="s">
        <v>42</v>
      </c>
      <c r="B312" t="s">
        <v>730</v>
      </c>
    </row>
    <row r="313" spans="1:2" x14ac:dyDescent="0.3">
      <c r="A313" t="s">
        <v>42</v>
      </c>
      <c r="B313" t="s">
        <v>731</v>
      </c>
    </row>
    <row r="314" spans="1:2" x14ac:dyDescent="0.3">
      <c r="A314" t="s">
        <v>42</v>
      </c>
      <c r="B314" t="s">
        <v>732</v>
      </c>
    </row>
    <row r="315" spans="1:2" x14ac:dyDescent="0.3">
      <c r="A315" t="s">
        <v>42</v>
      </c>
      <c r="B315" t="s">
        <v>733</v>
      </c>
    </row>
    <row r="316" spans="1:2" x14ac:dyDescent="0.3">
      <c r="A316" t="s">
        <v>42</v>
      </c>
      <c r="B316" t="s">
        <v>613</v>
      </c>
    </row>
    <row r="317" spans="1:2" x14ac:dyDescent="0.3">
      <c r="A317" t="s">
        <v>42</v>
      </c>
      <c r="B317" t="s">
        <v>734</v>
      </c>
    </row>
    <row r="318" spans="1:2" x14ac:dyDescent="0.3">
      <c r="A318" t="s">
        <v>42</v>
      </c>
      <c r="B318" t="s">
        <v>735</v>
      </c>
    </row>
    <row r="319" spans="1:2" x14ac:dyDescent="0.3">
      <c r="A319" t="s">
        <v>42</v>
      </c>
      <c r="B319" t="s">
        <v>736</v>
      </c>
    </row>
    <row r="320" spans="1:2" x14ac:dyDescent="0.3">
      <c r="A320" t="s">
        <v>42</v>
      </c>
      <c r="B320" t="s">
        <v>737</v>
      </c>
    </row>
    <row r="321" spans="1:2" x14ac:dyDescent="0.3">
      <c r="A321" t="s">
        <v>42</v>
      </c>
      <c r="B321" t="s">
        <v>231</v>
      </c>
    </row>
    <row r="322" spans="1:2" x14ac:dyDescent="0.3">
      <c r="A322" t="s">
        <v>42</v>
      </c>
      <c r="B322" t="s">
        <v>738</v>
      </c>
    </row>
    <row r="323" spans="1:2" x14ac:dyDescent="0.3">
      <c r="A323" t="s">
        <v>42</v>
      </c>
      <c r="B323" t="s">
        <v>739</v>
      </c>
    </row>
    <row r="324" spans="1:2" x14ac:dyDescent="0.3">
      <c r="A324" t="s">
        <v>42</v>
      </c>
      <c r="B324" t="s">
        <v>740</v>
      </c>
    </row>
    <row r="325" spans="1:2" x14ac:dyDescent="0.3">
      <c r="A325" t="s">
        <v>42</v>
      </c>
      <c r="B325" t="s">
        <v>741</v>
      </c>
    </row>
    <row r="326" spans="1:2" x14ac:dyDescent="0.3">
      <c r="A326" t="s">
        <v>42</v>
      </c>
      <c r="B326" t="s">
        <v>149</v>
      </c>
    </row>
    <row r="327" spans="1:2" x14ac:dyDescent="0.3">
      <c r="A327" t="s">
        <v>42</v>
      </c>
      <c r="B327" t="s">
        <v>742</v>
      </c>
    </row>
    <row r="328" spans="1:2" x14ac:dyDescent="0.3">
      <c r="A328" t="s">
        <v>42</v>
      </c>
      <c r="B328" t="s">
        <v>743</v>
      </c>
    </row>
    <row r="329" spans="1:2" x14ac:dyDescent="0.3">
      <c r="A329" t="s">
        <v>42</v>
      </c>
      <c r="B329" t="s">
        <v>744</v>
      </c>
    </row>
    <row r="330" spans="1:2" x14ac:dyDescent="0.3">
      <c r="A330" t="s">
        <v>42</v>
      </c>
      <c r="B330" t="s">
        <v>745</v>
      </c>
    </row>
    <row r="331" spans="1:2" x14ac:dyDescent="0.3">
      <c r="A331" t="s">
        <v>42</v>
      </c>
      <c r="B331" t="s">
        <v>746</v>
      </c>
    </row>
    <row r="332" spans="1:2" x14ac:dyDescent="0.3">
      <c r="A332" t="s">
        <v>42</v>
      </c>
      <c r="B332" t="s">
        <v>747</v>
      </c>
    </row>
    <row r="333" spans="1:2" x14ac:dyDescent="0.3">
      <c r="A333" t="s">
        <v>42</v>
      </c>
      <c r="B333" t="s">
        <v>748</v>
      </c>
    </row>
    <row r="334" spans="1:2" x14ac:dyDescent="0.3">
      <c r="A334" t="s">
        <v>42</v>
      </c>
      <c r="B334" t="s">
        <v>749</v>
      </c>
    </row>
    <row r="335" spans="1:2" x14ac:dyDescent="0.3">
      <c r="A335" t="s">
        <v>42</v>
      </c>
      <c r="B335" t="s">
        <v>640</v>
      </c>
    </row>
    <row r="336" spans="1:2" x14ac:dyDescent="0.3">
      <c r="A336" t="s">
        <v>42</v>
      </c>
      <c r="B336" t="s">
        <v>530</v>
      </c>
    </row>
    <row r="337" spans="1:2" x14ac:dyDescent="0.3">
      <c r="A337" t="s">
        <v>42</v>
      </c>
      <c r="B337" t="s">
        <v>124</v>
      </c>
    </row>
    <row r="338" spans="1:2" x14ac:dyDescent="0.3">
      <c r="A338" t="s">
        <v>42</v>
      </c>
      <c r="B338" t="s">
        <v>237</v>
      </c>
    </row>
    <row r="339" spans="1:2" x14ac:dyDescent="0.3">
      <c r="A339" t="s">
        <v>42</v>
      </c>
      <c r="B339" t="s">
        <v>562</v>
      </c>
    </row>
    <row r="340" spans="1:2" x14ac:dyDescent="0.3">
      <c r="A340" t="s">
        <v>42</v>
      </c>
      <c r="B340" t="s">
        <v>443</v>
      </c>
    </row>
    <row r="341" spans="1:2" x14ac:dyDescent="0.3">
      <c r="A341" t="s">
        <v>42</v>
      </c>
      <c r="B341" t="s">
        <v>641</v>
      </c>
    </row>
    <row r="342" spans="1:2" x14ac:dyDescent="0.3">
      <c r="A342" t="s">
        <v>42</v>
      </c>
      <c r="B342" t="s">
        <v>282</v>
      </c>
    </row>
    <row r="343" spans="1:2" x14ac:dyDescent="0.3">
      <c r="A343" t="s">
        <v>42</v>
      </c>
      <c r="B343" t="s">
        <v>413</v>
      </c>
    </row>
    <row r="344" spans="1:2" x14ac:dyDescent="0.3">
      <c r="A344" t="s">
        <v>42</v>
      </c>
      <c r="B344" t="s">
        <v>544</v>
      </c>
    </row>
    <row r="345" spans="1:2" x14ac:dyDescent="0.3">
      <c r="A345" t="s">
        <v>42</v>
      </c>
      <c r="B345" t="s">
        <v>619</v>
      </c>
    </row>
    <row r="346" spans="1:2" x14ac:dyDescent="0.3">
      <c r="A346" t="s">
        <v>42</v>
      </c>
      <c r="B346" t="s">
        <v>642</v>
      </c>
    </row>
    <row r="347" spans="1:2" x14ac:dyDescent="0.3">
      <c r="A347" t="s">
        <v>42</v>
      </c>
      <c r="B347" t="s">
        <v>620</v>
      </c>
    </row>
    <row r="348" spans="1:2" x14ac:dyDescent="0.3">
      <c r="A348" t="s">
        <v>42</v>
      </c>
      <c r="B348" t="s">
        <v>129</v>
      </c>
    </row>
    <row r="349" spans="1:2" x14ac:dyDescent="0.3">
      <c r="A349" t="s">
        <v>42</v>
      </c>
      <c r="B349" t="s">
        <v>342</v>
      </c>
    </row>
    <row r="350" spans="1:2" x14ac:dyDescent="0.3">
      <c r="A350" t="s">
        <v>42</v>
      </c>
      <c r="B350" t="s">
        <v>621</v>
      </c>
    </row>
    <row r="351" spans="1:2" x14ac:dyDescent="0.3">
      <c r="A351" t="s">
        <v>42</v>
      </c>
      <c r="B351" t="s">
        <v>632</v>
      </c>
    </row>
    <row r="352" spans="1:2" x14ac:dyDescent="0.3">
      <c r="A352" t="s">
        <v>42</v>
      </c>
      <c r="B352" t="s">
        <v>512</v>
      </c>
    </row>
    <row r="353" spans="1:2" x14ac:dyDescent="0.3">
      <c r="A353" t="s">
        <v>42</v>
      </c>
      <c r="B353" t="s">
        <v>554</v>
      </c>
    </row>
    <row r="354" spans="1:2" x14ac:dyDescent="0.3">
      <c r="A354" t="s">
        <v>42</v>
      </c>
      <c r="B354" t="s">
        <v>137</v>
      </c>
    </row>
    <row r="355" spans="1:2" x14ac:dyDescent="0.3">
      <c r="A355" t="s">
        <v>42</v>
      </c>
      <c r="B355" t="s">
        <v>504</v>
      </c>
    </row>
    <row r="356" spans="1:2" x14ac:dyDescent="0.3">
      <c r="A356" t="s">
        <v>42</v>
      </c>
      <c r="B356" t="s">
        <v>222</v>
      </c>
    </row>
    <row r="357" spans="1:2" x14ac:dyDescent="0.3">
      <c r="A357" t="s">
        <v>42</v>
      </c>
      <c r="B357" t="s">
        <v>527</v>
      </c>
    </row>
    <row r="358" spans="1:2" x14ac:dyDescent="0.3">
      <c r="A358" t="s">
        <v>42</v>
      </c>
      <c r="B358" t="s">
        <v>766</v>
      </c>
    </row>
    <row r="359" spans="1:2" x14ac:dyDescent="0.3">
      <c r="A359" t="s">
        <v>42</v>
      </c>
      <c r="B359" t="s">
        <v>523</v>
      </c>
    </row>
    <row r="360" spans="1:2" x14ac:dyDescent="0.3">
      <c r="A360" t="s">
        <v>42</v>
      </c>
      <c r="B360" t="s">
        <v>400</v>
      </c>
    </row>
    <row r="361" spans="1:2" x14ac:dyDescent="0.3">
      <c r="A361" t="s">
        <v>43</v>
      </c>
      <c r="B361" t="s">
        <v>43</v>
      </c>
    </row>
    <row r="362" spans="1:2" x14ac:dyDescent="0.3">
      <c r="A362" t="s">
        <v>43</v>
      </c>
      <c r="B362" t="s">
        <v>623</v>
      </c>
    </row>
    <row r="363" spans="1:2" x14ac:dyDescent="0.3">
      <c r="A363" t="s">
        <v>43</v>
      </c>
      <c r="B363" t="s">
        <v>603</v>
      </c>
    </row>
    <row r="364" spans="1:2" x14ac:dyDescent="0.3">
      <c r="A364" t="s">
        <v>43</v>
      </c>
      <c r="B364" t="s">
        <v>539</v>
      </c>
    </row>
    <row r="365" spans="1:2" x14ac:dyDescent="0.3">
      <c r="A365" t="s">
        <v>43</v>
      </c>
      <c r="B365" t="s">
        <v>607</v>
      </c>
    </row>
    <row r="366" spans="1:2" x14ac:dyDescent="0.3">
      <c r="A366" t="s">
        <v>43</v>
      </c>
      <c r="B366" t="s">
        <v>100</v>
      </c>
    </row>
    <row r="367" spans="1:2" x14ac:dyDescent="0.3">
      <c r="A367" t="s">
        <v>43</v>
      </c>
      <c r="B367" t="s">
        <v>135</v>
      </c>
    </row>
    <row r="368" spans="1:2" x14ac:dyDescent="0.3">
      <c r="A368" t="s">
        <v>43</v>
      </c>
      <c r="B368" t="s">
        <v>689</v>
      </c>
    </row>
    <row r="369" spans="1:2" x14ac:dyDescent="0.3">
      <c r="A369" t="s">
        <v>43</v>
      </c>
      <c r="B369" t="s">
        <v>690</v>
      </c>
    </row>
    <row r="370" spans="1:2" x14ac:dyDescent="0.3">
      <c r="A370" t="s">
        <v>43</v>
      </c>
      <c r="B370" t="s">
        <v>691</v>
      </c>
    </row>
    <row r="371" spans="1:2" x14ac:dyDescent="0.3">
      <c r="A371" t="s">
        <v>43</v>
      </c>
      <c r="B371" t="s">
        <v>692</v>
      </c>
    </row>
    <row r="372" spans="1:2" x14ac:dyDescent="0.3">
      <c r="A372" t="s">
        <v>43</v>
      </c>
      <c r="B372" t="s">
        <v>693</v>
      </c>
    </row>
    <row r="373" spans="1:2" x14ac:dyDescent="0.3">
      <c r="A373" t="s">
        <v>43</v>
      </c>
      <c r="B373" t="s">
        <v>694</v>
      </c>
    </row>
    <row r="374" spans="1:2" x14ac:dyDescent="0.3">
      <c r="A374" t="s">
        <v>43</v>
      </c>
      <c r="B374" t="s">
        <v>695</v>
      </c>
    </row>
    <row r="375" spans="1:2" x14ac:dyDescent="0.3">
      <c r="A375" t="s">
        <v>43</v>
      </c>
      <c r="B375" t="s">
        <v>696</v>
      </c>
    </row>
    <row r="376" spans="1:2" x14ac:dyDescent="0.3">
      <c r="A376" t="s">
        <v>43</v>
      </c>
      <c r="B376" t="s">
        <v>697</v>
      </c>
    </row>
    <row r="377" spans="1:2" x14ac:dyDescent="0.3">
      <c r="A377" t="s">
        <v>43</v>
      </c>
      <c r="B377" t="s">
        <v>698</v>
      </c>
    </row>
    <row r="378" spans="1:2" x14ac:dyDescent="0.3">
      <c r="A378" t="s">
        <v>43</v>
      </c>
      <c r="B378" t="s">
        <v>699</v>
      </c>
    </row>
    <row r="379" spans="1:2" x14ac:dyDescent="0.3">
      <c r="A379" t="s">
        <v>43</v>
      </c>
      <c r="B379" t="s">
        <v>700</v>
      </c>
    </row>
    <row r="380" spans="1:2" x14ac:dyDescent="0.3">
      <c r="A380" t="s">
        <v>43</v>
      </c>
      <c r="B380" t="s">
        <v>701</v>
      </c>
    </row>
    <row r="381" spans="1:2" x14ac:dyDescent="0.3">
      <c r="A381" t="s">
        <v>43</v>
      </c>
      <c r="B381" t="s">
        <v>702</v>
      </c>
    </row>
    <row r="382" spans="1:2" x14ac:dyDescent="0.3">
      <c r="A382" t="s">
        <v>43</v>
      </c>
      <c r="B382" t="s">
        <v>134</v>
      </c>
    </row>
    <row r="383" spans="1:2" x14ac:dyDescent="0.3">
      <c r="A383" t="s">
        <v>43</v>
      </c>
      <c r="B383" t="s">
        <v>515</v>
      </c>
    </row>
    <row r="384" spans="1:2" x14ac:dyDescent="0.3">
      <c r="A384" t="s">
        <v>43</v>
      </c>
      <c r="B384" t="s">
        <v>179</v>
      </c>
    </row>
    <row r="385" spans="1:2" x14ac:dyDescent="0.3">
      <c r="A385" t="s">
        <v>43</v>
      </c>
      <c r="B385" t="s">
        <v>266</v>
      </c>
    </row>
    <row r="386" spans="1:2" x14ac:dyDescent="0.3">
      <c r="A386" t="s">
        <v>43</v>
      </c>
      <c r="B386" t="s">
        <v>580</v>
      </c>
    </row>
    <row r="387" spans="1:2" x14ac:dyDescent="0.3">
      <c r="A387" t="s">
        <v>43</v>
      </c>
      <c r="B387" t="s">
        <v>601</v>
      </c>
    </row>
    <row r="388" spans="1:2" x14ac:dyDescent="0.3">
      <c r="A388" t="s">
        <v>43</v>
      </c>
      <c r="B388" t="s">
        <v>633</v>
      </c>
    </row>
    <row r="389" spans="1:2" x14ac:dyDescent="0.3">
      <c r="A389" t="s">
        <v>43</v>
      </c>
      <c r="B389" t="s">
        <v>216</v>
      </c>
    </row>
    <row r="390" spans="1:2" x14ac:dyDescent="0.3">
      <c r="A390" t="s">
        <v>43</v>
      </c>
      <c r="B390" t="s">
        <v>770</v>
      </c>
    </row>
    <row r="391" spans="1:2" x14ac:dyDescent="0.3">
      <c r="A391" t="s">
        <v>44</v>
      </c>
      <c r="B391" t="s">
        <v>44</v>
      </c>
    </row>
    <row r="392" spans="1:2" x14ac:dyDescent="0.3">
      <c r="A392" t="s">
        <v>44</v>
      </c>
      <c r="B392" t="s">
        <v>658</v>
      </c>
    </row>
    <row r="393" spans="1:2" x14ac:dyDescent="0.3">
      <c r="A393" t="s">
        <v>44</v>
      </c>
      <c r="B393" t="s">
        <v>547</v>
      </c>
    </row>
    <row r="394" spans="1:2" x14ac:dyDescent="0.3">
      <c r="A394" t="s">
        <v>44</v>
      </c>
      <c r="B394" t="s">
        <v>284</v>
      </c>
    </row>
    <row r="395" spans="1:2" x14ac:dyDescent="0.3">
      <c r="A395" t="s">
        <v>44</v>
      </c>
      <c r="B395" t="s">
        <v>533</v>
      </c>
    </row>
    <row r="396" spans="1:2" x14ac:dyDescent="0.3">
      <c r="A396" t="s">
        <v>44</v>
      </c>
      <c r="B396" t="s">
        <v>481</v>
      </c>
    </row>
    <row r="397" spans="1:2" x14ac:dyDescent="0.3">
      <c r="A397" t="s">
        <v>44</v>
      </c>
      <c r="B397" t="s">
        <v>171</v>
      </c>
    </row>
    <row r="398" spans="1:2" x14ac:dyDescent="0.3">
      <c r="A398" t="s">
        <v>44</v>
      </c>
      <c r="B398" t="s">
        <v>597</v>
      </c>
    </row>
    <row r="399" spans="1:2" x14ac:dyDescent="0.3">
      <c r="A399" t="s">
        <v>44</v>
      </c>
      <c r="B399" t="s">
        <v>494</v>
      </c>
    </row>
    <row r="400" spans="1:2" x14ac:dyDescent="0.3">
      <c r="A400" t="s">
        <v>44</v>
      </c>
      <c r="B400" t="s">
        <v>750</v>
      </c>
    </row>
    <row r="401" spans="1:2" x14ac:dyDescent="0.3">
      <c r="A401" t="s">
        <v>44</v>
      </c>
      <c r="B401" t="s">
        <v>448</v>
      </c>
    </row>
    <row r="402" spans="1:2" x14ac:dyDescent="0.3">
      <c r="A402" t="s">
        <v>44</v>
      </c>
      <c r="B402" t="s">
        <v>427</v>
      </c>
    </row>
    <row r="403" spans="1:2" x14ac:dyDescent="0.3">
      <c r="A403" t="s">
        <v>44</v>
      </c>
      <c r="B403" t="s">
        <v>751</v>
      </c>
    </row>
    <row r="404" spans="1:2" x14ac:dyDescent="0.3">
      <c r="A404" t="s">
        <v>44</v>
      </c>
      <c r="B404" t="s">
        <v>200</v>
      </c>
    </row>
    <row r="405" spans="1:2" x14ac:dyDescent="0.3">
      <c r="A405" t="s">
        <v>44</v>
      </c>
      <c r="B405" t="s">
        <v>752</v>
      </c>
    </row>
    <row r="406" spans="1:2" x14ac:dyDescent="0.3">
      <c r="A406" t="s">
        <v>44</v>
      </c>
      <c r="B406" t="s">
        <v>753</v>
      </c>
    </row>
    <row r="407" spans="1:2" x14ac:dyDescent="0.3">
      <c r="A407" t="s">
        <v>44</v>
      </c>
      <c r="B407" t="s">
        <v>754</v>
      </c>
    </row>
    <row r="408" spans="1:2" x14ac:dyDescent="0.3">
      <c r="A408" t="s">
        <v>44</v>
      </c>
      <c r="B408" t="s">
        <v>755</v>
      </c>
    </row>
    <row r="409" spans="1:2" x14ac:dyDescent="0.3">
      <c r="A409" t="s">
        <v>44</v>
      </c>
      <c r="B409" t="s">
        <v>756</v>
      </c>
    </row>
    <row r="410" spans="1:2" x14ac:dyDescent="0.3">
      <c r="A410" t="s">
        <v>44</v>
      </c>
      <c r="B410" t="s">
        <v>380</v>
      </c>
    </row>
    <row r="411" spans="1:2" x14ac:dyDescent="0.3">
      <c r="A411" t="s">
        <v>44</v>
      </c>
      <c r="B411" t="s">
        <v>528</v>
      </c>
    </row>
    <row r="412" spans="1:2" x14ac:dyDescent="0.3">
      <c r="A412" t="s">
        <v>44</v>
      </c>
      <c r="B412" t="s">
        <v>767</v>
      </c>
    </row>
    <row r="413" spans="1:2" x14ac:dyDescent="0.3">
      <c r="A413" t="s">
        <v>45</v>
      </c>
      <c r="B413" t="s">
        <v>45</v>
      </c>
    </row>
    <row r="414" spans="1:2" x14ac:dyDescent="0.3">
      <c r="A414" t="s">
        <v>45</v>
      </c>
      <c r="B414" t="s">
        <v>686</v>
      </c>
    </row>
    <row r="415" spans="1:2" x14ac:dyDescent="0.3">
      <c r="A415" t="s">
        <v>45</v>
      </c>
      <c r="B415" t="s">
        <v>687</v>
      </c>
    </row>
    <row r="416" spans="1:2" x14ac:dyDescent="0.3">
      <c r="A416" t="s">
        <v>46</v>
      </c>
      <c r="B416" t="s">
        <v>46</v>
      </c>
    </row>
    <row r="417" spans="1:2" x14ac:dyDescent="0.3">
      <c r="A417" t="s">
        <v>46</v>
      </c>
      <c r="B417" t="s">
        <v>650</v>
      </c>
    </row>
    <row r="418" spans="1:2" x14ac:dyDescent="0.3">
      <c r="A418" t="s">
        <v>46</v>
      </c>
      <c r="B418" t="s">
        <v>184</v>
      </c>
    </row>
    <row r="419" spans="1:2" x14ac:dyDescent="0.3">
      <c r="A419" t="s">
        <v>46</v>
      </c>
      <c r="B419" t="s">
        <v>174</v>
      </c>
    </row>
    <row r="420" spans="1:2" x14ac:dyDescent="0.3">
      <c r="A420" t="s">
        <v>46</v>
      </c>
      <c r="B420" t="s">
        <v>806</v>
      </c>
    </row>
    <row r="421" spans="1:2" x14ac:dyDescent="0.3">
      <c r="A421" t="s">
        <v>46</v>
      </c>
      <c r="B421" t="s">
        <v>680</v>
      </c>
    </row>
    <row r="422" spans="1:2" x14ac:dyDescent="0.3">
      <c r="A422" t="s">
        <v>46</v>
      </c>
      <c r="B422" t="s">
        <v>140</v>
      </c>
    </row>
    <row r="423" spans="1:2" x14ac:dyDescent="0.3">
      <c r="A423" t="s">
        <v>46</v>
      </c>
      <c r="B423" t="s">
        <v>249</v>
      </c>
    </row>
    <row r="424" spans="1:2" x14ac:dyDescent="0.3">
      <c r="A424" t="s">
        <v>46</v>
      </c>
      <c r="B424" t="s">
        <v>631</v>
      </c>
    </row>
    <row r="425" spans="1:2" x14ac:dyDescent="0.3">
      <c r="A425" t="s">
        <v>46</v>
      </c>
      <c r="B425" t="s">
        <v>176</v>
      </c>
    </row>
    <row r="426" spans="1:2" x14ac:dyDescent="0.3">
      <c r="A426" t="s">
        <v>46</v>
      </c>
      <c r="B426" t="s">
        <v>188</v>
      </c>
    </row>
    <row r="427" spans="1:2" x14ac:dyDescent="0.3">
      <c r="A427" t="s">
        <v>46</v>
      </c>
      <c r="B427" t="s">
        <v>299</v>
      </c>
    </row>
    <row r="428" spans="1:2" x14ac:dyDescent="0.3">
      <c r="A428" t="s">
        <v>46</v>
      </c>
      <c r="B428" t="s">
        <v>804</v>
      </c>
    </row>
    <row r="429" spans="1:2" x14ac:dyDescent="0.3">
      <c r="A429" t="s">
        <v>46</v>
      </c>
      <c r="B429" t="s">
        <v>803</v>
      </c>
    </row>
    <row r="430" spans="1:2" x14ac:dyDescent="0.3">
      <c r="A430" t="s">
        <v>46</v>
      </c>
      <c r="B430" t="s">
        <v>805</v>
      </c>
    </row>
    <row r="431" spans="1:2" x14ac:dyDescent="0.3">
      <c r="A431" t="s">
        <v>46</v>
      </c>
      <c r="B431" t="s">
        <v>256</v>
      </c>
    </row>
    <row r="432" spans="1:2" x14ac:dyDescent="0.3">
      <c r="A432" t="s">
        <v>46</v>
      </c>
      <c r="B432" t="s">
        <v>279</v>
      </c>
    </row>
    <row r="433" spans="1:2" x14ac:dyDescent="0.3">
      <c r="A433" t="s">
        <v>46</v>
      </c>
      <c r="B433" t="s">
        <v>118</v>
      </c>
    </row>
    <row r="434" spans="1:2" x14ac:dyDescent="0.3">
      <c r="A434" t="s">
        <v>46</v>
      </c>
      <c r="B434" t="s">
        <v>114</v>
      </c>
    </row>
    <row r="435" spans="1:2" x14ac:dyDescent="0.3">
      <c r="A435" t="s">
        <v>46</v>
      </c>
      <c r="B435" t="s">
        <v>219</v>
      </c>
    </row>
    <row r="436" spans="1:2" x14ac:dyDescent="0.3">
      <c r="A436" t="s">
        <v>47</v>
      </c>
      <c r="B436" t="s">
        <v>47</v>
      </c>
    </row>
    <row r="437" spans="1:2" x14ac:dyDescent="0.3">
      <c r="A437" t="s">
        <v>47</v>
      </c>
      <c r="B437" t="s">
        <v>645</v>
      </c>
    </row>
    <row r="438" spans="1:2" x14ac:dyDescent="0.3">
      <c r="A438" t="s">
        <v>47</v>
      </c>
      <c r="B438" t="s">
        <v>646</v>
      </c>
    </row>
    <row r="439" spans="1:2" x14ac:dyDescent="0.3">
      <c r="A439" t="s">
        <v>47</v>
      </c>
      <c r="B439" t="s">
        <v>647</v>
      </c>
    </row>
    <row r="440" spans="1:2" x14ac:dyDescent="0.3">
      <c r="A440" t="s">
        <v>47</v>
      </c>
      <c r="B440" t="s">
        <v>664</v>
      </c>
    </row>
    <row r="441" spans="1:2" x14ac:dyDescent="0.3">
      <c r="A441" t="s">
        <v>47</v>
      </c>
      <c r="B441" t="s">
        <v>789</v>
      </c>
    </row>
    <row r="442" spans="1:2" x14ac:dyDescent="0.3">
      <c r="A442" t="s">
        <v>47</v>
      </c>
      <c r="B442" t="s">
        <v>791</v>
      </c>
    </row>
    <row r="443" spans="1:2" x14ac:dyDescent="0.3">
      <c r="A443" t="s">
        <v>47</v>
      </c>
      <c r="B443" t="s">
        <v>790</v>
      </c>
    </row>
    <row r="444" spans="1:2" x14ac:dyDescent="0.3">
      <c r="A444" t="s">
        <v>47</v>
      </c>
      <c r="B444" t="s">
        <v>785</v>
      </c>
    </row>
    <row r="445" spans="1:2" x14ac:dyDescent="0.3">
      <c r="A445" t="s">
        <v>47</v>
      </c>
      <c r="B445" t="s">
        <v>679</v>
      </c>
    </row>
    <row r="446" spans="1:2" x14ac:dyDescent="0.3">
      <c r="A446" t="s">
        <v>47</v>
      </c>
      <c r="B446" t="s">
        <v>786</v>
      </c>
    </row>
    <row r="447" spans="1:2" x14ac:dyDescent="0.3">
      <c r="A447" t="s">
        <v>47</v>
      </c>
      <c r="B447" t="s">
        <v>792</v>
      </c>
    </row>
    <row r="448" spans="1:2" x14ac:dyDescent="0.3">
      <c r="A448" t="s">
        <v>47</v>
      </c>
      <c r="B448" t="s">
        <v>788</v>
      </c>
    </row>
    <row r="449" spans="1:2" x14ac:dyDescent="0.3">
      <c r="A449" t="s">
        <v>47</v>
      </c>
      <c r="B449" t="s">
        <v>784</v>
      </c>
    </row>
    <row r="450" spans="1:2" x14ac:dyDescent="0.3">
      <c r="A450" t="s">
        <v>47</v>
      </c>
      <c r="B450" t="s">
        <v>787</v>
      </c>
    </row>
    <row r="451" spans="1:2" x14ac:dyDescent="0.3">
      <c r="A451" t="s">
        <v>48</v>
      </c>
      <c r="B451" t="s">
        <v>48</v>
      </c>
    </row>
    <row r="452" spans="1:2" x14ac:dyDescent="0.3">
      <c r="A452" t="s">
        <v>48</v>
      </c>
      <c r="B452" t="s">
        <v>560</v>
      </c>
    </row>
    <row r="453" spans="1:2" x14ac:dyDescent="0.3">
      <c r="A453" t="s">
        <v>48</v>
      </c>
      <c r="B453" t="s">
        <v>487</v>
      </c>
    </row>
    <row r="454" spans="1:2" x14ac:dyDescent="0.3">
      <c r="A454" t="s">
        <v>49</v>
      </c>
      <c r="B454" t="s">
        <v>49</v>
      </c>
    </row>
    <row r="455" spans="1:2" x14ac:dyDescent="0.3">
      <c r="A455" t="s">
        <v>49</v>
      </c>
      <c r="B455" t="s">
        <v>242</v>
      </c>
    </row>
    <row r="456" spans="1:2" x14ac:dyDescent="0.3">
      <c r="A456" t="s">
        <v>49</v>
      </c>
      <c r="B456" t="s">
        <v>131</v>
      </c>
    </row>
    <row r="457" spans="1:2" x14ac:dyDescent="0.3">
      <c r="A457" t="s">
        <v>49</v>
      </c>
      <c r="B457" t="s">
        <v>136</v>
      </c>
    </row>
    <row r="458" spans="1:2" x14ac:dyDescent="0.3">
      <c r="A458" t="s">
        <v>49</v>
      </c>
      <c r="B458" t="s">
        <v>213</v>
      </c>
    </row>
    <row r="459" spans="1:2" x14ac:dyDescent="0.3">
      <c r="A459" t="s">
        <v>49</v>
      </c>
      <c r="B459" t="s">
        <v>463</v>
      </c>
    </row>
    <row r="460" spans="1:2" x14ac:dyDescent="0.3">
      <c r="A460" t="s">
        <v>49</v>
      </c>
      <c r="B460" t="s">
        <v>207</v>
      </c>
    </row>
    <row r="461" spans="1:2" x14ac:dyDescent="0.3">
      <c r="A461" t="s">
        <v>23</v>
      </c>
      <c r="B461" t="s">
        <v>23</v>
      </c>
    </row>
    <row r="462" spans="1:2" x14ac:dyDescent="0.3">
      <c r="A462" t="s">
        <v>23</v>
      </c>
      <c r="B462" t="s">
        <v>757</v>
      </c>
    </row>
    <row r="463" spans="1:2" x14ac:dyDescent="0.3">
      <c r="A463" t="s">
        <v>23</v>
      </c>
      <c r="B463" t="s">
        <v>758</v>
      </c>
    </row>
    <row r="464" spans="1:2" x14ac:dyDescent="0.3">
      <c r="A464" t="s">
        <v>23</v>
      </c>
      <c r="B464" t="s">
        <v>759</v>
      </c>
    </row>
    <row r="465" spans="1:2" x14ac:dyDescent="0.3">
      <c r="A465" t="s">
        <v>23</v>
      </c>
      <c r="B465" t="s">
        <v>760</v>
      </c>
    </row>
    <row r="466" spans="1:2" x14ac:dyDescent="0.3">
      <c r="A466" t="s">
        <v>23</v>
      </c>
      <c r="B466" t="s">
        <v>761</v>
      </c>
    </row>
    <row r="467" spans="1:2" x14ac:dyDescent="0.3">
      <c r="A467" t="s">
        <v>23</v>
      </c>
      <c r="B467" t="s">
        <v>762</v>
      </c>
    </row>
    <row r="468" spans="1:2" x14ac:dyDescent="0.3">
      <c r="A468" t="s">
        <v>23</v>
      </c>
      <c r="B468" t="s">
        <v>763</v>
      </c>
    </row>
    <row r="469" spans="1:2" x14ac:dyDescent="0.3">
      <c r="A469" t="s">
        <v>23</v>
      </c>
      <c r="B469" t="s">
        <v>764</v>
      </c>
    </row>
    <row r="470" spans="1:2" x14ac:dyDescent="0.3">
      <c r="A470" t="s">
        <v>23</v>
      </c>
      <c r="B470" t="s">
        <v>765</v>
      </c>
    </row>
    <row r="471" spans="1:2" x14ac:dyDescent="0.3">
      <c r="A471" t="s">
        <v>24</v>
      </c>
      <c r="B471" t="s">
        <v>24</v>
      </c>
    </row>
    <row r="472" spans="1:2" x14ac:dyDescent="0.3">
      <c r="A472" t="s">
        <v>24</v>
      </c>
      <c r="B472" t="s">
        <v>259</v>
      </c>
    </row>
    <row r="473" spans="1:2" x14ac:dyDescent="0.3">
      <c r="A473" t="s">
        <v>24</v>
      </c>
      <c r="B473" t="s">
        <v>327</v>
      </c>
    </row>
    <row r="474" spans="1:2" x14ac:dyDescent="0.3">
      <c r="A474" t="s">
        <v>24</v>
      </c>
      <c r="B474" t="s">
        <v>382</v>
      </c>
    </row>
    <row r="475" spans="1:2" x14ac:dyDescent="0.3">
      <c r="A475" t="s">
        <v>24</v>
      </c>
      <c r="B475" t="s">
        <v>347</v>
      </c>
    </row>
    <row r="476" spans="1:2" x14ac:dyDescent="0.3">
      <c r="A476" t="s">
        <v>24</v>
      </c>
      <c r="B476" t="s">
        <v>455</v>
      </c>
    </row>
    <row r="477" spans="1:2" x14ac:dyDescent="0.3">
      <c r="A477" t="s">
        <v>24</v>
      </c>
      <c r="B477" t="s">
        <v>296</v>
      </c>
    </row>
    <row r="478" spans="1:2" x14ac:dyDescent="0.3">
      <c r="A478" t="s">
        <v>24</v>
      </c>
      <c r="B478" t="s">
        <v>416</v>
      </c>
    </row>
    <row r="479" spans="1:2" x14ac:dyDescent="0.3">
      <c r="A479" t="s">
        <v>25</v>
      </c>
      <c r="B479" t="s">
        <v>25</v>
      </c>
    </row>
    <row r="480" spans="1:2" x14ac:dyDescent="0.3">
      <c r="A480" t="s">
        <v>25</v>
      </c>
      <c r="B480" t="s">
        <v>595</v>
      </c>
    </row>
    <row r="481" spans="1:2" x14ac:dyDescent="0.3">
      <c r="A481" t="s">
        <v>25</v>
      </c>
      <c r="B481" t="s">
        <v>659</v>
      </c>
    </row>
    <row r="482" spans="1:2" x14ac:dyDescent="0.3">
      <c r="A482" t="s">
        <v>25</v>
      </c>
      <c r="B482" t="s">
        <v>660</v>
      </c>
    </row>
    <row r="483" spans="1:2" x14ac:dyDescent="0.3">
      <c r="A483" t="s">
        <v>25</v>
      </c>
      <c r="B483" t="s">
        <v>669</v>
      </c>
    </row>
    <row r="484" spans="1:2" x14ac:dyDescent="0.3">
      <c r="A484" t="s">
        <v>25</v>
      </c>
      <c r="B484" t="s">
        <v>629</v>
      </c>
    </row>
    <row r="485" spans="1:2" x14ac:dyDescent="0.3">
      <c r="A485" t="s">
        <v>25</v>
      </c>
      <c r="B485" t="s">
        <v>588</v>
      </c>
    </row>
    <row r="486" spans="1:2" x14ac:dyDescent="0.3">
      <c r="A486" t="s">
        <v>25</v>
      </c>
      <c r="B486" t="s">
        <v>793</v>
      </c>
    </row>
    <row r="487" spans="1:2" x14ac:dyDescent="0.3">
      <c r="A487" t="s">
        <v>25</v>
      </c>
      <c r="B487" t="s">
        <v>459</v>
      </c>
    </row>
    <row r="488" spans="1:2" x14ac:dyDescent="0.3">
      <c r="A488" t="s">
        <v>25</v>
      </c>
      <c r="B488" t="s">
        <v>718</v>
      </c>
    </row>
    <row r="489" spans="1:2" x14ac:dyDescent="0.3">
      <c r="A489" t="s">
        <v>25</v>
      </c>
      <c r="B489" t="s">
        <v>719</v>
      </c>
    </row>
    <row r="490" spans="1:2" x14ac:dyDescent="0.3">
      <c r="A490" t="s">
        <v>25</v>
      </c>
      <c r="B490" t="s">
        <v>720</v>
      </c>
    </row>
    <row r="491" spans="1:2" x14ac:dyDescent="0.3">
      <c r="A491" t="s">
        <v>25</v>
      </c>
      <c r="B491" t="s">
        <v>721</v>
      </c>
    </row>
    <row r="492" spans="1:2" x14ac:dyDescent="0.3">
      <c r="A492" t="s">
        <v>25</v>
      </c>
      <c r="B492" t="s">
        <v>722</v>
      </c>
    </row>
    <row r="493" spans="1:2" x14ac:dyDescent="0.3">
      <c r="A493" t="s">
        <v>25</v>
      </c>
      <c r="B493" t="s">
        <v>723</v>
      </c>
    </row>
    <row r="494" spans="1:2" x14ac:dyDescent="0.3">
      <c r="A494" t="s">
        <v>25</v>
      </c>
      <c r="B494" t="s">
        <v>724</v>
      </c>
    </row>
    <row r="495" spans="1:2" x14ac:dyDescent="0.3">
      <c r="A495" t="s">
        <v>25</v>
      </c>
      <c r="B495" t="s">
        <v>725</v>
      </c>
    </row>
    <row r="496" spans="1:2" x14ac:dyDescent="0.3">
      <c r="A496" t="s">
        <v>25</v>
      </c>
      <c r="B496" t="s">
        <v>726</v>
      </c>
    </row>
    <row r="497" spans="1:2" x14ac:dyDescent="0.3">
      <c r="A497" t="s">
        <v>25</v>
      </c>
      <c r="B497" t="s">
        <v>573</v>
      </c>
    </row>
    <row r="498" spans="1:2" x14ac:dyDescent="0.3">
      <c r="A498" t="s">
        <v>25</v>
      </c>
      <c r="B498" t="s">
        <v>567</v>
      </c>
    </row>
    <row r="499" spans="1:2" x14ac:dyDescent="0.3">
      <c r="A499" t="s">
        <v>25</v>
      </c>
      <c r="B499" t="s">
        <v>557</v>
      </c>
    </row>
    <row r="500" spans="1:2" x14ac:dyDescent="0.3">
      <c r="A500" t="s">
        <v>25</v>
      </c>
      <c r="B500" t="s">
        <v>555</v>
      </c>
    </row>
    <row r="501" spans="1:2" x14ac:dyDescent="0.3">
      <c r="A501" t="s">
        <v>26</v>
      </c>
      <c r="B501" t="s">
        <v>26</v>
      </c>
    </row>
    <row r="502" spans="1:2" x14ac:dyDescent="0.3">
      <c r="A502" t="s">
        <v>26</v>
      </c>
      <c r="B502" t="s">
        <v>476</v>
      </c>
    </row>
    <row r="503" spans="1:2" x14ac:dyDescent="0.3">
      <c r="A503" t="s">
        <v>26</v>
      </c>
      <c r="B503" t="s">
        <v>606</v>
      </c>
    </row>
    <row r="504" spans="1:2" x14ac:dyDescent="0.3">
      <c r="A504" t="s">
        <v>26</v>
      </c>
      <c r="B504" t="s">
        <v>409</v>
      </c>
    </row>
    <row r="505" spans="1:2" x14ac:dyDescent="0.3">
      <c r="A505" t="s">
        <v>26</v>
      </c>
      <c r="B505" t="s">
        <v>369</v>
      </c>
    </row>
    <row r="506" spans="1:2" x14ac:dyDescent="0.3">
      <c r="A506" t="s">
        <v>26</v>
      </c>
      <c r="B506" t="s">
        <v>138</v>
      </c>
    </row>
    <row r="507" spans="1:2" x14ac:dyDescent="0.3">
      <c r="A507" t="s">
        <v>26</v>
      </c>
      <c r="B507" t="s">
        <v>461</v>
      </c>
    </row>
    <row r="508" spans="1:2" x14ac:dyDescent="0.3">
      <c r="A508" t="s">
        <v>26</v>
      </c>
      <c r="B508" t="s">
        <v>341</v>
      </c>
    </row>
    <row r="509" spans="1:2" x14ac:dyDescent="0.3">
      <c r="A509" t="s">
        <v>26</v>
      </c>
      <c r="B509" t="s">
        <v>433</v>
      </c>
    </row>
    <row r="510" spans="1:2" x14ac:dyDescent="0.3">
      <c r="A510" t="s">
        <v>26</v>
      </c>
      <c r="B510" t="s">
        <v>600</v>
      </c>
    </row>
    <row r="511" spans="1:2" x14ac:dyDescent="0.3">
      <c r="A511" t="s">
        <v>26</v>
      </c>
      <c r="B511" t="s">
        <v>412</v>
      </c>
    </row>
    <row r="512" spans="1:2" x14ac:dyDescent="0.3">
      <c r="A512" t="s">
        <v>26</v>
      </c>
      <c r="B512" t="s">
        <v>372</v>
      </c>
    </row>
    <row r="513" spans="1:2" x14ac:dyDescent="0.3">
      <c r="A513" t="s">
        <v>27</v>
      </c>
      <c r="B513" t="s">
        <v>27</v>
      </c>
    </row>
    <row r="514" spans="1:2" x14ac:dyDescent="0.3">
      <c r="A514" t="s">
        <v>27</v>
      </c>
      <c r="B514" t="s">
        <v>206</v>
      </c>
    </row>
    <row r="515" spans="1:2" x14ac:dyDescent="0.3">
      <c r="A515" t="s">
        <v>27</v>
      </c>
      <c r="B515" t="s">
        <v>59</v>
      </c>
    </row>
    <row r="516" spans="1:2" x14ac:dyDescent="0.3">
      <c r="A516" t="s">
        <v>27</v>
      </c>
      <c r="B516" t="s">
        <v>407</v>
      </c>
    </row>
    <row r="517" spans="1:2" x14ac:dyDescent="0.3">
      <c r="A517" t="s">
        <v>27</v>
      </c>
      <c r="B517" t="s">
        <v>255</v>
      </c>
    </row>
    <row r="518" spans="1:2" x14ac:dyDescent="0.3">
      <c r="A518" t="s">
        <v>27</v>
      </c>
      <c r="B518" t="s">
        <v>193</v>
      </c>
    </row>
    <row r="519" spans="1:2" x14ac:dyDescent="0.3">
      <c r="A519" t="s">
        <v>27</v>
      </c>
      <c r="B519" t="s">
        <v>424</v>
      </c>
    </row>
    <row r="520" spans="1:2" x14ac:dyDescent="0.3">
      <c r="A520" t="s">
        <v>27</v>
      </c>
      <c r="B520" t="s">
        <v>359</v>
      </c>
    </row>
    <row r="521" spans="1:2" x14ac:dyDescent="0.3">
      <c r="A521" t="s">
        <v>27</v>
      </c>
      <c r="B521" t="s">
        <v>275</v>
      </c>
    </row>
    <row r="522" spans="1:2" x14ac:dyDescent="0.3">
      <c r="A522" t="s">
        <v>27</v>
      </c>
      <c r="B522" t="s">
        <v>254</v>
      </c>
    </row>
    <row r="523" spans="1:2" x14ac:dyDescent="0.3">
      <c r="A523" t="s">
        <v>27</v>
      </c>
      <c r="B523" t="s">
        <v>270</v>
      </c>
    </row>
    <row r="524" spans="1:2" x14ac:dyDescent="0.3">
      <c r="A524" t="s">
        <v>27</v>
      </c>
      <c r="B524" t="s">
        <v>152</v>
      </c>
    </row>
    <row r="525" spans="1:2" x14ac:dyDescent="0.3">
      <c r="A525" t="s">
        <v>27</v>
      </c>
      <c r="B525" t="s">
        <v>670</v>
      </c>
    </row>
    <row r="526" spans="1:2" x14ac:dyDescent="0.3">
      <c r="A526" t="s">
        <v>27</v>
      </c>
      <c r="B526" t="s">
        <v>238</v>
      </c>
    </row>
    <row r="527" spans="1:2" x14ac:dyDescent="0.3">
      <c r="A527" t="s">
        <v>27</v>
      </c>
      <c r="B527" t="s">
        <v>333</v>
      </c>
    </row>
    <row r="528" spans="1:2" x14ac:dyDescent="0.3">
      <c r="A528" t="s">
        <v>27</v>
      </c>
      <c r="B528" t="s">
        <v>248</v>
      </c>
    </row>
    <row r="529" spans="1:2" x14ac:dyDescent="0.3">
      <c r="A529" t="s">
        <v>27</v>
      </c>
      <c r="B529" t="s">
        <v>71</v>
      </c>
    </row>
    <row r="530" spans="1:2" x14ac:dyDescent="0.3">
      <c r="A530" t="s">
        <v>27</v>
      </c>
      <c r="B530" t="s">
        <v>379</v>
      </c>
    </row>
    <row r="531" spans="1:2" x14ac:dyDescent="0.3">
      <c r="A531" t="s">
        <v>27</v>
      </c>
      <c r="B531" t="s">
        <v>304</v>
      </c>
    </row>
    <row r="532" spans="1:2" x14ac:dyDescent="0.3">
      <c r="A532" t="s">
        <v>27</v>
      </c>
      <c r="B532" t="s">
        <v>510</v>
      </c>
    </row>
    <row r="533" spans="1:2" x14ac:dyDescent="0.3">
      <c r="A533" t="s">
        <v>27</v>
      </c>
      <c r="B533" t="s">
        <v>310</v>
      </c>
    </row>
    <row r="534" spans="1:2" x14ac:dyDescent="0.3">
      <c r="A534" t="s">
        <v>27</v>
      </c>
      <c r="B534" t="s">
        <v>67</v>
      </c>
    </row>
    <row r="535" spans="1:2" x14ac:dyDescent="0.3">
      <c r="A535" t="s">
        <v>27</v>
      </c>
      <c r="B535" t="s">
        <v>102</v>
      </c>
    </row>
    <row r="536" spans="1:2" x14ac:dyDescent="0.3">
      <c r="A536" t="s">
        <v>27</v>
      </c>
      <c r="B536" t="s">
        <v>432</v>
      </c>
    </row>
    <row r="537" spans="1:2" x14ac:dyDescent="0.3">
      <c r="A537" t="s">
        <v>27</v>
      </c>
      <c r="B537" t="s">
        <v>608</v>
      </c>
    </row>
    <row r="538" spans="1:2" x14ac:dyDescent="0.3">
      <c r="A538" t="s">
        <v>27</v>
      </c>
      <c r="B538" t="s">
        <v>707</v>
      </c>
    </row>
    <row r="539" spans="1:2" x14ac:dyDescent="0.3">
      <c r="A539" t="s">
        <v>27</v>
      </c>
      <c r="B539" t="s">
        <v>306</v>
      </c>
    </row>
    <row r="540" spans="1:2" x14ac:dyDescent="0.3">
      <c r="A540" t="s">
        <v>27</v>
      </c>
      <c r="B540" t="s">
        <v>132</v>
      </c>
    </row>
    <row r="541" spans="1:2" x14ac:dyDescent="0.3">
      <c r="A541" t="s">
        <v>27</v>
      </c>
      <c r="B541" t="s">
        <v>153</v>
      </c>
    </row>
    <row r="542" spans="1:2" x14ac:dyDescent="0.3">
      <c r="A542" t="s">
        <v>27</v>
      </c>
      <c r="B542" t="s">
        <v>217</v>
      </c>
    </row>
    <row r="543" spans="1:2" x14ac:dyDescent="0.3">
      <c r="A543" t="s">
        <v>27</v>
      </c>
      <c r="B543" t="s">
        <v>708</v>
      </c>
    </row>
    <row r="544" spans="1:2" x14ac:dyDescent="0.3">
      <c r="A544" t="s">
        <v>27</v>
      </c>
      <c r="B544" t="s">
        <v>355</v>
      </c>
    </row>
    <row r="545" spans="1:2" x14ac:dyDescent="0.3">
      <c r="A545" t="s">
        <v>27</v>
      </c>
      <c r="B545" t="s">
        <v>709</v>
      </c>
    </row>
    <row r="546" spans="1:2" x14ac:dyDescent="0.3">
      <c r="A546" t="s">
        <v>27</v>
      </c>
      <c r="B546" t="s">
        <v>215</v>
      </c>
    </row>
    <row r="547" spans="1:2" x14ac:dyDescent="0.3">
      <c r="A547" t="s">
        <v>27</v>
      </c>
      <c r="B547" t="s">
        <v>297</v>
      </c>
    </row>
    <row r="548" spans="1:2" x14ac:dyDescent="0.3">
      <c r="A548" t="s">
        <v>27</v>
      </c>
      <c r="B548" t="s">
        <v>565</v>
      </c>
    </row>
    <row r="549" spans="1:2" x14ac:dyDescent="0.3">
      <c r="A549" t="s">
        <v>27</v>
      </c>
      <c r="B549" t="s">
        <v>727</v>
      </c>
    </row>
    <row r="550" spans="1:2" x14ac:dyDescent="0.3">
      <c r="A550" t="s">
        <v>27</v>
      </c>
      <c r="B550" t="s">
        <v>203</v>
      </c>
    </row>
    <row r="551" spans="1:2" x14ac:dyDescent="0.3">
      <c r="A551" t="s">
        <v>27</v>
      </c>
      <c r="B551" t="s">
        <v>196</v>
      </c>
    </row>
    <row r="552" spans="1:2" x14ac:dyDescent="0.3">
      <c r="A552" t="s">
        <v>27</v>
      </c>
      <c r="B552" t="s">
        <v>298</v>
      </c>
    </row>
    <row r="553" spans="1:2" x14ac:dyDescent="0.3">
      <c r="A553" t="s">
        <v>27</v>
      </c>
      <c r="B553" t="s">
        <v>326</v>
      </c>
    </row>
    <row r="554" spans="1:2" x14ac:dyDescent="0.3">
      <c r="A554" t="s">
        <v>27</v>
      </c>
      <c r="B554" t="s">
        <v>330</v>
      </c>
    </row>
    <row r="555" spans="1:2" x14ac:dyDescent="0.3">
      <c r="A555" t="s">
        <v>27</v>
      </c>
      <c r="B555" t="s">
        <v>343</v>
      </c>
    </row>
    <row r="556" spans="1:2" x14ac:dyDescent="0.3">
      <c r="A556" t="s">
        <v>27</v>
      </c>
      <c r="B556" t="s">
        <v>189</v>
      </c>
    </row>
    <row r="557" spans="1:2" x14ac:dyDescent="0.3">
      <c r="A557" t="s">
        <v>27</v>
      </c>
      <c r="B557" t="s">
        <v>97</v>
      </c>
    </row>
    <row r="558" spans="1:2" x14ac:dyDescent="0.3">
      <c r="A558" t="s">
        <v>27</v>
      </c>
      <c r="B558" t="s">
        <v>78</v>
      </c>
    </row>
    <row r="559" spans="1:2" x14ac:dyDescent="0.3">
      <c r="A559" t="s">
        <v>27</v>
      </c>
      <c r="B559" t="s">
        <v>143</v>
      </c>
    </row>
    <row r="560" spans="1:2" x14ac:dyDescent="0.3">
      <c r="A560" t="s">
        <v>27</v>
      </c>
      <c r="B560" t="s">
        <v>436</v>
      </c>
    </row>
    <row r="561" spans="1:2" x14ac:dyDescent="0.3">
      <c r="A561" t="s">
        <v>27</v>
      </c>
      <c r="B561" t="s">
        <v>545</v>
      </c>
    </row>
    <row r="562" spans="1:2" x14ac:dyDescent="0.3">
      <c r="A562" t="s">
        <v>27</v>
      </c>
      <c r="B562" t="s">
        <v>269</v>
      </c>
    </row>
    <row r="563" spans="1:2" x14ac:dyDescent="0.3">
      <c r="A563" t="s">
        <v>27</v>
      </c>
      <c r="B563" t="s">
        <v>65</v>
      </c>
    </row>
    <row r="564" spans="1:2" x14ac:dyDescent="0.3">
      <c r="A564" t="s">
        <v>27</v>
      </c>
      <c r="B564" t="s">
        <v>201</v>
      </c>
    </row>
    <row r="565" spans="1:2" x14ac:dyDescent="0.3">
      <c r="A565" t="s">
        <v>27</v>
      </c>
      <c r="B565" t="s">
        <v>329</v>
      </c>
    </row>
    <row r="566" spans="1:2" x14ac:dyDescent="0.3">
      <c r="A566" t="s">
        <v>27</v>
      </c>
      <c r="B566" t="s">
        <v>261</v>
      </c>
    </row>
    <row r="567" spans="1:2" x14ac:dyDescent="0.3">
      <c r="A567" t="s">
        <v>27</v>
      </c>
      <c r="B567" t="s">
        <v>418</v>
      </c>
    </row>
    <row r="568" spans="1:2" x14ac:dyDescent="0.3">
      <c r="A568" t="s">
        <v>27</v>
      </c>
      <c r="B568" t="s">
        <v>490</v>
      </c>
    </row>
    <row r="569" spans="1:2" x14ac:dyDescent="0.3">
      <c r="A569" t="s">
        <v>27</v>
      </c>
      <c r="B569" t="s">
        <v>385</v>
      </c>
    </row>
    <row r="570" spans="1:2" x14ac:dyDescent="0.3">
      <c r="A570" t="s">
        <v>27</v>
      </c>
      <c r="B570" t="s">
        <v>337</v>
      </c>
    </row>
    <row r="571" spans="1:2" x14ac:dyDescent="0.3">
      <c r="A571" t="s">
        <v>27</v>
      </c>
      <c r="B571" t="s">
        <v>224</v>
      </c>
    </row>
    <row r="572" spans="1:2" x14ac:dyDescent="0.3">
      <c r="A572" t="s">
        <v>27</v>
      </c>
      <c r="B572" t="s">
        <v>208</v>
      </c>
    </row>
    <row r="573" spans="1:2" x14ac:dyDescent="0.3">
      <c r="A573" t="s">
        <v>27</v>
      </c>
      <c r="B573" t="s">
        <v>501</v>
      </c>
    </row>
    <row r="574" spans="1:2" x14ac:dyDescent="0.3">
      <c r="A574" t="s">
        <v>27</v>
      </c>
      <c r="B574" t="s">
        <v>419</v>
      </c>
    </row>
    <row r="575" spans="1:2" x14ac:dyDescent="0.3">
      <c r="A575" t="s">
        <v>27</v>
      </c>
      <c r="B575" t="s">
        <v>126</v>
      </c>
    </row>
    <row r="576" spans="1:2" x14ac:dyDescent="0.3">
      <c r="A576" t="s">
        <v>27</v>
      </c>
      <c r="B576" t="s">
        <v>485</v>
      </c>
    </row>
    <row r="577" spans="1:2" x14ac:dyDescent="0.3">
      <c r="A577" t="s">
        <v>27</v>
      </c>
      <c r="B577" t="s">
        <v>190</v>
      </c>
    </row>
    <row r="578" spans="1:2" x14ac:dyDescent="0.3">
      <c r="A578" t="s">
        <v>27</v>
      </c>
      <c r="B578" t="s">
        <v>56</v>
      </c>
    </row>
    <row r="579" spans="1:2" x14ac:dyDescent="0.3">
      <c r="A579" t="s">
        <v>27</v>
      </c>
      <c r="B579" t="s">
        <v>394</v>
      </c>
    </row>
    <row r="580" spans="1:2" x14ac:dyDescent="0.3">
      <c r="A580" t="s">
        <v>27</v>
      </c>
      <c r="B580" t="s">
        <v>488</v>
      </c>
    </row>
    <row r="581" spans="1:2" x14ac:dyDescent="0.3">
      <c r="A581" t="s">
        <v>27</v>
      </c>
      <c r="B581" t="s">
        <v>228</v>
      </c>
    </row>
    <row r="582" spans="1:2" x14ac:dyDescent="0.3">
      <c r="A582" t="s">
        <v>27</v>
      </c>
      <c r="B582" t="s">
        <v>581</v>
      </c>
    </row>
    <row r="583" spans="1:2" x14ac:dyDescent="0.3">
      <c r="A583" t="s">
        <v>27</v>
      </c>
      <c r="B583" t="s">
        <v>582</v>
      </c>
    </row>
    <row r="584" spans="1:2" x14ac:dyDescent="0.3">
      <c r="A584" t="s">
        <v>27</v>
      </c>
      <c r="B584" t="s">
        <v>251</v>
      </c>
    </row>
    <row r="585" spans="1:2" x14ac:dyDescent="0.3">
      <c r="A585" t="s">
        <v>27</v>
      </c>
      <c r="B585" t="s">
        <v>625</v>
      </c>
    </row>
    <row r="586" spans="1:2" x14ac:dyDescent="0.3">
      <c r="A586" t="s">
        <v>27</v>
      </c>
      <c r="B586" t="s">
        <v>467</v>
      </c>
    </row>
    <row r="587" spans="1:2" x14ac:dyDescent="0.3">
      <c r="A587" t="s">
        <v>28</v>
      </c>
      <c r="B587" t="s">
        <v>28</v>
      </c>
    </row>
    <row r="588" spans="1:2" x14ac:dyDescent="0.3">
      <c r="A588" t="s">
        <v>28</v>
      </c>
      <c r="B588" t="s">
        <v>112</v>
      </c>
    </row>
    <row r="589" spans="1:2" x14ac:dyDescent="0.3">
      <c r="A589" t="s">
        <v>28</v>
      </c>
      <c r="B589" t="s">
        <v>604</v>
      </c>
    </row>
    <row r="590" spans="1:2" x14ac:dyDescent="0.3">
      <c r="A590" t="s">
        <v>28</v>
      </c>
      <c r="B590" t="s">
        <v>235</v>
      </c>
    </row>
    <row r="591" spans="1:2" x14ac:dyDescent="0.3">
      <c r="A591" t="s">
        <v>28</v>
      </c>
      <c r="B591" t="s">
        <v>674</v>
      </c>
    </row>
    <row r="592" spans="1:2" x14ac:dyDescent="0.3">
      <c r="A592" t="s">
        <v>28</v>
      </c>
      <c r="B592" t="s">
        <v>91</v>
      </c>
    </row>
    <row r="593" spans="1:2" x14ac:dyDescent="0.3">
      <c r="A593" t="s">
        <v>28</v>
      </c>
      <c r="B593" t="s">
        <v>85</v>
      </c>
    </row>
    <row r="594" spans="1:2" x14ac:dyDescent="0.3">
      <c r="A594" t="s">
        <v>28</v>
      </c>
      <c r="B594" t="s">
        <v>81</v>
      </c>
    </row>
    <row r="595" spans="1:2" x14ac:dyDescent="0.3">
      <c r="A595" t="s">
        <v>28</v>
      </c>
      <c r="B595" t="s">
        <v>614</v>
      </c>
    </row>
    <row r="596" spans="1:2" x14ac:dyDescent="0.3">
      <c r="A596" t="s">
        <v>28</v>
      </c>
      <c r="B596" t="s">
        <v>159</v>
      </c>
    </row>
    <row r="597" spans="1:2" x14ac:dyDescent="0.3">
      <c r="A597" t="s">
        <v>28</v>
      </c>
      <c r="B597" t="s">
        <v>220</v>
      </c>
    </row>
    <row r="598" spans="1:2" x14ac:dyDescent="0.3">
      <c r="A598" t="s">
        <v>28</v>
      </c>
      <c r="B598" t="s">
        <v>167</v>
      </c>
    </row>
    <row r="599" spans="1:2" x14ac:dyDescent="0.3">
      <c r="A599" t="s">
        <v>28</v>
      </c>
      <c r="B599" t="s">
        <v>191</v>
      </c>
    </row>
    <row r="600" spans="1:2" x14ac:dyDescent="0.3">
      <c r="A600" t="s">
        <v>29</v>
      </c>
      <c r="B600" t="s">
        <v>29</v>
      </c>
    </row>
    <row r="601" spans="1:2" x14ac:dyDescent="0.3">
      <c r="A601" t="s">
        <v>29</v>
      </c>
      <c r="B601" t="s">
        <v>280</v>
      </c>
    </row>
    <row r="602" spans="1:2" x14ac:dyDescent="0.3">
      <c r="A602" t="s">
        <v>29</v>
      </c>
      <c r="B602" t="s">
        <v>212</v>
      </c>
    </row>
    <row r="603" spans="1:2" x14ac:dyDescent="0.3">
      <c r="A603" t="s">
        <v>29</v>
      </c>
      <c r="B603" t="s">
        <v>350</v>
      </c>
    </row>
    <row r="604" spans="1:2" x14ac:dyDescent="0.3">
      <c r="A604" t="s">
        <v>29</v>
      </c>
      <c r="B604" t="s">
        <v>447</v>
      </c>
    </row>
    <row r="605" spans="1:2" x14ac:dyDescent="0.3">
      <c r="A605" t="s">
        <v>29</v>
      </c>
      <c r="B605" t="s">
        <v>801</v>
      </c>
    </row>
    <row r="606" spans="1:2" x14ac:dyDescent="0.3">
      <c r="A606" t="s">
        <v>29</v>
      </c>
      <c r="B606" t="s">
        <v>76</v>
      </c>
    </row>
    <row r="607" spans="1:2" x14ac:dyDescent="0.3">
      <c r="A607" t="s">
        <v>29</v>
      </c>
      <c r="B607" t="s">
        <v>128</v>
      </c>
    </row>
    <row r="608" spans="1:2" x14ac:dyDescent="0.3">
      <c r="A608" t="s">
        <v>29</v>
      </c>
      <c r="B608" t="s">
        <v>373</v>
      </c>
    </row>
    <row r="609" spans="1:2" x14ac:dyDescent="0.3">
      <c r="A609" t="s">
        <v>29</v>
      </c>
      <c r="B609" t="s">
        <v>336</v>
      </c>
    </row>
    <row r="610" spans="1:2" x14ac:dyDescent="0.3">
      <c r="A610" t="s">
        <v>29</v>
      </c>
      <c r="B610" t="s">
        <v>393</v>
      </c>
    </row>
    <row r="611" spans="1:2" x14ac:dyDescent="0.3">
      <c r="A611" t="s">
        <v>29</v>
      </c>
      <c r="B611" t="s">
        <v>88</v>
      </c>
    </row>
    <row r="612" spans="1:2" x14ac:dyDescent="0.3">
      <c r="A612" t="s">
        <v>29</v>
      </c>
      <c r="B612" t="s">
        <v>92</v>
      </c>
    </row>
    <row r="613" spans="1:2" x14ac:dyDescent="0.3">
      <c r="A613" t="s">
        <v>29</v>
      </c>
      <c r="B613" t="s">
        <v>434</v>
      </c>
    </row>
    <row r="614" spans="1:2" x14ac:dyDescent="0.3">
      <c r="A614" t="s">
        <v>29</v>
      </c>
      <c r="B614" t="s">
        <v>156</v>
      </c>
    </row>
    <row r="615" spans="1:2" x14ac:dyDescent="0.3">
      <c r="A615" t="s">
        <v>29</v>
      </c>
      <c r="B615" t="s">
        <v>175</v>
      </c>
    </row>
    <row r="616" spans="1:2" x14ac:dyDescent="0.3">
      <c r="A616" t="s">
        <v>29</v>
      </c>
      <c r="B616" t="s">
        <v>240</v>
      </c>
    </row>
    <row r="617" spans="1:2" x14ac:dyDescent="0.3">
      <c r="A617" t="s">
        <v>29</v>
      </c>
      <c r="B617" t="s">
        <v>209</v>
      </c>
    </row>
    <row r="618" spans="1:2" x14ac:dyDescent="0.3">
      <c r="A618" t="s">
        <v>29</v>
      </c>
      <c r="B618" t="s">
        <v>802</v>
      </c>
    </row>
    <row r="619" spans="1:2" x14ac:dyDescent="0.3">
      <c r="A619" t="s">
        <v>29</v>
      </c>
      <c r="B619" t="s">
        <v>158</v>
      </c>
    </row>
    <row r="620" spans="1:2" x14ac:dyDescent="0.3">
      <c r="A620" t="s">
        <v>29</v>
      </c>
      <c r="B620" t="s">
        <v>161</v>
      </c>
    </row>
    <row r="621" spans="1:2" x14ac:dyDescent="0.3">
      <c r="A621" t="s">
        <v>29</v>
      </c>
      <c r="B621" t="s">
        <v>639</v>
      </c>
    </row>
    <row r="622" spans="1:2" x14ac:dyDescent="0.3">
      <c r="A622" t="s">
        <v>29</v>
      </c>
      <c r="B622" t="s">
        <v>151</v>
      </c>
    </row>
    <row r="623" spans="1:2" x14ac:dyDescent="0.3">
      <c r="A623" t="s">
        <v>29</v>
      </c>
      <c r="B623" t="s">
        <v>502</v>
      </c>
    </row>
    <row r="624" spans="1:2" x14ac:dyDescent="0.3">
      <c r="A624" t="s">
        <v>29</v>
      </c>
      <c r="B624" t="s">
        <v>295</v>
      </c>
    </row>
    <row r="625" spans="1:2" x14ac:dyDescent="0.3">
      <c r="A625" t="s">
        <v>29</v>
      </c>
      <c r="B625" t="s">
        <v>122</v>
      </c>
    </row>
    <row r="626" spans="1:2" x14ac:dyDescent="0.3">
      <c r="A626" t="s">
        <v>30</v>
      </c>
      <c r="B626" t="s">
        <v>30</v>
      </c>
    </row>
    <row r="627" spans="1:2" x14ac:dyDescent="0.3">
      <c r="A627" t="s">
        <v>30</v>
      </c>
      <c r="B627" t="s">
        <v>401</v>
      </c>
    </row>
    <row r="628" spans="1:2" x14ac:dyDescent="0.3">
      <c r="A628" t="s">
        <v>30</v>
      </c>
      <c r="B628" t="s">
        <v>110</v>
      </c>
    </row>
    <row r="629" spans="1:2" x14ac:dyDescent="0.3">
      <c r="A629" t="s">
        <v>30</v>
      </c>
      <c r="B629" t="s">
        <v>351</v>
      </c>
    </row>
    <row r="630" spans="1:2" x14ac:dyDescent="0.3">
      <c r="A630" t="s">
        <v>30</v>
      </c>
      <c r="B630" t="s">
        <v>404</v>
      </c>
    </row>
    <row r="631" spans="1:2" x14ac:dyDescent="0.3">
      <c r="A631" t="s">
        <v>30</v>
      </c>
      <c r="B631" t="s">
        <v>80</v>
      </c>
    </row>
    <row r="632" spans="1:2" x14ac:dyDescent="0.3">
      <c r="A632" t="s">
        <v>30</v>
      </c>
      <c r="B632" t="s">
        <v>60</v>
      </c>
    </row>
    <row r="633" spans="1:2" x14ac:dyDescent="0.3">
      <c r="A633" t="s">
        <v>30</v>
      </c>
      <c r="B633" t="s">
        <v>106</v>
      </c>
    </row>
    <row r="634" spans="1:2" x14ac:dyDescent="0.3">
      <c r="A634" t="s">
        <v>30</v>
      </c>
      <c r="B634" t="s">
        <v>262</v>
      </c>
    </row>
    <row r="635" spans="1:2" x14ac:dyDescent="0.3">
      <c r="A635" t="s">
        <v>30</v>
      </c>
      <c r="B635" t="s">
        <v>62</v>
      </c>
    </row>
    <row r="636" spans="1:2" x14ac:dyDescent="0.3">
      <c r="A636" t="s">
        <v>30</v>
      </c>
      <c r="B636" t="s">
        <v>688</v>
      </c>
    </row>
    <row r="637" spans="1:2" x14ac:dyDescent="0.3">
      <c r="A637" t="s">
        <v>30</v>
      </c>
      <c r="B637" t="s">
        <v>324</v>
      </c>
    </row>
    <row r="638" spans="1:2" x14ac:dyDescent="0.3">
      <c r="A638" t="s">
        <v>30</v>
      </c>
      <c r="B638" t="s">
        <v>142</v>
      </c>
    </row>
    <row r="639" spans="1:2" x14ac:dyDescent="0.3">
      <c r="A639" t="s">
        <v>30</v>
      </c>
      <c r="B639" t="s">
        <v>405</v>
      </c>
    </row>
    <row r="640" spans="1:2" x14ac:dyDescent="0.3">
      <c r="A640" t="s">
        <v>30</v>
      </c>
      <c r="B640" t="s">
        <v>211</v>
      </c>
    </row>
    <row r="641" spans="1:2" x14ac:dyDescent="0.3">
      <c r="A641" t="s">
        <v>30</v>
      </c>
      <c r="B641" t="s">
        <v>344</v>
      </c>
    </row>
    <row r="642" spans="1:2" x14ac:dyDescent="0.3">
      <c r="A642" t="s">
        <v>30</v>
      </c>
      <c r="B642" t="s">
        <v>163</v>
      </c>
    </row>
    <row r="643" spans="1:2" x14ac:dyDescent="0.3">
      <c r="A643" t="s">
        <v>30</v>
      </c>
      <c r="B643" t="s">
        <v>87</v>
      </c>
    </row>
    <row r="644" spans="1:2" x14ac:dyDescent="0.3">
      <c r="A644" t="s">
        <v>30</v>
      </c>
      <c r="B644" t="s">
        <v>286</v>
      </c>
    </row>
    <row r="645" spans="1:2" x14ac:dyDescent="0.3">
      <c r="A645" t="s">
        <v>30</v>
      </c>
      <c r="B645" t="s">
        <v>247</v>
      </c>
    </row>
    <row r="646" spans="1:2" x14ac:dyDescent="0.3">
      <c r="A646" t="s">
        <v>30</v>
      </c>
      <c r="B646" t="s">
        <v>288</v>
      </c>
    </row>
    <row r="647" spans="1:2" x14ac:dyDescent="0.3">
      <c r="A647" t="s">
        <v>30</v>
      </c>
      <c r="B647" t="s">
        <v>267</v>
      </c>
    </row>
    <row r="648" spans="1:2" x14ac:dyDescent="0.3">
      <c r="A648" t="s">
        <v>30</v>
      </c>
      <c r="B648" t="s">
        <v>192</v>
      </c>
    </row>
    <row r="649" spans="1:2" x14ac:dyDescent="0.3">
      <c r="A649" t="s">
        <v>31</v>
      </c>
      <c r="B649" t="s">
        <v>31</v>
      </c>
    </row>
    <row r="650" spans="1:2" x14ac:dyDescent="0.3">
      <c r="A650" t="s">
        <v>31</v>
      </c>
      <c r="B650" t="s">
        <v>181</v>
      </c>
    </row>
    <row r="651" spans="1:2" x14ac:dyDescent="0.3">
      <c r="A651" t="s">
        <v>31</v>
      </c>
      <c r="B651" t="s">
        <v>99</v>
      </c>
    </row>
    <row r="652" spans="1:2" x14ac:dyDescent="0.3">
      <c r="A652" t="s">
        <v>31</v>
      </c>
      <c r="B652" t="s">
        <v>84</v>
      </c>
    </row>
    <row r="653" spans="1:2" x14ac:dyDescent="0.3">
      <c r="A653" t="s">
        <v>31</v>
      </c>
      <c r="B653" t="s">
        <v>75</v>
      </c>
    </row>
    <row r="654" spans="1:2" x14ac:dyDescent="0.3">
      <c r="A654" t="s">
        <v>31</v>
      </c>
      <c r="B654" t="s">
        <v>120</v>
      </c>
    </row>
    <row r="655" spans="1:2" x14ac:dyDescent="0.3">
      <c r="A655" t="s">
        <v>31</v>
      </c>
      <c r="B655" t="s">
        <v>125</v>
      </c>
    </row>
    <row r="656" spans="1:2" x14ac:dyDescent="0.3">
      <c r="A656" t="s">
        <v>31</v>
      </c>
      <c r="B656" t="s">
        <v>218</v>
      </c>
    </row>
    <row r="657" spans="1:2" x14ac:dyDescent="0.3">
      <c r="A657" t="s">
        <v>31</v>
      </c>
      <c r="B657" t="s">
        <v>68</v>
      </c>
    </row>
    <row r="658" spans="1:2" x14ac:dyDescent="0.3">
      <c r="A658" t="s">
        <v>31</v>
      </c>
      <c r="B658" t="s">
        <v>169</v>
      </c>
    </row>
    <row r="659" spans="1:2" x14ac:dyDescent="0.3">
      <c r="A659" t="s">
        <v>31</v>
      </c>
      <c r="B659" t="s">
        <v>109</v>
      </c>
    </row>
    <row r="660" spans="1:2" x14ac:dyDescent="0.3">
      <c r="A660" t="s">
        <v>32</v>
      </c>
      <c r="B660" t="s">
        <v>32</v>
      </c>
    </row>
    <row r="661" spans="1:2" x14ac:dyDescent="0.3">
      <c r="A661" t="s">
        <v>32</v>
      </c>
      <c r="B661" t="s">
        <v>354</v>
      </c>
    </row>
    <row r="662" spans="1:2" x14ac:dyDescent="0.3">
      <c r="A662" t="s">
        <v>32</v>
      </c>
      <c r="B662" t="s">
        <v>449</v>
      </c>
    </row>
    <row r="663" spans="1:2" x14ac:dyDescent="0.3">
      <c r="A663" t="s">
        <v>32</v>
      </c>
      <c r="B663" t="s">
        <v>63</v>
      </c>
    </row>
    <row r="664" spans="1:2" x14ac:dyDescent="0.3">
      <c r="A664" t="s">
        <v>32</v>
      </c>
      <c r="B664" t="s">
        <v>55</v>
      </c>
    </row>
    <row r="665" spans="1:2" x14ac:dyDescent="0.3">
      <c r="A665" t="s">
        <v>32</v>
      </c>
      <c r="B665" t="s">
        <v>364</v>
      </c>
    </row>
    <row r="666" spans="1:2" x14ac:dyDescent="0.3">
      <c r="A666" t="s">
        <v>32</v>
      </c>
      <c r="B666" t="s">
        <v>437</v>
      </c>
    </row>
    <row r="667" spans="1:2" x14ac:dyDescent="0.3">
      <c r="A667" t="s">
        <v>32</v>
      </c>
      <c r="B667" t="s">
        <v>415</v>
      </c>
    </row>
    <row r="668" spans="1:2" x14ac:dyDescent="0.3">
      <c r="A668" t="s">
        <v>32</v>
      </c>
      <c r="B668" t="s">
        <v>61</v>
      </c>
    </row>
    <row r="669" spans="1:2" x14ac:dyDescent="0.3">
      <c r="A669" t="s">
        <v>32</v>
      </c>
      <c r="B669" t="s">
        <v>305</v>
      </c>
    </row>
    <row r="670" spans="1:2" x14ac:dyDescent="0.3">
      <c r="A670" t="s">
        <v>32</v>
      </c>
      <c r="B670" t="s">
        <v>318</v>
      </c>
    </row>
    <row r="671" spans="1:2" x14ac:dyDescent="0.3">
      <c r="A671" t="s">
        <v>33</v>
      </c>
      <c r="B671" t="s">
        <v>33</v>
      </c>
    </row>
    <row r="672" spans="1:2" x14ac:dyDescent="0.3">
      <c r="A672" t="s">
        <v>33</v>
      </c>
      <c r="B672" t="s">
        <v>302</v>
      </c>
    </row>
    <row r="673" spans="1:2" x14ac:dyDescent="0.3">
      <c r="A673" t="s">
        <v>33</v>
      </c>
      <c r="B673" t="s">
        <v>303</v>
      </c>
    </row>
    <row r="674" spans="1:2" x14ac:dyDescent="0.3">
      <c r="A674" t="s">
        <v>33</v>
      </c>
      <c r="B674" t="s">
        <v>168</v>
      </c>
    </row>
    <row r="675" spans="1:2" x14ac:dyDescent="0.3">
      <c r="A675" t="s">
        <v>33</v>
      </c>
      <c r="B675" t="s">
        <v>239</v>
      </c>
    </row>
    <row r="676" spans="1:2" x14ac:dyDescent="0.3">
      <c r="A676" t="s">
        <v>33</v>
      </c>
      <c r="B676" t="s">
        <v>472</v>
      </c>
    </row>
    <row r="677" spans="1:2" x14ac:dyDescent="0.3">
      <c r="A677" t="s">
        <v>33</v>
      </c>
      <c r="B677" t="s">
        <v>154</v>
      </c>
    </row>
    <row r="678" spans="1:2" x14ac:dyDescent="0.3">
      <c r="A678" t="s">
        <v>33</v>
      </c>
      <c r="B678" t="s">
        <v>146</v>
      </c>
    </row>
    <row r="679" spans="1:2" x14ac:dyDescent="0.3">
      <c r="A679" t="s">
        <v>33</v>
      </c>
      <c r="B679" t="s">
        <v>150</v>
      </c>
    </row>
    <row r="680" spans="1:2" x14ac:dyDescent="0.3">
      <c r="A680" t="s">
        <v>33</v>
      </c>
      <c r="B680" t="s">
        <v>441</v>
      </c>
    </row>
    <row r="681" spans="1:2" x14ac:dyDescent="0.3">
      <c r="A681" t="s">
        <v>33</v>
      </c>
      <c r="B681" t="s">
        <v>371</v>
      </c>
    </row>
    <row r="682" spans="1:2" x14ac:dyDescent="0.3">
      <c r="A682" t="s">
        <v>34</v>
      </c>
      <c r="B682" t="s">
        <v>34</v>
      </c>
    </row>
    <row r="683" spans="1:2" x14ac:dyDescent="0.3">
      <c r="A683" t="s">
        <v>34</v>
      </c>
      <c r="B683" t="s">
        <v>651</v>
      </c>
    </row>
    <row r="684" spans="1:2" x14ac:dyDescent="0.3">
      <c r="A684" t="s">
        <v>34</v>
      </c>
      <c r="B684" t="s">
        <v>634</v>
      </c>
    </row>
    <row r="685" spans="1:2" x14ac:dyDescent="0.3">
      <c r="A685" t="s">
        <v>34</v>
      </c>
      <c r="B685" t="s">
        <v>505</v>
      </c>
    </row>
    <row r="686" spans="1:2" x14ac:dyDescent="0.3">
      <c r="A686" t="s">
        <v>34</v>
      </c>
      <c r="B686" t="s">
        <v>809</v>
      </c>
    </row>
    <row r="687" spans="1:2" x14ac:dyDescent="0.3">
      <c r="A687" t="s">
        <v>34</v>
      </c>
      <c r="B687" t="s">
        <v>814</v>
      </c>
    </row>
    <row r="688" spans="1:2" x14ac:dyDescent="0.3">
      <c r="A688" t="s">
        <v>34</v>
      </c>
      <c r="B688" t="s">
        <v>308</v>
      </c>
    </row>
    <row r="689" spans="1:2" x14ac:dyDescent="0.3">
      <c r="A689" t="s">
        <v>34</v>
      </c>
      <c r="B689" t="s">
        <v>813</v>
      </c>
    </row>
    <row r="690" spans="1:2" x14ac:dyDescent="0.3">
      <c r="A690" t="s">
        <v>34</v>
      </c>
      <c r="B690" t="s">
        <v>473</v>
      </c>
    </row>
    <row r="691" spans="1:2" x14ac:dyDescent="0.3">
      <c r="A691" t="s">
        <v>34</v>
      </c>
      <c r="B691" t="s">
        <v>810</v>
      </c>
    </row>
    <row r="692" spans="1:2" x14ac:dyDescent="0.3">
      <c r="A692" t="s">
        <v>34</v>
      </c>
      <c r="B692" t="s">
        <v>483</v>
      </c>
    </row>
    <row r="693" spans="1:2" x14ac:dyDescent="0.3">
      <c r="A693" t="s">
        <v>34</v>
      </c>
      <c r="B693" t="s">
        <v>339</v>
      </c>
    </row>
    <row r="694" spans="1:2" x14ac:dyDescent="0.3">
      <c r="A694" t="s">
        <v>34</v>
      </c>
      <c r="B694" t="s">
        <v>439</v>
      </c>
    </row>
    <row r="695" spans="1:2" x14ac:dyDescent="0.3">
      <c r="A695" t="s">
        <v>34</v>
      </c>
      <c r="B695" t="s">
        <v>574</v>
      </c>
    </row>
    <row r="696" spans="1:2" x14ac:dyDescent="0.3">
      <c r="A696" t="s">
        <v>34</v>
      </c>
      <c r="B696" t="s">
        <v>570</v>
      </c>
    </row>
    <row r="697" spans="1:2" x14ac:dyDescent="0.3">
      <c r="A697" t="s">
        <v>34</v>
      </c>
      <c r="B697" t="s">
        <v>602</v>
      </c>
    </row>
    <row r="698" spans="1:2" x14ac:dyDescent="0.3">
      <c r="A698" t="s">
        <v>35</v>
      </c>
      <c r="B698" t="s">
        <v>35</v>
      </c>
    </row>
    <row r="699" spans="1:2" x14ac:dyDescent="0.3">
      <c r="A699" t="s">
        <v>35</v>
      </c>
      <c r="B699" t="s">
        <v>456</v>
      </c>
    </row>
    <row r="700" spans="1:2" x14ac:dyDescent="0.3">
      <c r="A700" t="s">
        <v>35</v>
      </c>
      <c r="B700" t="s">
        <v>376</v>
      </c>
    </row>
    <row r="701" spans="1:2" x14ac:dyDescent="0.3">
      <c r="A701" t="s">
        <v>35</v>
      </c>
      <c r="B701" t="s">
        <v>558</v>
      </c>
    </row>
    <row r="702" spans="1:2" x14ac:dyDescent="0.3">
      <c r="A702" t="s">
        <v>35</v>
      </c>
      <c r="B702" t="s">
        <v>319</v>
      </c>
    </row>
    <row r="703" spans="1:2" x14ac:dyDescent="0.3">
      <c r="A703" t="s">
        <v>35</v>
      </c>
      <c r="B703" t="s">
        <v>465</v>
      </c>
    </row>
    <row r="704" spans="1:2" x14ac:dyDescent="0.3">
      <c r="A704" t="s">
        <v>35</v>
      </c>
      <c r="B704" t="s">
        <v>230</v>
      </c>
    </row>
    <row r="705" spans="1:2" x14ac:dyDescent="0.3">
      <c r="A705" t="s">
        <v>35</v>
      </c>
      <c r="B705" t="s">
        <v>496</v>
      </c>
    </row>
    <row r="706" spans="1:2" x14ac:dyDescent="0.3">
      <c r="A706" t="s">
        <v>35</v>
      </c>
      <c r="B706" t="s">
        <v>365</v>
      </c>
    </row>
    <row r="707" spans="1:2" x14ac:dyDescent="0.3">
      <c r="A707" t="s">
        <v>35</v>
      </c>
      <c r="B707" t="s">
        <v>630</v>
      </c>
    </row>
    <row r="708" spans="1:2" x14ac:dyDescent="0.3">
      <c r="A708" t="s">
        <v>35</v>
      </c>
      <c r="B708" t="s">
        <v>474</v>
      </c>
    </row>
    <row r="709" spans="1:2" x14ac:dyDescent="0.3">
      <c r="A709" t="s">
        <v>35</v>
      </c>
      <c r="B709" t="s">
        <v>395</v>
      </c>
    </row>
    <row r="710" spans="1:2" x14ac:dyDescent="0.3">
      <c r="A710" t="s">
        <v>35</v>
      </c>
      <c r="B710" t="s">
        <v>507</v>
      </c>
    </row>
    <row r="711" spans="1:2" x14ac:dyDescent="0.3">
      <c r="A711" t="s">
        <v>35</v>
      </c>
      <c r="B711" t="s">
        <v>340</v>
      </c>
    </row>
    <row r="712" spans="1:2" x14ac:dyDescent="0.3">
      <c r="A712" t="s">
        <v>35</v>
      </c>
      <c r="B712" t="s">
        <v>611</v>
      </c>
    </row>
    <row r="713" spans="1:2" x14ac:dyDescent="0.3">
      <c r="A713" t="s">
        <v>35</v>
      </c>
      <c r="B713" t="s">
        <v>541</v>
      </c>
    </row>
    <row r="714" spans="1:2" x14ac:dyDescent="0.3">
      <c r="A714" t="s">
        <v>35</v>
      </c>
      <c r="B714" t="s">
        <v>435</v>
      </c>
    </row>
    <row r="715" spans="1:2" x14ac:dyDescent="0.3">
      <c r="A715" t="s">
        <v>35</v>
      </c>
      <c r="B715" t="s">
        <v>534</v>
      </c>
    </row>
    <row r="716" spans="1:2" x14ac:dyDescent="0.3">
      <c r="A716" t="s">
        <v>35</v>
      </c>
      <c r="B716" t="s">
        <v>475</v>
      </c>
    </row>
    <row r="717" spans="1:2" x14ac:dyDescent="0.3">
      <c r="A717" t="s">
        <v>35</v>
      </c>
      <c r="B717" t="s">
        <v>311</v>
      </c>
    </row>
    <row r="718" spans="1:2" x14ac:dyDescent="0.3">
      <c r="A718" t="s">
        <v>35</v>
      </c>
      <c r="B718" t="s">
        <v>378</v>
      </c>
    </row>
    <row r="719" spans="1:2" x14ac:dyDescent="0.3">
      <c r="A719" t="s">
        <v>35</v>
      </c>
      <c r="B719" t="s">
        <v>353</v>
      </c>
    </row>
    <row r="720" spans="1:2" x14ac:dyDescent="0.3">
      <c r="A720" t="s">
        <v>35</v>
      </c>
      <c r="B720" t="s">
        <v>392</v>
      </c>
    </row>
    <row r="721" spans="1:2" x14ac:dyDescent="0.3">
      <c r="A721" t="s">
        <v>35</v>
      </c>
      <c r="B721" t="s">
        <v>421</v>
      </c>
    </row>
    <row r="722" spans="1:2" x14ac:dyDescent="0.3">
      <c r="A722" t="s">
        <v>35</v>
      </c>
      <c r="B722" t="s">
        <v>489</v>
      </c>
    </row>
    <row r="723" spans="1:2" x14ac:dyDescent="0.3">
      <c r="A723" t="s">
        <v>35</v>
      </c>
      <c r="B723" t="s">
        <v>411</v>
      </c>
    </row>
    <row r="724" spans="1:2" x14ac:dyDescent="0.3">
      <c r="A724" t="s">
        <v>35</v>
      </c>
      <c r="B724" t="s">
        <v>194</v>
      </c>
    </row>
    <row r="725" spans="1:2" x14ac:dyDescent="0.3">
      <c r="A725" t="s">
        <v>35</v>
      </c>
      <c r="B725" t="s">
        <v>594</v>
      </c>
    </row>
    <row r="726" spans="1:2" x14ac:dyDescent="0.3">
      <c r="A726" t="s">
        <v>35</v>
      </c>
      <c r="B726" t="s">
        <v>495</v>
      </c>
    </row>
    <row r="727" spans="1:2" x14ac:dyDescent="0.3">
      <c r="A727" t="s">
        <v>35</v>
      </c>
      <c r="B727" t="s">
        <v>493</v>
      </c>
    </row>
    <row r="728" spans="1:2" x14ac:dyDescent="0.3">
      <c r="A728" t="s">
        <v>35</v>
      </c>
      <c r="B728" t="s">
        <v>349</v>
      </c>
    </row>
    <row r="729" spans="1:2" x14ac:dyDescent="0.3">
      <c r="A729" t="s">
        <v>35</v>
      </c>
      <c r="B729" t="s">
        <v>521</v>
      </c>
    </row>
    <row r="730" spans="1:2" x14ac:dyDescent="0.3">
      <c r="A730" t="s">
        <v>35</v>
      </c>
      <c r="B730" t="s">
        <v>177</v>
      </c>
    </row>
    <row r="731" spans="1:2" x14ac:dyDescent="0.3">
      <c r="A731" t="s">
        <v>35</v>
      </c>
      <c r="B731" t="s">
        <v>428</v>
      </c>
    </row>
    <row r="732" spans="1:2" x14ac:dyDescent="0.3">
      <c r="A732" t="s">
        <v>35</v>
      </c>
      <c r="B732" t="s">
        <v>383</v>
      </c>
    </row>
    <row r="733" spans="1:2" x14ac:dyDescent="0.3">
      <c r="A733" t="s">
        <v>35</v>
      </c>
      <c r="B733" t="s">
        <v>445</v>
      </c>
    </row>
    <row r="734" spans="1:2" x14ac:dyDescent="0.3">
      <c r="A734" t="s">
        <v>36</v>
      </c>
      <c r="B734" t="s">
        <v>36</v>
      </c>
    </row>
    <row r="735" spans="1:2" x14ac:dyDescent="0.3">
      <c r="A735" t="s">
        <v>36</v>
      </c>
      <c r="B735" t="s">
        <v>338</v>
      </c>
    </row>
    <row r="736" spans="1:2" x14ac:dyDescent="0.3">
      <c r="A736" t="s">
        <v>36</v>
      </c>
      <c r="B736" t="s">
        <v>568</v>
      </c>
    </row>
    <row r="737" spans="1:2" x14ac:dyDescent="0.3">
      <c r="A737" t="s">
        <v>36</v>
      </c>
      <c r="B737" t="s">
        <v>271</v>
      </c>
    </row>
    <row r="738" spans="1:2" x14ac:dyDescent="0.3">
      <c r="A738" t="s">
        <v>36</v>
      </c>
      <c r="B738" t="s">
        <v>243</v>
      </c>
    </row>
    <row r="739" spans="1:2" x14ac:dyDescent="0.3">
      <c r="A739" t="s">
        <v>36</v>
      </c>
      <c r="B739" t="s">
        <v>83</v>
      </c>
    </row>
    <row r="740" spans="1:2" x14ac:dyDescent="0.3">
      <c r="A740" t="s">
        <v>36</v>
      </c>
      <c r="B740" t="s">
        <v>705</v>
      </c>
    </row>
    <row r="741" spans="1:2" x14ac:dyDescent="0.3">
      <c r="A741" t="s">
        <v>36</v>
      </c>
      <c r="B741" t="s">
        <v>315</v>
      </c>
    </row>
    <row r="742" spans="1:2" x14ac:dyDescent="0.3">
      <c r="A742" t="s">
        <v>36</v>
      </c>
      <c r="B742" t="s">
        <v>133</v>
      </c>
    </row>
    <row r="743" spans="1:2" x14ac:dyDescent="0.3">
      <c r="A743" t="s">
        <v>36</v>
      </c>
      <c r="B743" t="s">
        <v>375</v>
      </c>
    </row>
    <row r="744" spans="1:2" x14ac:dyDescent="0.3">
      <c r="A744" t="s">
        <v>36</v>
      </c>
      <c r="B744" t="s">
        <v>108</v>
      </c>
    </row>
    <row r="745" spans="1:2" x14ac:dyDescent="0.3">
      <c r="A745" t="s">
        <v>36</v>
      </c>
      <c r="B745" t="s">
        <v>768</v>
      </c>
    </row>
    <row r="746" spans="1:2" x14ac:dyDescent="0.3">
      <c r="A746" t="s">
        <v>36</v>
      </c>
      <c r="B746" t="s">
        <v>769</v>
      </c>
    </row>
    <row r="747" spans="1:2" x14ac:dyDescent="0.3">
      <c r="A747" t="s">
        <v>37</v>
      </c>
      <c r="B747" t="s">
        <v>37</v>
      </c>
    </row>
    <row r="748" spans="1:2" x14ac:dyDescent="0.3">
      <c r="A748" t="s">
        <v>37</v>
      </c>
      <c r="B748" t="s">
        <v>320</v>
      </c>
    </row>
    <row r="749" spans="1:2" x14ac:dyDescent="0.3">
      <c r="A749" t="s">
        <v>37</v>
      </c>
      <c r="B749" t="s">
        <v>811</v>
      </c>
    </row>
    <row r="750" spans="1:2" x14ac:dyDescent="0.3">
      <c r="A750" t="s">
        <v>37</v>
      </c>
      <c r="B750" t="s">
        <v>363</v>
      </c>
    </row>
    <row r="751" spans="1:2" x14ac:dyDescent="0.3">
      <c r="A751" t="s">
        <v>37</v>
      </c>
      <c r="B751" t="s">
        <v>685</v>
      </c>
    </row>
    <row r="752" spans="1:2" x14ac:dyDescent="0.3">
      <c r="A752" t="s">
        <v>37</v>
      </c>
      <c r="B752" t="s">
        <v>556</v>
      </c>
    </row>
    <row r="753" spans="1:2" x14ac:dyDescent="0.3">
      <c r="A753" t="s">
        <v>37</v>
      </c>
      <c r="B753" t="s">
        <v>397</v>
      </c>
    </row>
    <row r="754" spans="1:2" x14ac:dyDescent="0.3">
      <c r="A754" t="s">
        <v>37</v>
      </c>
      <c r="B754" t="s">
        <v>431</v>
      </c>
    </row>
    <row r="755" spans="1:2" x14ac:dyDescent="0.3">
      <c r="A755" t="s">
        <v>37</v>
      </c>
      <c r="B755" t="s">
        <v>812</v>
      </c>
    </row>
    <row r="756" spans="1:2" x14ac:dyDescent="0.3">
      <c r="A756" t="s">
        <v>37</v>
      </c>
      <c r="B756" t="s">
        <v>361</v>
      </c>
    </row>
    <row r="757" spans="1:2" x14ac:dyDescent="0.3">
      <c r="A757" t="s">
        <v>38</v>
      </c>
      <c r="B757" t="s">
        <v>38</v>
      </c>
    </row>
    <row r="758" spans="1:2" x14ac:dyDescent="0.3">
      <c r="A758" t="s">
        <v>38</v>
      </c>
      <c r="B758" t="s">
        <v>644</v>
      </c>
    </row>
    <row r="759" spans="1:2" x14ac:dyDescent="0.3">
      <c r="A759" t="s">
        <v>38</v>
      </c>
      <c r="B759" t="s">
        <v>653</v>
      </c>
    </row>
    <row r="760" spans="1:2" x14ac:dyDescent="0.3">
      <c r="A760" t="s">
        <v>38</v>
      </c>
      <c r="B760" t="s">
        <v>780</v>
      </c>
    </row>
    <row r="761" spans="1:2" x14ac:dyDescent="0.3">
      <c r="A761" t="s">
        <v>38</v>
      </c>
      <c r="B761" t="s">
        <v>69</v>
      </c>
    </row>
    <row r="762" spans="1:2" x14ac:dyDescent="0.3">
      <c r="A762" t="s">
        <v>38</v>
      </c>
      <c r="B762" t="s">
        <v>668</v>
      </c>
    </row>
    <row r="763" spans="1:2" x14ac:dyDescent="0.3">
      <c r="A763" t="s">
        <v>38</v>
      </c>
      <c r="B763" t="s">
        <v>72</v>
      </c>
    </row>
    <row r="764" spans="1:2" x14ac:dyDescent="0.3">
      <c r="A764" t="s">
        <v>38</v>
      </c>
      <c r="B764" t="s">
        <v>677</v>
      </c>
    </row>
    <row r="765" spans="1:2" x14ac:dyDescent="0.3">
      <c r="A765" t="s">
        <v>38</v>
      </c>
      <c r="B765" t="s">
        <v>141</v>
      </c>
    </row>
    <row r="766" spans="1:2" x14ac:dyDescent="0.3">
      <c r="A766" t="s">
        <v>38</v>
      </c>
      <c r="B766" t="s">
        <v>815</v>
      </c>
    </row>
    <row r="767" spans="1:2" x14ac:dyDescent="0.3">
      <c r="A767" t="s">
        <v>38</v>
      </c>
      <c r="B767" t="s">
        <v>79</v>
      </c>
    </row>
    <row r="768" spans="1:2" x14ac:dyDescent="0.3">
      <c r="A768" t="s">
        <v>38</v>
      </c>
      <c r="B768" t="s">
        <v>214</v>
      </c>
    </row>
    <row r="769" spans="1:2" x14ac:dyDescent="0.3">
      <c r="A769" t="s">
        <v>38</v>
      </c>
      <c r="B769" t="s">
        <v>316</v>
      </c>
    </row>
    <row r="770" spans="1:2" x14ac:dyDescent="0.3">
      <c r="A770" t="s">
        <v>38</v>
      </c>
      <c r="B770" t="s">
        <v>716</v>
      </c>
    </row>
    <row r="771" spans="1:2" x14ac:dyDescent="0.3">
      <c r="A771" t="s">
        <v>38</v>
      </c>
      <c r="B771" t="s">
        <v>717</v>
      </c>
    </row>
    <row r="772" spans="1:2" x14ac:dyDescent="0.3">
      <c r="A772" t="s">
        <v>38</v>
      </c>
      <c r="B772" t="s">
        <v>360</v>
      </c>
    </row>
    <row r="773" spans="1:2" x14ac:dyDescent="0.3">
      <c r="A773" t="s">
        <v>38</v>
      </c>
      <c r="B773" t="s">
        <v>123</v>
      </c>
    </row>
    <row r="774" spans="1:2" x14ac:dyDescent="0.3">
      <c r="A774" t="s">
        <v>38</v>
      </c>
      <c r="B774" t="s">
        <v>637</v>
      </c>
    </row>
    <row r="775" spans="1:2" x14ac:dyDescent="0.3">
      <c r="A775" t="s">
        <v>38</v>
      </c>
      <c r="B775" t="s">
        <v>58</v>
      </c>
    </row>
    <row r="776" spans="1:2" x14ac:dyDescent="0.3">
      <c r="A776" t="s">
        <v>38</v>
      </c>
      <c r="B776" t="s">
        <v>617</v>
      </c>
    </row>
    <row r="777" spans="1:2" x14ac:dyDescent="0.3">
      <c r="A777" t="s">
        <v>38</v>
      </c>
      <c r="B777" t="s">
        <v>396</v>
      </c>
    </row>
    <row r="778" spans="1:2" x14ac:dyDescent="0.3">
      <c r="A778" t="s">
        <v>38</v>
      </c>
      <c r="B778" t="s">
        <v>478</v>
      </c>
    </row>
    <row r="779" spans="1:2" x14ac:dyDescent="0.3">
      <c r="A779" t="s">
        <v>38</v>
      </c>
      <c r="B779" t="s">
        <v>346</v>
      </c>
    </row>
    <row r="780" spans="1:2" x14ac:dyDescent="0.3">
      <c r="A780" t="s">
        <v>38</v>
      </c>
      <c r="B780" t="s">
        <v>103</v>
      </c>
    </row>
    <row r="781" spans="1:2" x14ac:dyDescent="0.3">
      <c r="A781" t="s">
        <v>38</v>
      </c>
      <c r="B781" t="s">
        <v>210</v>
      </c>
    </row>
    <row r="782" spans="1:2" x14ac:dyDescent="0.3">
      <c r="A782" t="s">
        <v>38</v>
      </c>
      <c r="B782" t="s">
        <v>622</v>
      </c>
    </row>
    <row r="783" spans="1:2" x14ac:dyDescent="0.3">
      <c r="A783" t="s">
        <v>39</v>
      </c>
      <c r="B783" t="s">
        <v>39</v>
      </c>
    </row>
    <row r="784" spans="1:2" x14ac:dyDescent="0.3">
      <c r="A784" t="s">
        <v>39</v>
      </c>
      <c r="B784" t="s">
        <v>440</v>
      </c>
    </row>
    <row r="785" spans="1:2" x14ac:dyDescent="0.3">
      <c r="A785" t="s">
        <v>39</v>
      </c>
      <c r="B785" t="s">
        <v>274</v>
      </c>
    </row>
    <row r="786" spans="1:2" x14ac:dyDescent="0.3">
      <c r="A786" t="s">
        <v>39</v>
      </c>
      <c r="B786" t="s">
        <v>281</v>
      </c>
    </row>
    <row r="787" spans="1:2" x14ac:dyDescent="0.3">
      <c r="A787" t="s">
        <v>39</v>
      </c>
      <c r="B787" t="s">
        <v>532</v>
      </c>
    </row>
    <row r="788" spans="1:2" x14ac:dyDescent="0.3">
      <c r="A788" t="s">
        <v>39</v>
      </c>
      <c r="B788" t="s">
        <v>246</v>
      </c>
    </row>
    <row r="789" spans="1:2" x14ac:dyDescent="0.3">
      <c r="A789" t="s">
        <v>39</v>
      </c>
      <c r="B789" t="s">
        <v>414</v>
      </c>
    </row>
    <row r="790" spans="1:2" x14ac:dyDescent="0.3">
      <c r="A790" t="s">
        <v>39</v>
      </c>
      <c r="B790" t="s">
        <v>442</v>
      </c>
    </row>
    <row r="791" spans="1:2" x14ac:dyDescent="0.3">
      <c r="A791" t="s">
        <v>39</v>
      </c>
      <c r="B791" t="s">
        <v>312</v>
      </c>
    </row>
    <row r="792" spans="1:2" x14ac:dyDescent="0.3">
      <c r="A792" t="s">
        <v>39</v>
      </c>
      <c r="B792" t="s">
        <v>263</v>
      </c>
    </row>
    <row r="793" spans="1:2" x14ac:dyDescent="0.3">
      <c r="A793" t="s">
        <v>39</v>
      </c>
      <c r="B793" t="s">
        <v>576</v>
      </c>
    </row>
    <row r="794" spans="1:2" x14ac:dyDescent="0.3">
      <c r="A794" t="s">
        <v>39</v>
      </c>
      <c r="B794" t="s">
        <v>426</v>
      </c>
    </row>
    <row r="795" spans="1:2" x14ac:dyDescent="0.3">
      <c r="A795" t="s">
        <v>39</v>
      </c>
      <c r="B795" t="s">
        <v>229</v>
      </c>
    </row>
    <row r="796" spans="1:2" x14ac:dyDescent="0.3">
      <c r="A796" t="s">
        <v>39</v>
      </c>
      <c r="B796" t="s">
        <v>226</v>
      </c>
    </row>
    <row r="797" spans="1:2" x14ac:dyDescent="0.3">
      <c r="A797" t="s">
        <v>39</v>
      </c>
      <c r="B797" t="s">
        <v>362</v>
      </c>
    </row>
    <row r="798" spans="1:2" x14ac:dyDescent="0.3">
      <c r="A798" t="s">
        <v>39</v>
      </c>
      <c r="B798" t="s">
        <v>221</v>
      </c>
    </row>
    <row r="799" spans="1:2" x14ac:dyDescent="0.3">
      <c r="A799" t="s">
        <v>39</v>
      </c>
      <c r="B799" t="s">
        <v>387</v>
      </c>
    </row>
    <row r="800" spans="1:2" x14ac:dyDescent="0.3">
      <c r="A800" t="s">
        <v>39</v>
      </c>
      <c r="B800" t="s">
        <v>389</v>
      </c>
    </row>
    <row r="801" spans="1:2" x14ac:dyDescent="0.3">
      <c r="A801" t="s">
        <v>39</v>
      </c>
      <c r="B801" t="s">
        <v>278</v>
      </c>
    </row>
    <row r="802" spans="1:2" x14ac:dyDescent="0.3">
      <c r="A802" t="s">
        <v>39</v>
      </c>
      <c r="B802" t="s">
        <v>121</v>
      </c>
    </row>
    <row r="803" spans="1:2" x14ac:dyDescent="0.3">
      <c r="A803" t="s">
        <v>40</v>
      </c>
      <c r="B803" t="s">
        <v>40</v>
      </c>
    </row>
    <row r="804" spans="1:2" x14ac:dyDescent="0.3">
      <c r="A804" t="s">
        <v>40</v>
      </c>
      <c r="B804" t="s">
        <v>98</v>
      </c>
    </row>
    <row r="805" spans="1:2" x14ac:dyDescent="0.3">
      <c r="A805" t="s">
        <v>40</v>
      </c>
      <c r="B805" t="s">
        <v>96</v>
      </c>
    </row>
    <row r="806" spans="1:2" x14ac:dyDescent="0.3">
      <c r="A806" t="s">
        <v>40</v>
      </c>
      <c r="B806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0FD1-21CC-1D4E-A74C-EFF19D5C8F7A}">
  <dimension ref="A1:T765"/>
  <sheetViews>
    <sheetView tabSelected="1" topLeftCell="C1" zoomScale="91" zoomScaleNormal="91" workbookViewId="0">
      <selection activeCell="D3" sqref="D3:F3"/>
    </sheetView>
  </sheetViews>
  <sheetFormatPr defaultColWidth="11.19921875" defaultRowHeight="15.6" x14ac:dyDescent="0.3"/>
  <cols>
    <col min="1" max="1" width="14.5" bestFit="1" customWidth="1"/>
    <col min="2" max="2" width="12.796875" bestFit="1" customWidth="1"/>
    <col min="3" max="3" width="29.796875" bestFit="1" customWidth="1"/>
    <col min="4" max="17" width="8.5" customWidth="1"/>
    <col min="18" max="18" width="15.296875" style="7" bestFit="1" customWidth="1"/>
    <col min="19" max="19" width="20.296875" style="7" bestFit="1" customWidth="1"/>
    <col min="20" max="20" width="19.296875" style="7" bestFit="1" customWidth="1"/>
  </cols>
  <sheetData>
    <row r="1" spans="1:18" x14ac:dyDescent="0.3">
      <c r="C1" s="5" t="s">
        <v>819</v>
      </c>
      <c r="D1" s="4" t="s">
        <v>818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8" x14ac:dyDescent="0.3">
      <c r="A2" t="s">
        <v>816</v>
      </c>
      <c r="B2" t="s">
        <v>52</v>
      </c>
      <c r="C2" s="4"/>
      <c r="D2" s="2">
        <v>45962</v>
      </c>
      <c r="E2" s="2">
        <v>45931</v>
      </c>
      <c r="F2" s="2">
        <v>45901</v>
      </c>
      <c r="G2" s="2">
        <v>45870</v>
      </c>
      <c r="H2" s="2">
        <v>45839</v>
      </c>
      <c r="I2" s="2">
        <v>45809</v>
      </c>
      <c r="J2" s="2">
        <v>45778</v>
      </c>
      <c r="K2" s="2">
        <v>45748</v>
      </c>
      <c r="L2" s="2">
        <v>45717</v>
      </c>
      <c r="M2" s="2">
        <v>45689</v>
      </c>
      <c r="N2" s="2">
        <v>45658</v>
      </c>
      <c r="O2" s="2">
        <v>45627</v>
      </c>
      <c r="P2" s="2">
        <v>45597</v>
      </c>
      <c r="Q2" s="2">
        <v>45566</v>
      </c>
    </row>
    <row r="3" spans="1:18" x14ac:dyDescent="0.3">
      <c r="A3" t="s">
        <v>54</v>
      </c>
      <c r="B3" t="s">
        <v>2</v>
      </c>
      <c r="C3">
        <v>102</v>
      </c>
      <c r="D3">
        <v>5604</v>
      </c>
      <c r="E3">
        <v>2307</v>
      </c>
      <c r="F3">
        <v>1962</v>
      </c>
      <c r="G3">
        <v>387</v>
      </c>
      <c r="H3">
        <v>183</v>
      </c>
      <c r="I3">
        <v>258</v>
      </c>
      <c r="J3">
        <v>1173</v>
      </c>
      <c r="K3">
        <v>1914</v>
      </c>
      <c r="L3">
        <v>1737</v>
      </c>
      <c r="M3">
        <v>1488</v>
      </c>
      <c r="N3">
        <v>876</v>
      </c>
      <c r="O3">
        <v>393</v>
      </c>
      <c r="P3">
        <v>252</v>
      </c>
      <c r="Q3">
        <v>87</v>
      </c>
      <c r="R3" s="8"/>
    </row>
    <row r="4" spans="1:18" x14ac:dyDescent="0.3">
      <c r="A4" t="s">
        <v>55</v>
      </c>
      <c r="B4" t="s">
        <v>2</v>
      </c>
      <c r="C4">
        <v>4803</v>
      </c>
      <c r="D4">
        <v>4209</v>
      </c>
      <c r="E4">
        <v>5127</v>
      </c>
      <c r="F4">
        <v>8214</v>
      </c>
      <c r="G4">
        <v>4647</v>
      </c>
      <c r="H4">
        <v>3903</v>
      </c>
      <c r="I4">
        <v>2847</v>
      </c>
      <c r="J4">
        <v>1338</v>
      </c>
      <c r="K4">
        <v>492</v>
      </c>
      <c r="L4">
        <v>387</v>
      </c>
      <c r="M4">
        <v>99</v>
      </c>
      <c r="N4">
        <v>0</v>
      </c>
      <c r="O4">
        <v>0</v>
      </c>
      <c r="P4">
        <v>0</v>
      </c>
      <c r="Q4">
        <v>0</v>
      </c>
      <c r="R4" s="8"/>
    </row>
    <row r="5" spans="1:18" x14ac:dyDescent="0.3">
      <c r="A5" t="s">
        <v>56</v>
      </c>
      <c r="B5" t="s">
        <v>2</v>
      </c>
      <c r="C5">
        <v>786</v>
      </c>
      <c r="D5">
        <v>3753</v>
      </c>
      <c r="E5">
        <v>3525</v>
      </c>
      <c r="F5">
        <v>3717</v>
      </c>
      <c r="G5">
        <v>2310</v>
      </c>
      <c r="H5">
        <v>2451</v>
      </c>
      <c r="I5">
        <v>2298</v>
      </c>
      <c r="J5">
        <v>2058</v>
      </c>
      <c r="K5">
        <v>1731</v>
      </c>
      <c r="L5">
        <v>1854</v>
      </c>
      <c r="M5">
        <v>981</v>
      </c>
      <c r="N5">
        <v>552</v>
      </c>
      <c r="O5">
        <v>171</v>
      </c>
      <c r="P5">
        <v>177</v>
      </c>
      <c r="Q5">
        <v>156</v>
      </c>
      <c r="R5" s="8"/>
    </row>
    <row r="6" spans="1:18" x14ac:dyDescent="0.3">
      <c r="A6" t="s">
        <v>57</v>
      </c>
      <c r="B6" t="s">
        <v>4</v>
      </c>
      <c r="C6">
        <v>2946</v>
      </c>
      <c r="D6">
        <v>3102</v>
      </c>
      <c r="E6">
        <v>4389</v>
      </c>
      <c r="F6">
        <v>5751</v>
      </c>
      <c r="G6">
        <v>3636</v>
      </c>
      <c r="H6">
        <v>3432</v>
      </c>
      <c r="I6">
        <v>2421</v>
      </c>
      <c r="J6">
        <v>2673</v>
      </c>
      <c r="K6">
        <v>1800</v>
      </c>
      <c r="L6">
        <v>2448</v>
      </c>
      <c r="M6">
        <v>1701</v>
      </c>
      <c r="N6">
        <v>1650</v>
      </c>
      <c r="O6">
        <v>2109</v>
      </c>
      <c r="P6">
        <v>2004</v>
      </c>
      <c r="Q6">
        <v>4134</v>
      </c>
      <c r="R6" s="8"/>
    </row>
    <row r="7" spans="1:18" x14ac:dyDescent="0.3">
      <c r="A7" t="s">
        <v>58</v>
      </c>
      <c r="B7" t="s">
        <v>0</v>
      </c>
      <c r="C7">
        <v>51</v>
      </c>
      <c r="D7">
        <v>3090</v>
      </c>
      <c r="E7">
        <v>2856</v>
      </c>
      <c r="F7">
        <v>2709</v>
      </c>
      <c r="G7">
        <v>1989</v>
      </c>
      <c r="H7">
        <v>1137</v>
      </c>
      <c r="I7">
        <v>126</v>
      </c>
      <c r="J7">
        <v>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8"/>
    </row>
    <row r="8" spans="1:18" x14ac:dyDescent="0.3">
      <c r="A8" t="s">
        <v>59</v>
      </c>
      <c r="B8" t="s">
        <v>4</v>
      </c>
      <c r="C8">
        <v>4992</v>
      </c>
      <c r="D8">
        <v>2952</v>
      </c>
      <c r="E8">
        <v>3201</v>
      </c>
      <c r="F8">
        <v>2259</v>
      </c>
      <c r="G8">
        <v>1122</v>
      </c>
      <c r="H8">
        <v>1803</v>
      </c>
      <c r="I8">
        <v>1488</v>
      </c>
      <c r="J8">
        <v>2955</v>
      </c>
      <c r="K8">
        <v>3279</v>
      </c>
      <c r="L8">
        <v>3366</v>
      </c>
      <c r="M8">
        <v>3456</v>
      </c>
      <c r="N8">
        <v>2802</v>
      </c>
      <c r="O8">
        <v>3195</v>
      </c>
      <c r="P8">
        <v>3261</v>
      </c>
      <c r="Q8">
        <v>6018</v>
      </c>
      <c r="R8" s="8"/>
    </row>
    <row r="9" spans="1:18" x14ac:dyDescent="0.3">
      <c r="A9" t="s">
        <v>60</v>
      </c>
      <c r="B9" t="s">
        <v>1</v>
      </c>
      <c r="C9">
        <v>1671</v>
      </c>
      <c r="D9">
        <v>2658</v>
      </c>
      <c r="E9">
        <v>1458</v>
      </c>
      <c r="F9">
        <v>1563</v>
      </c>
      <c r="G9">
        <v>1497</v>
      </c>
      <c r="H9">
        <v>1089</v>
      </c>
      <c r="I9">
        <v>777</v>
      </c>
      <c r="J9">
        <v>1056</v>
      </c>
      <c r="K9">
        <v>1086</v>
      </c>
      <c r="L9">
        <v>153</v>
      </c>
      <c r="M9">
        <v>1104</v>
      </c>
      <c r="N9">
        <v>345</v>
      </c>
      <c r="O9">
        <v>543</v>
      </c>
      <c r="P9">
        <v>231</v>
      </c>
      <c r="Q9">
        <v>0</v>
      </c>
      <c r="R9" s="8"/>
    </row>
    <row r="10" spans="1:18" x14ac:dyDescent="0.3">
      <c r="A10" t="s">
        <v>61</v>
      </c>
      <c r="B10" t="s">
        <v>2</v>
      </c>
      <c r="C10">
        <v>5796</v>
      </c>
      <c r="D10">
        <v>2493</v>
      </c>
      <c r="E10">
        <v>3138</v>
      </c>
      <c r="F10">
        <v>7017</v>
      </c>
      <c r="G10">
        <v>2478</v>
      </c>
      <c r="H10">
        <v>3687</v>
      </c>
      <c r="I10">
        <v>2844</v>
      </c>
      <c r="J10">
        <v>1266</v>
      </c>
      <c r="K10">
        <v>582</v>
      </c>
      <c r="L10">
        <v>330</v>
      </c>
      <c r="M10">
        <v>102</v>
      </c>
      <c r="N10">
        <v>6</v>
      </c>
      <c r="O10">
        <v>0</v>
      </c>
      <c r="P10">
        <v>0</v>
      </c>
      <c r="Q10">
        <v>0</v>
      </c>
      <c r="R10" s="8"/>
    </row>
    <row r="11" spans="1:18" x14ac:dyDescent="0.3">
      <c r="A11" t="s">
        <v>62</v>
      </c>
      <c r="B11" t="s">
        <v>1</v>
      </c>
      <c r="C11">
        <v>930</v>
      </c>
      <c r="D11">
        <v>2490</v>
      </c>
      <c r="E11">
        <v>1518</v>
      </c>
      <c r="F11">
        <v>1404</v>
      </c>
      <c r="G11">
        <v>1650</v>
      </c>
      <c r="H11">
        <v>1107</v>
      </c>
      <c r="I11">
        <v>732</v>
      </c>
      <c r="J11">
        <v>750</v>
      </c>
      <c r="K11">
        <v>219</v>
      </c>
      <c r="L11">
        <v>2277</v>
      </c>
      <c r="M11">
        <v>1008</v>
      </c>
      <c r="N11">
        <v>261</v>
      </c>
      <c r="O11">
        <v>309</v>
      </c>
      <c r="P11">
        <v>537</v>
      </c>
      <c r="Q11">
        <v>6</v>
      </c>
      <c r="R11" s="8"/>
    </row>
    <row r="12" spans="1:18" x14ac:dyDescent="0.3">
      <c r="A12" t="s">
        <v>63</v>
      </c>
      <c r="B12" t="s">
        <v>2</v>
      </c>
      <c r="C12">
        <v>8799</v>
      </c>
      <c r="D12">
        <v>2358</v>
      </c>
      <c r="E12">
        <v>2970</v>
      </c>
      <c r="F12">
        <v>5559</v>
      </c>
      <c r="G12">
        <v>3915</v>
      </c>
      <c r="H12">
        <v>4356</v>
      </c>
      <c r="I12">
        <v>2616</v>
      </c>
      <c r="J12">
        <v>1104</v>
      </c>
      <c r="K12">
        <v>522</v>
      </c>
      <c r="L12">
        <v>324</v>
      </c>
      <c r="M12">
        <v>129</v>
      </c>
      <c r="N12">
        <v>0</v>
      </c>
      <c r="O12">
        <v>0</v>
      </c>
      <c r="P12">
        <v>0</v>
      </c>
      <c r="Q12">
        <v>0</v>
      </c>
      <c r="R12" s="8"/>
    </row>
    <row r="13" spans="1:18" x14ac:dyDescent="0.3">
      <c r="A13" t="s">
        <v>64</v>
      </c>
      <c r="B13" t="s">
        <v>4</v>
      </c>
      <c r="C13">
        <v>2154</v>
      </c>
      <c r="D13">
        <v>2178</v>
      </c>
      <c r="E13">
        <v>3330</v>
      </c>
      <c r="F13">
        <v>3231</v>
      </c>
      <c r="G13">
        <v>2433</v>
      </c>
      <c r="H13">
        <v>1632</v>
      </c>
      <c r="I13">
        <v>1269</v>
      </c>
      <c r="J13">
        <v>1845</v>
      </c>
      <c r="K13">
        <v>2301</v>
      </c>
      <c r="L13">
        <v>2448</v>
      </c>
      <c r="M13">
        <v>2175</v>
      </c>
      <c r="N13">
        <v>1617</v>
      </c>
      <c r="O13">
        <v>1389</v>
      </c>
      <c r="P13">
        <v>891</v>
      </c>
      <c r="Q13">
        <v>1041</v>
      </c>
      <c r="R13" s="8"/>
    </row>
    <row r="14" spans="1:18" x14ac:dyDescent="0.3">
      <c r="A14" t="s">
        <v>65</v>
      </c>
      <c r="B14" t="s">
        <v>4</v>
      </c>
      <c r="C14">
        <v>399</v>
      </c>
      <c r="D14">
        <v>2031</v>
      </c>
      <c r="E14">
        <v>2112</v>
      </c>
      <c r="F14">
        <v>945</v>
      </c>
      <c r="G14">
        <v>369</v>
      </c>
      <c r="H14">
        <v>525</v>
      </c>
      <c r="I14">
        <v>579</v>
      </c>
      <c r="J14">
        <v>888</v>
      </c>
      <c r="K14">
        <v>918</v>
      </c>
      <c r="L14">
        <v>1098</v>
      </c>
      <c r="M14">
        <v>1152</v>
      </c>
      <c r="N14">
        <v>906</v>
      </c>
      <c r="O14">
        <v>489</v>
      </c>
      <c r="P14">
        <v>144</v>
      </c>
      <c r="Q14">
        <v>0</v>
      </c>
      <c r="R14" s="8"/>
    </row>
    <row r="15" spans="1:18" x14ac:dyDescent="0.3">
      <c r="A15" t="s">
        <v>66</v>
      </c>
      <c r="B15" t="s">
        <v>2</v>
      </c>
      <c r="C15">
        <v>3489</v>
      </c>
      <c r="D15">
        <v>1995</v>
      </c>
      <c r="E15">
        <v>3567</v>
      </c>
      <c r="F15">
        <v>4077</v>
      </c>
      <c r="G15">
        <v>3798</v>
      </c>
      <c r="H15">
        <v>4863</v>
      </c>
      <c r="I15">
        <v>3039</v>
      </c>
      <c r="J15">
        <v>2667</v>
      </c>
      <c r="K15">
        <v>2112</v>
      </c>
      <c r="L15">
        <v>2934</v>
      </c>
      <c r="M15">
        <v>2046</v>
      </c>
      <c r="N15">
        <v>2604</v>
      </c>
      <c r="O15">
        <v>1815</v>
      </c>
      <c r="P15">
        <v>1560</v>
      </c>
      <c r="Q15">
        <v>2076</v>
      </c>
      <c r="R15" s="8"/>
    </row>
    <row r="16" spans="1:18" x14ac:dyDescent="0.3">
      <c r="A16" t="s">
        <v>67</v>
      </c>
      <c r="B16" t="s">
        <v>2</v>
      </c>
      <c r="C16">
        <v>1629</v>
      </c>
      <c r="D16">
        <v>1983</v>
      </c>
      <c r="E16">
        <v>1809</v>
      </c>
      <c r="F16">
        <v>2061</v>
      </c>
      <c r="G16">
        <v>1263</v>
      </c>
      <c r="H16">
        <v>1431</v>
      </c>
      <c r="I16">
        <v>1419</v>
      </c>
      <c r="J16">
        <v>1380</v>
      </c>
      <c r="K16">
        <v>1152</v>
      </c>
      <c r="L16">
        <v>1050</v>
      </c>
      <c r="M16">
        <v>675</v>
      </c>
      <c r="N16">
        <v>318</v>
      </c>
      <c r="O16">
        <v>171</v>
      </c>
      <c r="P16">
        <v>120</v>
      </c>
      <c r="Q16">
        <v>156</v>
      </c>
      <c r="R16" s="8"/>
    </row>
    <row r="17" spans="1:18" x14ac:dyDescent="0.3">
      <c r="A17" t="s">
        <v>68</v>
      </c>
      <c r="B17" t="s">
        <v>4</v>
      </c>
      <c r="C17">
        <v>1356</v>
      </c>
      <c r="D17">
        <v>1836</v>
      </c>
      <c r="E17">
        <v>2682</v>
      </c>
      <c r="F17">
        <v>3039</v>
      </c>
      <c r="G17">
        <v>1452</v>
      </c>
      <c r="H17">
        <v>1797</v>
      </c>
      <c r="I17">
        <v>1353</v>
      </c>
      <c r="J17">
        <v>1191</v>
      </c>
      <c r="K17">
        <v>1980</v>
      </c>
      <c r="L17">
        <v>3150</v>
      </c>
      <c r="M17">
        <v>2199</v>
      </c>
      <c r="N17">
        <v>1551</v>
      </c>
      <c r="O17">
        <v>1536</v>
      </c>
      <c r="P17">
        <v>1356</v>
      </c>
      <c r="Q17">
        <v>1614</v>
      </c>
      <c r="R17" s="8"/>
    </row>
    <row r="18" spans="1:18" x14ac:dyDescent="0.3">
      <c r="A18" t="s">
        <v>69</v>
      </c>
      <c r="B18" t="s">
        <v>0</v>
      </c>
      <c r="C18">
        <v>63</v>
      </c>
      <c r="D18">
        <v>1707</v>
      </c>
      <c r="E18">
        <v>1056</v>
      </c>
      <c r="F18">
        <v>1215</v>
      </c>
      <c r="G18">
        <v>732</v>
      </c>
      <c r="H18">
        <v>549</v>
      </c>
      <c r="I18">
        <v>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8"/>
    </row>
    <row r="19" spans="1:18" x14ac:dyDescent="0.3">
      <c r="A19" t="s">
        <v>70</v>
      </c>
      <c r="B19" t="s">
        <v>4</v>
      </c>
      <c r="C19">
        <v>1221</v>
      </c>
      <c r="D19">
        <v>1644</v>
      </c>
      <c r="E19">
        <v>2457</v>
      </c>
      <c r="F19">
        <v>2022</v>
      </c>
      <c r="G19">
        <v>1203</v>
      </c>
      <c r="H19">
        <v>2607</v>
      </c>
      <c r="I19">
        <v>1539</v>
      </c>
      <c r="J19">
        <v>1488</v>
      </c>
      <c r="K19">
        <v>2076</v>
      </c>
      <c r="L19">
        <v>2247</v>
      </c>
      <c r="M19">
        <v>1746</v>
      </c>
      <c r="N19">
        <v>1662</v>
      </c>
      <c r="O19">
        <v>1506</v>
      </c>
      <c r="P19">
        <v>912</v>
      </c>
      <c r="Q19">
        <v>1146</v>
      </c>
      <c r="R19" s="8"/>
    </row>
    <row r="20" spans="1:18" x14ac:dyDescent="0.3">
      <c r="A20" t="s">
        <v>71</v>
      </c>
      <c r="B20" t="s">
        <v>2</v>
      </c>
      <c r="C20">
        <v>3204</v>
      </c>
      <c r="D20">
        <v>1602</v>
      </c>
      <c r="E20">
        <v>1641</v>
      </c>
      <c r="F20">
        <v>1812</v>
      </c>
      <c r="G20">
        <v>1344</v>
      </c>
      <c r="H20">
        <v>1524</v>
      </c>
      <c r="I20">
        <v>1263</v>
      </c>
      <c r="J20">
        <v>1506</v>
      </c>
      <c r="K20">
        <v>1401</v>
      </c>
      <c r="L20">
        <v>1812</v>
      </c>
      <c r="M20">
        <v>468</v>
      </c>
      <c r="N20">
        <v>876</v>
      </c>
      <c r="O20">
        <v>408</v>
      </c>
      <c r="P20">
        <v>15</v>
      </c>
      <c r="Q20">
        <v>135</v>
      </c>
      <c r="R20" s="8"/>
    </row>
    <row r="21" spans="1:18" x14ac:dyDescent="0.3">
      <c r="A21" t="s">
        <v>72</v>
      </c>
      <c r="B21" t="s">
        <v>2</v>
      </c>
      <c r="C21">
        <v>2259</v>
      </c>
      <c r="D21">
        <v>1596</v>
      </c>
      <c r="E21">
        <v>2289</v>
      </c>
      <c r="F21">
        <v>2529</v>
      </c>
      <c r="G21">
        <v>1728</v>
      </c>
      <c r="H21">
        <v>1986</v>
      </c>
      <c r="I21">
        <v>1143</v>
      </c>
      <c r="J21">
        <v>834</v>
      </c>
      <c r="K21">
        <v>450</v>
      </c>
      <c r="L21">
        <v>1455</v>
      </c>
      <c r="M21">
        <v>1020</v>
      </c>
      <c r="N21">
        <v>684</v>
      </c>
      <c r="O21">
        <v>495</v>
      </c>
      <c r="P21">
        <v>228</v>
      </c>
      <c r="Q21">
        <v>426</v>
      </c>
      <c r="R21" s="8"/>
    </row>
    <row r="22" spans="1:18" x14ac:dyDescent="0.3">
      <c r="A22" t="s">
        <v>73</v>
      </c>
      <c r="B22" t="s">
        <v>4</v>
      </c>
      <c r="C22">
        <v>1986</v>
      </c>
      <c r="D22">
        <v>1473</v>
      </c>
      <c r="E22">
        <v>1515</v>
      </c>
      <c r="F22">
        <v>2139</v>
      </c>
      <c r="G22">
        <v>1203</v>
      </c>
      <c r="H22">
        <v>1185</v>
      </c>
      <c r="I22">
        <v>819</v>
      </c>
      <c r="J22">
        <v>744</v>
      </c>
      <c r="K22">
        <v>462</v>
      </c>
      <c r="L22">
        <v>507</v>
      </c>
      <c r="M22">
        <v>564</v>
      </c>
      <c r="N22">
        <v>468</v>
      </c>
      <c r="O22">
        <v>405</v>
      </c>
      <c r="P22">
        <v>528</v>
      </c>
      <c r="Q22">
        <v>633</v>
      </c>
      <c r="R22" s="8"/>
    </row>
    <row r="23" spans="1:18" x14ac:dyDescent="0.3">
      <c r="A23" t="s">
        <v>74</v>
      </c>
      <c r="B23" t="s">
        <v>4</v>
      </c>
      <c r="C23">
        <v>5034</v>
      </c>
      <c r="D23">
        <v>1413</v>
      </c>
      <c r="E23">
        <v>1107</v>
      </c>
      <c r="F23">
        <v>1233</v>
      </c>
      <c r="G23">
        <v>1227</v>
      </c>
      <c r="H23">
        <v>1269</v>
      </c>
      <c r="I23">
        <v>1539</v>
      </c>
      <c r="J23">
        <v>1596</v>
      </c>
      <c r="K23">
        <v>2034</v>
      </c>
      <c r="L23">
        <v>3390</v>
      </c>
      <c r="M23">
        <v>1644</v>
      </c>
      <c r="N23">
        <v>1980</v>
      </c>
      <c r="O23">
        <v>1815</v>
      </c>
      <c r="P23">
        <v>1146</v>
      </c>
      <c r="Q23">
        <v>1746</v>
      </c>
      <c r="R23" s="8"/>
    </row>
    <row r="24" spans="1:18" x14ac:dyDescent="0.3">
      <c r="A24" t="s">
        <v>75</v>
      </c>
      <c r="B24" t="s">
        <v>4</v>
      </c>
      <c r="C24">
        <v>1182</v>
      </c>
      <c r="D24">
        <v>1377</v>
      </c>
      <c r="E24">
        <v>2154</v>
      </c>
      <c r="F24">
        <v>2091</v>
      </c>
      <c r="G24">
        <v>1311</v>
      </c>
      <c r="H24">
        <v>1125</v>
      </c>
      <c r="I24">
        <v>1008</v>
      </c>
      <c r="J24">
        <v>849</v>
      </c>
      <c r="K24">
        <v>1509</v>
      </c>
      <c r="L24">
        <v>1578</v>
      </c>
      <c r="M24">
        <v>1239</v>
      </c>
      <c r="N24">
        <v>1077</v>
      </c>
      <c r="O24">
        <v>930</v>
      </c>
      <c r="P24">
        <v>954</v>
      </c>
      <c r="Q24">
        <v>1347</v>
      </c>
      <c r="R24" s="8"/>
    </row>
    <row r="25" spans="1:18" x14ac:dyDescent="0.3">
      <c r="A25" t="s">
        <v>76</v>
      </c>
      <c r="B25" t="s">
        <v>1</v>
      </c>
      <c r="C25">
        <v>3252</v>
      </c>
      <c r="D25">
        <v>1374</v>
      </c>
      <c r="E25">
        <v>2958</v>
      </c>
      <c r="F25">
        <v>2799</v>
      </c>
      <c r="G25">
        <v>2049</v>
      </c>
      <c r="H25">
        <v>1653</v>
      </c>
      <c r="I25">
        <v>681</v>
      </c>
      <c r="J25">
        <v>642</v>
      </c>
      <c r="K25">
        <v>48</v>
      </c>
      <c r="L25">
        <v>972</v>
      </c>
      <c r="M25">
        <v>399</v>
      </c>
      <c r="N25">
        <v>1251</v>
      </c>
      <c r="O25">
        <v>1773</v>
      </c>
      <c r="P25">
        <v>540</v>
      </c>
      <c r="Q25">
        <v>1233</v>
      </c>
      <c r="R25" s="8"/>
    </row>
    <row r="26" spans="1:18" x14ac:dyDescent="0.3">
      <c r="A26" t="s">
        <v>77</v>
      </c>
      <c r="B26" t="s">
        <v>4</v>
      </c>
      <c r="C26">
        <v>1845</v>
      </c>
      <c r="D26">
        <v>1365</v>
      </c>
      <c r="E26">
        <v>2121</v>
      </c>
      <c r="F26">
        <v>1746</v>
      </c>
      <c r="G26">
        <v>975</v>
      </c>
      <c r="H26">
        <v>1017</v>
      </c>
      <c r="I26">
        <v>765</v>
      </c>
      <c r="J26">
        <v>1200</v>
      </c>
      <c r="K26">
        <v>1212</v>
      </c>
      <c r="L26">
        <v>1368</v>
      </c>
      <c r="M26">
        <v>1203</v>
      </c>
      <c r="N26">
        <v>1326</v>
      </c>
      <c r="O26">
        <v>1248</v>
      </c>
      <c r="P26">
        <v>903</v>
      </c>
      <c r="Q26">
        <v>1626</v>
      </c>
      <c r="R26" s="8"/>
    </row>
    <row r="27" spans="1:18" x14ac:dyDescent="0.3">
      <c r="A27" t="s">
        <v>78</v>
      </c>
      <c r="B27" t="s">
        <v>2</v>
      </c>
      <c r="C27">
        <v>1110</v>
      </c>
      <c r="D27">
        <v>1347</v>
      </c>
      <c r="E27">
        <v>1215</v>
      </c>
      <c r="F27">
        <v>1242</v>
      </c>
      <c r="G27">
        <v>909</v>
      </c>
      <c r="H27">
        <v>813</v>
      </c>
      <c r="I27">
        <v>822</v>
      </c>
      <c r="J27">
        <v>765</v>
      </c>
      <c r="K27">
        <v>627</v>
      </c>
      <c r="L27">
        <v>615</v>
      </c>
      <c r="M27">
        <v>531</v>
      </c>
      <c r="N27">
        <v>249</v>
      </c>
      <c r="O27">
        <v>201</v>
      </c>
      <c r="P27">
        <v>51</v>
      </c>
      <c r="Q27">
        <v>120</v>
      </c>
      <c r="R27" s="8"/>
    </row>
    <row r="28" spans="1:18" x14ac:dyDescent="0.3">
      <c r="A28" t="s">
        <v>79</v>
      </c>
      <c r="B28" t="s">
        <v>2</v>
      </c>
      <c r="C28">
        <v>3150</v>
      </c>
      <c r="D28">
        <v>1275</v>
      </c>
      <c r="E28">
        <v>1470</v>
      </c>
      <c r="F28">
        <v>1809</v>
      </c>
      <c r="G28">
        <v>1305</v>
      </c>
      <c r="H28">
        <v>1593</v>
      </c>
      <c r="I28">
        <v>1149</v>
      </c>
      <c r="J28">
        <v>1182</v>
      </c>
      <c r="K28">
        <v>108</v>
      </c>
      <c r="L28">
        <v>1035</v>
      </c>
      <c r="M28">
        <v>717</v>
      </c>
      <c r="N28">
        <v>273</v>
      </c>
      <c r="O28">
        <v>48</v>
      </c>
      <c r="P28">
        <v>72</v>
      </c>
      <c r="Q28">
        <v>0</v>
      </c>
      <c r="R28" s="8"/>
    </row>
    <row r="29" spans="1:18" x14ac:dyDescent="0.3">
      <c r="A29" t="s">
        <v>80</v>
      </c>
      <c r="B29" t="s">
        <v>1</v>
      </c>
      <c r="C29">
        <v>1026</v>
      </c>
      <c r="D29">
        <v>1257</v>
      </c>
      <c r="E29">
        <v>1266</v>
      </c>
      <c r="F29">
        <v>816</v>
      </c>
      <c r="G29">
        <v>573</v>
      </c>
      <c r="H29">
        <v>666</v>
      </c>
      <c r="I29">
        <v>516</v>
      </c>
      <c r="J29">
        <v>591</v>
      </c>
      <c r="K29">
        <v>492</v>
      </c>
      <c r="L29">
        <v>741</v>
      </c>
      <c r="M29">
        <v>864</v>
      </c>
      <c r="N29">
        <v>1146</v>
      </c>
      <c r="O29">
        <v>432</v>
      </c>
      <c r="P29">
        <v>255</v>
      </c>
      <c r="Q29">
        <v>291</v>
      </c>
      <c r="R29" s="8"/>
    </row>
    <row r="30" spans="1:18" x14ac:dyDescent="0.3">
      <c r="A30" t="s">
        <v>81</v>
      </c>
      <c r="B30" t="s">
        <v>0</v>
      </c>
      <c r="C30">
        <v>1410</v>
      </c>
      <c r="D30">
        <v>1257</v>
      </c>
      <c r="E30">
        <v>1740</v>
      </c>
      <c r="F30">
        <v>1908</v>
      </c>
      <c r="G30">
        <v>870</v>
      </c>
      <c r="H30">
        <v>735</v>
      </c>
      <c r="I30">
        <v>321</v>
      </c>
      <c r="J30">
        <v>207</v>
      </c>
      <c r="K30">
        <v>60</v>
      </c>
      <c r="L30">
        <v>36</v>
      </c>
      <c r="M30">
        <v>0</v>
      </c>
      <c r="N30">
        <v>0</v>
      </c>
      <c r="O30">
        <v>0</v>
      </c>
      <c r="P30">
        <v>0</v>
      </c>
      <c r="Q30">
        <v>0</v>
      </c>
      <c r="R30" s="8"/>
    </row>
    <row r="31" spans="1:18" x14ac:dyDescent="0.3">
      <c r="A31" t="s">
        <v>82</v>
      </c>
      <c r="B31" t="s">
        <v>4</v>
      </c>
      <c r="C31">
        <v>1335</v>
      </c>
      <c r="D31">
        <v>1242</v>
      </c>
      <c r="E31">
        <v>1437</v>
      </c>
      <c r="F31">
        <v>1452</v>
      </c>
      <c r="G31">
        <v>918</v>
      </c>
      <c r="H31">
        <v>906</v>
      </c>
      <c r="I31">
        <v>687</v>
      </c>
      <c r="J31">
        <v>927</v>
      </c>
      <c r="K31">
        <v>855</v>
      </c>
      <c r="L31">
        <v>1650</v>
      </c>
      <c r="M31">
        <v>957</v>
      </c>
      <c r="N31">
        <v>963</v>
      </c>
      <c r="O31">
        <v>786</v>
      </c>
      <c r="P31">
        <v>846</v>
      </c>
      <c r="Q31">
        <v>1524</v>
      </c>
      <c r="R31" s="8"/>
    </row>
    <row r="32" spans="1:18" x14ac:dyDescent="0.3">
      <c r="A32" t="s">
        <v>83</v>
      </c>
      <c r="B32" t="s">
        <v>0</v>
      </c>
      <c r="C32">
        <v>957</v>
      </c>
      <c r="D32">
        <v>1227</v>
      </c>
      <c r="E32">
        <v>135</v>
      </c>
      <c r="F32">
        <v>204</v>
      </c>
      <c r="G32">
        <v>123</v>
      </c>
      <c r="H32">
        <v>225</v>
      </c>
      <c r="I32">
        <v>153</v>
      </c>
      <c r="J32">
        <v>258</v>
      </c>
      <c r="K32">
        <v>45</v>
      </c>
      <c r="L32">
        <v>129</v>
      </c>
      <c r="M32">
        <v>336</v>
      </c>
      <c r="N32">
        <v>1704</v>
      </c>
      <c r="O32">
        <v>1404</v>
      </c>
      <c r="P32">
        <v>1371</v>
      </c>
      <c r="Q32">
        <v>948</v>
      </c>
      <c r="R32" s="8"/>
    </row>
    <row r="33" spans="1:18" x14ac:dyDescent="0.3">
      <c r="A33" t="s">
        <v>84</v>
      </c>
      <c r="B33" t="s">
        <v>4</v>
      </c>
      <c r="C33">
        <v>990</v>
      </c>
      <c r="D33">
        <v>1200</v>
      </c>
      <c r="E33">
        <v>1650</v>
      </c>
      <c r="F33">
        <v>1689</v>
      </c>
      <c r="G33">
        <v>1017</v>
      </c>
      <c r="H33">
        <v>906</v>
      </c>
      <c r="I33">
        <v>735</v>
      </c>
      <c r="J33">
        <v>885</v>
      </c>
      <c r="K33">
        <v>1197</v>
      </c>
      <c r="L33">
        <v>1323</v>
      </c>
      <c r="M33">
        <v>1098</v>
      </c>
      <c r="N33">
        <v>993</v>
      </c>
      <c r="O33">
        <v>978</v>
      </c>
      <c r="P33">
        <v>804</v>
      </c>
      <c r="Q33">
        <v>1368</v>
      </c>
      <c r="R33" s="8"/>
    </row>
    <row r="34" spans="1:18" x14ac:dyDescent="0.3">
      <c r="A34" t="s">
        <v>85</v>
      </c>
      <c r="B34" t="s">
        <v>0</v>
      </c>
      <c r="C34">
        <v>1971</v>
      </c>
      <c r="D34">
        <v>1149</v>
      </c>
      <c r="E34">
        <v>1563</v>
      </c>
      <c r="F34">
        <v>2820</v>
      </c>
      <c r="G34">
        <v>1674</v>
      </c>
      <c r="H34">
        <v>708</v>
      </c>
      <c r="I34">
        <v>312</v>
      </c>
      <c r="J34">
        <v>333</v>
      </c>
      <c r="K34">
        <v>72</v>
      </c>
      <c r="L34">
        <v>45</v>
      </c>
      <c r="M34">
        <v>0</v>
      </c>
      <c r="N34">
        <v>0</v>
      </c>
      <c r="O34">
        <v>0</v>
      </c>
      <c r="P34">
        <v>0</v>
      </c>
      <c r="Q34">
        <v>0</v>
      </c>
      <c r="R34" s="8"/>
    </row>
    <row r="35" spans="1:18" x14ac:dyDescent="0.3">
      <c r="A35" t="s">
        <v>86</v>
      </c>
      <c r="B35" t="s">
        <v>4</v>
      </c>
      <c r="C35">
        <v>1170</v>
      </c>
      <c r="D35">
        <v>1149</v>
      </c>
      <c r="E35">
        <v>1383</v>
      </c>
      <c r="F35">
        <v>1473</v>
      </c>
      <c r="G35">
        <v>1131</v>
      </c>
      <c r="H35">
        <v>1146</v>
      </c>
      <c r="I35">
        <v>888</v>
      </c>
      <c r="J35">
        <v>1236</v>
      </c>
      <c r="K35">
        <v>1158</v>
      </c>
      <c r="L35">
        <v>1662</v>
      </c>
      <c r="M35">
        <v>1017</v>
      </c>
      <c r="N35">
        <v>1020</v>
      </c>
      <c r="O35">
        <v>1002</v>
      </c>
      <c r="P35">
        <v>1008</v>
      </c>
      <c r="Q35">
        <v>1281</v>
      </c>
      <c r="R35" s="8"/>
    </row>
    <row r="36" spans="1:18" x14ac:dyDescent="0.3">
      <c r="A36" t="s">
        <v>87</v>
      </c>
      <c r="B36" t="s">
        <v>1</v>
      </c>
      <c r="C36">
        <v>2781</v>
      </c>
      <c r="D36">
        <v>1131</v>
      </c>
      <c r="E36">
        <v>1248</v>
      </c>
      <c r="F36">
        <v>804</v>
      </c>
      <c r="G36">
        <v>696</v>
      </c>
      <c r="H36">
        <v>885</v>
      </c>
      <c r="I36">
        <v>561</v>
      </c>
      <c r="J36">
        <v>702</v>
      </c>
      <c r="K36">
        <v>963</v>
      </c>
      <c r="L36">
        <v>831</v>
      </c>
      <c r="M36">
        <v>594</v>
      </c>
      <c r="N36">
        <v>360</v>
      </c>
      <c r="O36">
        <v>606</v>
      </c>
      <c r="P36">
        <v>147</v>
      </c>
      <c r="Q36">
        <v>0</v>
      </c>
      <c r="R36" s="8"/>
    </row>
    <row r="37" spans="1:18" x14ac:dyDescent="0.3">
      <c r="A37" t="s">
        <v>88</v>
      </c>
      <c r="B37" t="s">
        <v>1</v>
      </c>
      <c r="C37">
        <v>651</v>
      </c>
      <c r="D37">
        <v>1122</v>
      </c>
      <c r="E37">
        <v>1563</v>
      </c>
      <c r="F37">
        <v>1728</v>
      </c>
      <c r="G37">
        <v>1860</v>
      </c>
      <c r="H37">
        <v>1536</v>
      </c>
      <c r="I37">
        <v>660</v>
      </c>
      <c r="J37">
        <v>699</v>
      </c>
      <c r="K37">
        <v>564</v>
      </c>
      <c r="L37">
        <v>429</v>
      </c>
      <c r="M37">
        <v>396</v>
      </c>
      <c r="N37">
        <v>219</v>
      </c>
      <c r="O37">
        <v>252</v>
      </c>
      <c r="P37">
        <v>111</v>
      </c>
      <c r="Q37">
        <v>288</v>
      </c>
      <c r="R37" s="8"/>
    </row>
    <row r="38" spans="1:18" x14ac:dyDescent="0.3">
      <c r="A38" t="s">
        <v>89</v>
      </c>
      <c r="B38" t="s">
        <v>4</v>
      </c>
      <c r="C38">
        <v>4482</v>
      </c>
      <c r="D38">
        <v>1122</v>
      </c>
      <c r="E38">
        <v>1014</v>
      </c>
      <c r="F38">
        <v>1524</v>
      </c>
      <c r="G38">
        <v>1467</v>
      </c>
      <c r="H38">
        <v>1542</v>
      </c>
      <c r="I38">
        <v>1422</v>
      </c>
      <c r="J38">
        <v>1755</v>
      </c>
      <c r="K38">
        <v>2046</v>
      </c>
      <c r="L38">
        <v>3066</v>
      </c>
      <c r="M38">
        <v>1614</v>
      </c>
      <c r="N38">
        <v>1869</v>
      </c>
      <c r="O38">
        <v>1287</v>
      </c>
      <c r="P38">
        <v>837</v>
      </c>
      <c r="Q38">
        <v>1407</v>
      </c>
      <c r="R38" s="8"/>
    </row>
    <row r="39" spans="1:18" x14ac:dyDescent="0.3">
      <c r="A39" t="s">
        <v>90</v>
      </c>
      <c r="B39" t="s">
        <v>2</v>
      </c>
      <c r="C39">
        <v>18</v>
      </c>
      <c r="D39">
        <v>1092</v>
      </c>
      <c r="E39">
        <v>1179</v>
      </c>
      <c r="F39">
        <v>633</v>
      </c>
      <c r="G39">
        <v>474</v>
      </c>
      <c r="H39">
        <v>1173</v>
      </c>
      <c r="I39">
        <v>1116</v>
      </c>
      <c r="J39">
        <v>1296</v>
      </c>
      <c r="K39">
        <v>1074</v>
      </c>
      <c r="L39">
        <v>1239</v>
      </c>
      <c r="M39">
        <v>1191</v>
      </c>
      <c r="N39">
        <v>669</v>
      </c>
      <c r="O39">
        <v>417</v>
      </c>
      <c r="P39">
        <v>249</v>
      </c>
      <c r="Q39">
        <v>78</v>
      </c>
      <c r="R39" s="8"/>
    </row>
    <row r="40" spans="1:18" x14ac:dyDescent="0.3">
      <c r="A40" t="s">
        <v>91</v>
      </c>
      <c r="B40" t="s">
        <v>0</v>
      </c>
      <c r="C40">
        <v>768</v>
      </c>
      <c r="D40">
        <v>1083</v>
      </c>
      <c r="E40">
        <v>1089</v>
      </c>
      <c r="F40">
        <v>1158</v>
      </c>
      <c r="G40">
        <v>699</v>
      </c>
      <c r="H40">
        <v>525</v>
      </c>
      <c r="I40">
        <v>294</v>
      </c>
      <c r="J40">
        <v>231</v>
      </c>
      <c r="K40">
        <v>48</v>
      </c>
      <c r="L40">
        <v>57</v>
      </c>
      <c r="M40">
        <v>0</v>
      </c>
      <c r="N40">
        <v>0</v>
      </c>
      <c r="O40">
        <v>0</v>
      </c>
      <c r="P40">
        <v>0</v>
      </c>
      <c r="Q40">
        <v>0</v>
      </c>
      <c r="R40" s="8"/>
    </row>
    <row r="41" spans="1:18" x14ac:dyDescent="0.3">
      <c r="A41" t="s">
        <v>92</v>
      </c>
      <c r="B41" t="s">
        <v>0</v>
      </c>
      <c r="C41">
        <v>1578</v>
      </c>
      <c r="D41">
        <v>1080</v>
      </c>
      <c r="E41">
        <v>1497</v>
      </c>
      <c r="F41">
        <v>1116</v>
      </c>
      <c r="G41">
        <v>1194</v>
      </c>
      <c r="H41">
        <v>996</v>
      </c>
      <c r="I41">
        <v>405</v>
      </c>
      <c r="J41">
        <v>429</v>
      </c>
      <c r="K41">
        <v>528</v>
      </c>
      <c r="L41">
        <v>558</v>
      </c>
      <c r="M41">
        <v>240</v>
      </c>
      <c r="N41">
        <v>279</v>
      </c>
      <c r="O41">
        <v>129</v>
      </c>
      <c r="P41">
        <v>120</v>
      </c>
      <c r="Q41">
        <v>99</v>
      </c>
      <c r="R41" s="8"/>
    </row>
    <row r="42" spans="1:18" x14ac:dyDescent="0.3">
      <c r="A42" t="s">
        <v>93</v>
      </c>
      <c r="B42" t="s">
        <v>2</v>
      </c>
      <c r="C42">
        <v>2547</v>
      </c>
      <c r="D42">
        <v>1068</v>
      </c>
      <c r="E42">
        <v>1506</v>
      </c>
      <c r="F42">
        <v>1656</v>
      </c>
      <c r="G42">
        <v>1005</v>
      </c>
      <c r="H42">
        <v>993</v>
      </c>
      <c r="I42">
        <v>723</v>
      </c>
      <c r="J42">
        <v>780</v>
      </c>
      <c r="K42">
        <v>795</v>
      </c>
      <c r="L42">
        <v>741</v>
      </c>
      <c r="M42">
        <v>570</v>
      </c>
      <c r="N42">
        <v>507</v>
      </c>
      <c r="O42">
        <v>867</v>
      </c>
      <c r="P42">
        <v>939</v>
      </c>
      <c r="Q42">
        <v>1794</v>
      </c>
      <c r="R42" s="8"/>
    </row>
    <row r="43" spans="1:18" x14ac:dyDescent="0.3">
      <c r="A43" t="s">
        <v>94</v>
      </c>
      <c r="B43" t="s">
        <v>4</v>
      </c>
      <c r="C43">
        <v>1305</v>
      </c>
      <c r="D43">
        <v>1044</v>
      </c>
      <c r="E43">
        <v>1689</v>
      </c>
      <c r="F43">
        <v>1320</v>
      </c>
      <c r="G43">
        <v>864</v>
      </c>
      <c r="H43">
        <v>831</v>
      </c>
      <c r="I43">
        <v>657</v>
      </c>
      <c r="J43">
        <v>828</v>
      </c>
      <c r="K43">
        <v>1002</v>
      </c>
      <c r="L43">
        <v>1308</v>
      </c>
      <c r="M43">
        <v>1152</v>
      </c>
      <c r="N43">
        <v>1239</v>
      </c>
      <c r="O43">
        <v>894</v>
      </c>
      <c r="P43">
        <v>882</v>
      </c>
      <c r="Q43">
        <v>1707</v>
      </c>
      <c r="R43" s="8"/>
    </row>
    <row r="44" spans="1:18" x14ac:dyDescent="0.3">
      <c r="A44" t="s">
        <v>95</v>
      </c>
      <c r="B44" t="s">
        <v>4</v>
      </c>
      <c r="C44">
        <v>423</v>
      </c>
      <c r="D44">
        <v>981</v>
      </c>
      <c r="E44">
        <v>1440</v>
      </c>
      <c r="F44">
        <v>1566</v>
      </c>
      <c r="G44">
        <v>846</v>
      </c>
      <c r="H44">
        <v>762</v>
      </c>
      <c r="I44">
        <v>531</v>
      </c>
      <c r="J44">
        <v>528</v>
      </c>
      <c r="K44">
        <v>504</v>
      </c>
      <c r="L44">
        <v>693</v>
      </c>
      <c r="M44">
        <v>414</v>
      </c>
      <c r="N44">
        <v>390</v>
      </c>
      <c r="O44">
        <v>414</v>
      </c>
      <c r="P44">
        <v>510</v>
      </c>
      <c r="Q44">
        <v>747</v>
      </c>
      <c r="R44" s="8"/>
    </row>
    <row r="45" spans="1:18" x14ac:dyDescent="0.3">
      <c r="A45" t="s">
        <v>96</v>
      </c>
      <c r="B45" t="s">
        <v>0</v>
      </c>
      <c r="C45">
        <v>372</v>
      </c>
      <c r="D45">
        <v>975</v>
      </c>
      <c r="E45">
        <v>516</v>
      </c>
      <c r="F45">
        <v>312</v>
      </c>
      <c r="G45">
        <v>288</v>
      </c>
      <c r="H45">
        <v>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8"/>
    </row>
    <row r="46" spans="1:18" x14ac:dyDescent="0.3">
      <c r="A46" t="s">
        <v>97</v>
      </c>
      <c r="B46" t="s">
        <v>1</v>
      </c>
      <c r="C46">
        <v>276</v>
      </c>
      <c r="D46">
        <v>963</v>
      </c>
      <c r="E46">
        <v>879</v>
      </c>
      <c r="F46">
        <v>2118</v>
      </c>
      <c r="G46">
        <v>603</v>
      </c>
      <c r="H46">
        <v>603</v>
      </c>
      <c r="I46">
        <v>693</v>
      </c>
      <c r="J46">
        <v>546</v>
      </c>
      <c r="K46">
        <v>765</v>
      </c>
      <c r="L46">
        <v>936</v>
      </c>
      <c r="M46">
        <v>780</v>
      </c>
      <c r="N46">
        <v>483</v>
      </c>
      <c r="O46">
        <v>543</v>
      </c>
      <c r="P46">
        <v>282</v>
      </c>
      <c r="Q46">
        <v>876</v>
      </c>
      <c r="R46" s="8"/>
    </row>
    <row r="47" spans="1:18" x14ac:dyDescent="0.3">
      <c r="A47" t="s">
        <v>98</v>
      </c>
      <c r="B47" t="s">
        <v>0</v>
      </c>
      <c r="C47">
        <v>258</v>
      </c>
      <c r="D47">
        <v>963</v>
      </c>
      <c r="E47">
        <v>450</v>
      </c>
      <c r="F47">
        <v>276</v>
      </c>
      <c r="G47">
        <v>240</v>
      </c>
      <c r="H47">
        <v>27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8"/>
    </row>
    <row r="48" spans="1:18" x14ac:dyDescent="0.3">
      <c r="A48" t="s">
        <v>99</v>
      </c>
      <c r="B48" t="s">
        <v>2</v>
      </c>
      <c r="C48">
        <v>1407</v>
      </c>
      <c r="D48">
        <v>957</v>
      </c>
      <c r="E48">
        <v>1065</v>
      </c>
      <c r="F48">
        <v>1017</v>
      </c>
      <c r="G48">
        <v>1014</v>
      </c>
      <c r="H48">
        <v>1272</v>
      </c>
      <c r="I48">
        <v>1083</v>
      </c>
      <c r="J48">
        <v>888</v>
      </c>
      <c r="K48">
        <v>963</v>
      </c>
      <c r="L48">
        <v>1515</v>
      </c>
      <c r="M48">
        <v>1539</v>
      </c>
      <c r="N48">
        <v>1311</v>
      </c>
      <c r="O48">
        <v>1404</v>
      </c>
      <c r="P48">
        <v>975</v>
      </c>
      <c r="Q48">
        <v>1299</v>
      </c>
      <c r="R48" s="8"/>
    </row>
    <row r="49" spans="1:18" x14ac:dyDescent="0.3">
      <c r="A49" t="s">
        <v>100</v>
      </c>
      <c r="B49" t="s">
        <v>0</v>
      </c>
      <c r="C49">
        <v>1857</v>
      </c>
      <c r="D49">
        <v>954</v>
      </c>
      <c r="E49">
        <v>981</v>
      </c>
      <c r="F49">
        <v>477</v>
      </c>
      <c r="G49">
        <v>15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8"/>
    </row>
    <row r="50" spans="1:18" x14ac:dyDescent="0.3">
      <c r="A50" t="s">
        <v>101</v>
      </c>
      <c r="B50" t="s">
        <v>2</v>
      </c>
      <c r="C50">
        <v>2382</v>
      </c>
      <c r="D50">
        <v>948</v>
      </c>
      <c r="E50">
        <v>1263</v>
      </c>
      <c r="F50">
        <v>1815</v>
      </c>
      <c r="G50">
        <v>969</v>
      </c>
      <c r="H50">
        <v>1077</v>
      </c>
      <c r="I50">
        <v>603</v>
      </c>
      <c r="J50">
        <v>780</v>
      </c>
      <c r="K50">
        <v>540</v>
      </c>
      <c r="L50">
        <v>996</v>
      </c>
      <c r="M50">
        <v>837</v>
      </c>
      <c r="N50">
        <v>861</v>
      </c>
      <c r="O50">
        <v>1113</v>
      </c>
      <c r="P50">
        <v>1044</v>
      </c>
      <c r="Q50">
        <v>2121</v>
      </c>
      <c r="R50" s="8"/>
    </row>
    <row r="51" spans="1:18" x14ac:dyDescent="0.3">
      <c r="A51" t="s">
        <v>102</v>
      </c>
      <c r="B51" t="s">
        <v>2</v>
      </c>
      <c r="C51">
        <v>915</v>
      </c>
      <c r="D51">
        <v>933</v>
      </c>
      <c r="E51">
        <v>1035</v>
      </c>
      <c r="F51">
        <v>1089</v>
      </c>
      <c r="G51">
        <v>699</v>
      </c>
      <c r="H51">
        <v>744</v>
      </c>
      <c r="I51">
        <v>540</v>
      </c>
      <c r="J51">
        <v>444</v>
      </c>
      <c r="K51">
        <v>498</v>
      </c>
      <c r="L51">
        <v>708</v>
      </c>
      <c r="M51">
        <v>192</v>
      </c>
      <c r="N51">
        <v>231</v>
      </c>
      <c r="O51">
        <v>105</v>
      </c>
      <c r="P51">
        <v>12</v>
      </c>
      <c r="Q51">
        <v>69</v>
      </c>
      <c r="R51" s="8"/>
    </row>
    <row r="52" spans="1:18" x14ac:dyDescent="0.3">
      <c r="A52" t="s">
        <v>103</v>
      </c>
      <c r="B52" t="s">
        <v>2</v>
      </c>
      <c r="C52">
        <v>2328</v>
      </c>
      <c r="D52">
        <v>921</v>
      </c>
      <c r="E52">
        <v>1188</v>
      </c>
      <c r="F52">
        <v>1341</v>
      </c>
      <c r="G52">
        <v>1017</v>
      </c>
      <c r="H52">
        <v>1455</v>
      </c>
      <c r="I52">
        <v>1089</v>
      </c>
      <c r="J52">
        <v>492</v>
      </c>
      <c r="K52">
        <v>195</v>
      </c>
      <c r="L52">
        <v>1131</v>
      </c>
      <c r="M52">
        <v>537</v>
      </c>
      <c r="N52">
        <v>537</v>
      </c>
      <c r="O52">
        <v>339</v>
      </c>
      <c r="P52">
        <v>390</v>
      </c>
      <c r="Q52">
        <v>321</v>
      </c>
      <c r="R52" s="8"/>
    </row>
    <row r="53" spans="1:18" x14ac:dyDescent="0.3">
      <c r="A53" t="s">
        <v>104</v>
      </c>
      <c r="B53" t="s">
        <v>4</v>
      </c>
      <c r="C53">
        <v>684</v>
      </c>
      <c r="D53">
        <v>918</v>
      </c>
      <c r="E53">
        <v>1176</v>
      </c>
      <c r="F53">
        <v>1458</v>
      </c>
      <c r="G53">
        <v>615</v>
      </c>
      <c r="H53">
        <v>645</v>
      </c>
      <c r="I53">
        <v>555</v>
      </c>
      <c r="J53">
        <v>639</v>
      </c>
      <c r="K53">
        <v>783</v>
      </c>
      <c r="L53">
        <v>753</v>
      </c>
      <c r="M53">
        <v>519</v>
      </c>
      <c r="N53">
        <v>528</v>
      </c>
      <c r="O53">
        <v>765</v>
      </c>
      <c r="P53">
        <v>765</v>
      </c>
      <c r="Q53">
        <v>1107</v>
      </c>
      <c r="R53" s="8"/>
    </row>
    <row r="54" spans="1:18" x14ac:dyDescent="0.3">
      <c r="A54" t="s">
        <v>105</v>
      </c>
      <c r="B54" t="s">
        <v>2</v>
      </c>
      <c r="C54">
        <v>2133</v>
      </c>
      <c r="D54">
        <v>909</v>
      </c>
      <c r="E54">
        <v>1563</v>
      </c>
      <c r="F54">
        <v>1314</v>
      </c>
      <c r="G54">
        <v>1062</v>
      </c>
      <c r="H54">
        <v>1563</v>
      </c>
      <c r="I54">
        <v>1032</v>
      </c>
      <c r="J54">
        <v>735</v>
      </c>
      <c r="K54">
        <v>576</v>
      </c>
      <c r="L54">
        <v>558</v>
      </c>
      <c r="M54">
        <v>480</v>
      </c>
      <c r="N54">
        <v>300</v>
      </c>
      <c r="O54">
        <v>0</v>
      </c>
      <c r="P54">
        <v>0</v>
      </c>
      <c r="Q54">
        <v>0</v>
      </c>
      <c r="R54" s="8"/>
    </row>
    <row r="55" spans="1:18" x14ac:dyDescent="0.3">
      <c r="A55" t="s">
        <v>106</v>
      </c>
      <c r="B55" t="s">
        <v>1</v>
      </c>
      <c r="C55">
        <v>213</v>
      </c>
      <c r="D55">
        <v>906</v>
      </c>
      <c r="E55">
        <v>600</v>
      </c>
      <c r="F55">
        <v>81</v>
      </c>
      <c r="G55">
        <v>84</v>
      </c>
      <c r="H55">
        <v>258</v>
      </c>
      <c r="I55">
        <v>426</v>
      </c>
      <c r="J55">
        <v>867</v>
      </c>
      <c r="K55">
        <v>279</v>
      </c>
      <c r="L55">
        <v>828</v>
      </c>
      <c r="M55">
        <v>1062</v>
      </c>
      <c r="N55">
        <v>1650</v>
      </c>
      <c r="O55">
        <v>2106</v>
      </c>
      <c r="P55">
        <v>1464</v>
      </c>
      <c r="Q55">
        <v>3246</v>
      </c>
      <c r="R55" s="8"/>
    </row>
    <row r="56" spans="1:18" x14ac:dyDescent="0.3">
      <c r="A56" t="s">
        <v>107</v>
      </c>
      <c r="B56" t="s">
        <v>4</v>
      </c>
      <c r="C56">
        <v>1788</v>
      </c>
      <c r="D56">
        <v>903</v>
      </c>
      <c r="E56">
        <v>1143</v>
      </c>
      <c r="F56">
        <v>1122</v>
      </c>
      <c r="G56">
        <v>912</v>
      </c>
      <c r="H56">
        <v>1065</v>
      </c>
      <c r="I56">
        <v>825</v>
      </c>
      <c r="J56">
        <v>813</v>
      </c>
      <c r="K56">
        <v>1209</v>
      </c>
      <c r="L56">
        <v>1362</v>
      </c>
      <c r="M56">
        <v>891</v>
      </c>
      <c r="N56">
        <v>912</v>
      </c>
      <c r="O56">
        <v>744</v>
      </c>
      <c r="P56">
        <v>570</v>
      </c>
      <c r="Q56">
        <v>798</v>
      </c>
      <c r="R56" s="8"/>
    </row>
    <row r="57" spans="1:18" x14ac:dyDescent="0.3">
      <c r="A57" t="s">
        <v>108</v>
      </c>
      <c r="B57" t="s">
        <v>0</v>
      </c>
      <c r="C57">
        <v>258</v>
      </c>
      <c r="D57">
        <v>897</v>
      </c>
      <c r="E57">
        <v>399</v>
      </c>
      <c r="F57">
        <v>258</v>
      </c>
      <c r="G57">
        <v>132</v>
      </c>
      <c r="H57">
        <v>159</v>
      </c>
      <c r="I57">
        <v>123</v>
      </c>
      <c r="J57">
        <v>177</v>
      </c>
      <c r="K57">
        <v>9</v>
      </c>
      <c r="L57">
        <v>66</v>
      </c>
      <c r="M57">
        <v>330</v>
      </c>
      <c r="N57">
        <v>129</v>
      </c>
      <c r="O57">
        <v>759</v>
      </c>
      <c r="P57">
        <v>831</v>
      </c>
      <c r="Q57">
        <v>468</v>
      </c>
      <c r="R57" s="8"/>
    </row>
    <row r="58" spans="1:18" x14ac:dyDescent="0.3">
      <c r="A58" t="s">
        <v>109</v>
      </c>
      <c r="B58" t="s">
        <v>4</v>
      </c>
      <c r="C58">
        <v>651</v>
      </c>
      <c r="D58">
        <v>891</v>
      </c>
      <c r="E58">
        <v>1176</v>
      </c>
      <c r="F58">
        <v>1176</v>
      </c>
      <c r="G58">
        <v>675</v>
      </c>
      <c r="H58">
        <v>618</v>
      </c>
      <c r="I58">
        <v>657</v>
      </c>
      <c r="J58">
        <v>672</v>
      </c>
      <c r="K58">
        <v>897</v>
      </c>
      <c r="L58">
        <v>1008</v>
      </c>
      <c r="M58">
        <v>762</v>
      </c>
      <c r="N58">
        <v>630</v>
      </c>
      <c r="O58">
        <v>711</v>
      </c>
      <c r="P58">
        <v>627</v>
      </c>
      <c r="Q58">
        <v>660</v>
      </c>
      <c r="R58" s="8"/>
    </row>
    <row r="59" spans="1:18" x14ac:dyDescent="0.3">
      <c r="A59" t="s">
        <v>110</v>
      </c>
      <c r="B59" t="s">
        <v>0</v>
      </c>
      <c r="C59">
        <v>216</v>
      </c>
      <c r="D59">
        <v>888</v>
      </c>
      <c r="E59">
        <v>375</v>
      </c>
      <c r="F59">
        <v>63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8"/>
    </row>
    <row r="60" spans="1:18" x14ac:dyDescent="0.3">
      <c r="A60" t="s">
        <v>111</v>
      </c>
      <c r="B60" t="s">
        <v>0</v>
      </c>
      <c r="C60">
        <v>813</v>
      </c>
      <c r="D60">
        <v>885</v>
      </c>
      <c r="E60">
        <v>1116</v>
      </c>
      <c r="F60">
        <v>1221</v>
      </c>
      <c r="G60">
        <v>948</v>
      </c>
      <c r="H60">
        <v>864</v>
      </c>
      <c r="I60">
        <v>438</v>
      </c>
      <c r="J60">
        <v>282</v>
      </c>
      <c r="K60">
        <v>30</v>
      </c>
      <c r="L60">
        <v>45</v>
      </c>
      <c r="M60">
        <v>0</v>
      </c>
      <c r="N60">
        <v>0</v>
      </c>
      <c r="O60">
        <v>0</v>
      </c>
      <c r="P60">
        <v>0</v>
      </c>
      <c r="Q60">
        <v>0</v>
      </c>
      <c r="R60" s="8"/>
    </row>
    <row r="61" spans="1:18" x14ac:dyDescent="0.3">
      <c r="A61" t="s">
        <v>112</v>
      </c>
      <c r="B61" t="s">
        <v>0</v>
      </c>
      <c r="C61">
        <v>1737</v>
      </c>
      <c r="D61">
        <v>876</v>
      </c>
      <c r="E61">
        <v>933</v>
      </c>
      <c r="F61">
        <v>1773</v>
      </c>
      <c r="G61">
        <v>1041</v>
      </c>
      <c r="H61">
        <v>768</v>
      </c>
      <c r="I61">
        <v>408</v>
      </c>
      <c r="J61">
        <v>411</v>
      </c>
      <c r="K61">
        <v>69</v>
      </c>
      <c r="L61">
        <v>33</v>
      </c>
      <c r="M61">
        <v>0</v>
      </c>
      <c r="N61">
        <v>0</v>
      </c>
      <c r="O61">
        <v>0</v>
      </c>
      <c r="P61">
        <v>0</v>
      </c>
      <c r="Q61">
        <v>0</v>
      </c>
      <c r="R61" s="8"/>
    </row>
    <row r="62" spans="1:18" x14ac:dyDescent="0.3">
      <c r="A62" t="s">
        <v>113</v>
      </c>
      <c r="B62" t="s">
        <v>4</v>
      </c>
      <c r="C62">
        <v>675</v>
      </c>
      <c r="D62">
        <v>846</v>
      </c>
      <c r="E62">
        <v>1341</v>
      </c>
      <c r="F62">
        <v>1818</v>
      </c>
      <c r="G62">
        <v>921</v>
      </c>
      <c r="H62">
        <v>1002</v>
      </c>
      <c r="I62">
        <v>633</v>
      </c>
      <c r="J62">
        <v>720</v>
      </c>
      <c r="K62">
        <v>414</v>
      </c>
      <c r="L62">
        <v>741</v>
      </c>
      <c r="M62">
        <v>441</v>
      </c>
      <c r="N62">
        <v>402</v>
      </c>
      <c r="O62">
        <v>546</v>
      </c>
      <c r="P62">
        <v>471</v>
      </c>
      <c r="Q62">
        <v>1074</v>
      </c>
      <c r="R62" s="8"/>
    </row>
    <row r="63" spans="1:18" x14ac:dyDescent="0.3">
      <c r="A63" t="s">
        <v>114</v>
      </c>
      <c r="B63" t="s">
        <v>2</v>
      </c>
      <c r="C63">
        <v>1539</v>
      </c>
      <c r="D63">
        <v>834</v>
      </c>
      <c r="E63">
        <v>1485</v>
      </c>
      <c r="F63">
        <v>1935</v>
      </c>
      <c r="G63">
        <v>909</v>
      </c>
      <c r="H63">
        <v>1362</v>
      </c>
      <c r="I63">
        <v>573</v>
      </c>
      <c r="J63">
        <v>195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8"/>
    </row>
    <row r="64" spans="1:18" x14ac:dyDescent="0.3">
      <c r="A64" t="s">
        <v>115</v>
      </c>
      <c r="B64" t="s">
        <v>4</v>
      </c>
      <c r="C64">
        <v>789</v>
      </c>
      <c r="D64">
        <v>819</v>
      </c>
      <c r="E64">
        <v>1410</v>
      </c>
      <c r="F64">
        <v>1293</v>
      </c>
      <c r="G64">
        <v>1176</v>
      </c>
      <c r="H64">
        <v>969</v>
      </c>
      <c r="I64">
        <v>693</v>
      </c>
      <c r="J64">
        <v>1104</v>
      </c>
      <c r="K64">
        <v>1311</v>
      </c>
      <c r="L64">
        <v>1335</v>
      </c>
      <c r="M64">
        <v>1029</v>
      </c>
      <c r="N64">
        <v>1050</v>
      </c>
      <c r="O64">
        <v>951</v>
      </c>
      <c r="P64">
        <v>912</v>
      </c>
      <c r="Q64">
        <v>1731</v>
      </c>
      <c r="R64" s="8"/>
    </row>
    <row r="65" spans="1:18" x14ac:dyDescent="0.3">
      <c r="A65" t="s">
        <v>116</v>
      </c>
      <c r="B65" t="s">
        <v>0</v>
      </c>
      <c r="C65">
        <v>555</v>
      </c>
      <c r="D65">
        <v>810</v>
      </c>
      <c r="E65">
        <v>768</v>
      </c>
      <c r="F65">
        <v>270</v>
      </c>
      <c r="G65">
        <v>381</v>
      </c>
      <c r="H65">
        <v>435</v>
      </c>
      <c r="I65">
        <v>423</v>
      </c>
      <c r="J65">
        <v>102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8"/>
    </row>
    <row r="66" spans="1:18" x14ac:dyDescent="0.3">
      <c r="A66" t="s">
        <v>117</v>
      </c>
      <c r="B66" t="s">
        <v>1</v>
      </c>
      <c r="C66">
        <v>279</v>
      </c>
      <c r="D66">
        <v>807</v>
      </c>
      <c r="E66">
        <v>1080</v>
      </c>
      <c r="F66">
        <v>1779</v>
      </c>
      <c r="G66">
        <v>1605</v>
      </c>
      <c r="H66">
        <v>2106</v>
      </c>
      <c r="I66">
        <v>1188</v>
      </c>
      <c r="J66">
        <v>1560</v>
      </c>
      <c r="K66">
        <v>552</v>
      </c>
      <c r="L66">
        <v>156</v>
      </c>
      <c r="M66">
        <v>114</v>
      </c>
      <c r="N66">
        <v>93</v>
      </c>
      <c r="O66">
        <v>0</v>
      </c>
      <c r="P66">
        <v>0</v>
      </c>
      <c r="Q66">
        <v>24</v>
      </c>
      <c r="R66" s="8"/>
    </row>
    <row r="67" spans="1:18" x14ac:dyDescent="0.3">
      <c r="A67" t="s">
        <v>118</v>
      </c>
      <c r="B67" t="s">
        <v>2</v>
      </c>
      <c r="C67">
        <v>6006</v>
      </c>
      <c r="D67">
        <v>798</v>
      </c>
      <c r="E67">
        <v>1314</v>
      </c>
      <c r="F67">
        <v>1782</v>
      </c>
      <c r="G67">
        <v>1314</v>
      </c>
      <c r="H67">
        <v>2046</v>
      </c>
      <c r="I67">
        <v>1626</v>
      </c>
      <c r="J67">
        <v>1827</v>
      </c>
      <c r="K67">
        <v>1470</v>
      </c>
      <c r="L67">
        <v>1485</v>
      </c>
      <c r="M67">
        <v>825</v>
      </c>
      <c r="N67">
        <v>1005</v>
      </c>
      <c r="O67">
        <v>552</v>
      </c>
      <c r="P67">
        <v>414</v>
      </c>
      <c r="Q67">
        <v>150</v>
      </c>
      <c r="R67" s="8"/>
    </row>
    <row r="68" spans="1:18" x14ac:dyDescent="0.3">
      <c r="A68" t="s">
        <v>119</v>
      </c>
      <c r="B68" t="s">
        <v>2</v>
      </c>
      <c r="C68">
        <v>1380</v>
      </c>
      <c r="D68">
        <v>792</v>
      </c>
      <c r="E68">
        <v>1329</v>
      </c>
      <c r="F68">
        <v>1371</v>
      </c>
      <c r="G68">
        <v>1116</v>
      </c>
      <c r="H68">
        <v>951</v>
      </c>
      <c r="I68">
        <v>873</v>
      </c>
      <c r="J68">
        <v>888</v>
      </c>
      <c r="K68">
        <v>1146</v>
      </c>
      <c r="L68">
        <v>1107</v>
      </c>
      <c r="M68">
        <v>1104</v>
      </c>
      <c r="N68">
        <v>840</v>
      </c>
      <c r="O68">
        <v>897</v>
      </c>
      <c r="P68">
        <v>876</v>
      </c>
      <c r="Q68">
        <v>1458</v>
      </c>
      <c r="R68" s="8"/>
    </row>
    <row r="69" spans="1:18" x14ac:dyDescent="0.3">
      <c r="A69" t="s">
        <v>120</v>
      </c>
      <c r="B69" t="s">
        <v>2</v>
      </c>
      <c r="C69">
        <v>1836</v>
      </c>
      <c r="D69">
        <v>783</v>
      </c>
      <c r="E69">
        <v>1122</v>
      </c>
      <c r="F69">
        <v>873</v>
      </c>
      <c r="G69">
        <v>645</v>
      </c>
      <c r="H69">
        <v>852</v>
      </c>
      <c r="I69">
        <v>846</v>
      </c>
      <c r="J69">
        <v>1122</v>
      </c>
      <c r="K69">
        <v>1176</v>
      </c>
      <c r="L69">
        <v>1299</v>
      </c>
      <c r="M69">
        <v>1266</v>
      </c>
      <c r="N69">
        <v>1311</v>
      </c>
      <c r="O69">
        <v>966</v>
      </c>
      <c r="P69">
        <v>1182</v>
      </c>
      <c r="Q69">
        <v>1965</v>
      </c>
      <c r="R69" s="8"/>
    </row>
    <row r="70" spans="1:18" x14ac:dyDescent="0.3">
      <c r="A70" t="s">
        <v>121</v>
      </c>
      <c r="B70" t="s">
        <v>1</v>
      </c>
      <c r="C70">
        <v>2703</v>
      </c>
      <c r="D70">
        <v>783</v>
      </c>
      <c r="E70">
        <v>900</v>
      </c>
      <c r="F70">
        <v>972</v>
      </c>
      <c r="G70">
        <v>1083</v>
      </c>
      <c r="H70">
        <v>1266</v>
      </c>
      <c r="I70">
        <v>720</v>
      </c>
      <c r="J70">
        <v>981</v>
      </c>
      <c r="K70">
        <v>1233</v>
      </c>
      <c r="L70">
        <v>966</v>
      </c>
      <c r="M70">
        <v>579</v>
      </c>
      <c r="N70">
        <v>483</v>
      </c>
      <c r="O70">
        <v>270</v>
      </c>
      <c r="P70">
        <v>186</v>
      </c>
      <c r="Q70">
        <v>114</v>
      </c>
      <c r="R70" s="8"/>
    </row>
    <row r="71" spans="1:18" x14ac:dyDescent="0.3">
      <c r="A71" t="s">
        <v>122</v>
      </c>
      <c r="B71" t="s">
        <v>1</v>
      </c>
      <c r="C71">
        <v>1800</v>
      </c>
      <c r="D71">
        <v>762</v>
      </c>
      <c r="E71">
        <v>1824</v>
      </c>
      <c r="F71">
        <v>1440</v>
      </c>
      <c r="G71">
        <v>1005</v>
      </c>
      <c r="H71">
        <v>621</v>
      </c>
      <c r="I71">
        <v>828</v>
      </c>
      <c r="J71">
        <v>1497</v>
      </c>
      <c r="K71">
        <v>1131</v>
      </c>
      <c r="L71">
        <v>1587</v>
      </c>
      <c r="M71">
        <v>780</v>
      </c>
      <c r="N71">
        <v>879</v>
      </c>
      <c r="O71">
        <v>339</v>
      </c>
      <c r="P71">
        <v>282</v>
      </c>
      <c r="Q71">
        <v>171</v>
      </c>
      <c r="R71" s="8"/>
    </row>
    <row r="72" spans="1:18" x14ac:dyDescent="0.3">
      <c r="A72" t="s">
        <v>123</v>
      </c>
      <c r="B72" t="s">
        <v>0</v>
      </c>
      <c r="C72">
        <v>126</v>
      </c>
      <c r="D72">
        <v>753</v>
      </c>
      <c r="E72">
        <v>636</v>
      </c>
      <c r="F72">
        <v>579</v>
      </c>
      <c r="G72">
        <v>645</v>
      </c>
      <c r="H72">
        <v>309</v>
      </c>
      <c r="I72">
        <v>66</v>
      </c>
      <c r="J72">
        <v>45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8"/>
    </row>
    <row r="73" spans="1:18" x14ac:dyDescent="0.3">
      <c r="A73" t="s">
        <v>124</v>
      </c>
      <c r="B73" t="s">
        <v>0</v>
      </c>
      <c r="C73">
        <v>708</v>
      </c>
      <c r="D73">
        <v>750</v>
      </c>
      <c r="E73">
        <v>816</v>
      </c>
      <c r="F73">
        <v>948</v>
      </c>
      <c r="G73">
        <v>780</v>
      </c>
      <c r="H73">
        <v>459</v>
      </c>
      <c r="I73">
        <v>990</v>
      </c>
      <c r="J73">
        <v>237</v>
      </c>
      <c r="K73">
        <v>48</v>
      </c>
      <c r="L73">
        <v>57</v>
      </c>
      <c r="M73">
        <v>0</v>
      </c>
      <c r="N73">
        <v>0</v>
      </c>
      <c r="O73">
        <v>0</v>
      </c>
      <c r="P73">
        <v>0</v>
      </c>
      <c r="Q73">
        <v>0</v>
      </c>
      <c r="R73" s="8"/>
    </row>
    <row r="74" spans="1:18" x14ac:dyDescent="0.3">
      <c r="A74" t="s">
        <v>125</v>
      </c>
      <c r="B74" t="s">
        <v>2</v>
      </c>
      <c r="C74">
        <v>1023</v>
      </c>
      <c r="D74">
        <v>735</v>
      </c>
      <c r="E74">
        <v>903</v>
      </c>
      <c r="F74">
        <v>738</v>
      </c>
      <c r="G74">
        <v>543</v>
      </c>
      <c r="H74">
        <v>510</v>
      </c>
      <c r="I74">
        <v>414</v>
      </c>
      <c r="J74">
        <v>672</v>
      </c>
      <c r="K74">
        <v>702</v>
      </c>
      <c r="L74">
        <v>861</v>
      </c>
      <c r="M74">
        <v>822</v>
      </c>
      <c r="N74">
        <v>753</v>
      </c>
      <c r="O74">
        <v>654</v>
      </c>
      <c r="P74">
        <v>882</v>
      </c>
      <c r="Q74">
        <v>1086</v>
      </c>
      <c r="R74" s="8"/>
    </row>
    <row r="75" spans="1:18" x14ac:dyDescent="0.3">
      <c r="A75" t="s">
        <v>126</v>
      </c>
      <c r="B75" t="s">
        <v>4</v>
      </c>
      <c r="C75">
        <v>606</v>
      </c>
      <c r="D75">
        <v>735</v>
      </c>
      <c r="E75">
        <v>1164</v>
      </c>
      <c r="F75">
        <v>1017</v>
      </c>
      <c r="G75">
        <v>363</v>
      </c>
      <c r="H75">
        <v>198</v>
      </c>
      <c r="I75">
        <v>228</v>
      </c>
      <c r="J75">
        <v>534</v>
      </c>
      <c r="K75">
        <v>609</v>
      </c>
      <c r="L75">
        <v>681</v>
      </c>
      <c r="M75">
        <v>987</v>
      </c>
      <c r="N75">
        <v>687</v>
      </c>
      <c r="O75">
        <v>444</v>
      </c>
      <c r="P75">
        <v>117</v>
      </c>
      <c r="Q75">
        <v>0</v>
      </c>
      <c r="R75" s="8"/>
    </row>
    <row r="76" spans="1:18" x14ac:dyDescent="0.3">
      <c r="A76" t="s">
        <v>127</v>
      </c>
      <c r="B76" t="s">
        <v>0</v>
      </c>
      <c r="C76">
        <v>555</v>
      </c>
      <c r="D76">
        <v>729</v>
      </c>
      <c r="E76">
        <v>906</v>
      </c>
      <c r="F76">
        <v>252</v>
      </c>
      <c r="G76">
        <v>297</v>
      </c>
      <c r="H76">
        <v>504</v>
      </c>
      <c r="I76">
        <v>315</v>
      </c>
      <c r="J76">
        <v>120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8"/>
    </row>
    <row r="77" spans="1:18" x14ac:dyDescent="0.3">
      <c r="A77" t="s">
        <v>128</v>
      </c>
      <c r="B77" t="s">
        <v>1</v>
      </c>
      <c r="C77">
        <v>1365</v>
      </c>
      <c r="D77">
        <v>684</v>
      </c>
      <c r="E77">
        <v>819</v>
      </c>
      <c r="F77">
        <v>639</v>
      </c>
      <c r="G77">
        <v>519</v>
      </c>
      <c r="H77">
        <v>648</v>
      </c>
      <c r="I77">
        <v>447</v>
      </c>
      <c r="J77">
        <v>384</v>
      </c>
      <c r="K77">
        <v>273</v>
      </c>
      <c r="L77">
        <v>684</v>
      </c>
      <c r="M77">
        <v>501</v>
      </c>
      <c r="N77">
        <v>807</v>
      </c>
      <c r="O77">
        <v>951</v>
      </c>
      <c r="P77">
        <v>495</v>
      </c>
      <c r="Q77">
        <v>867</v>
      </c>
      <c r="R77" s="8"/>
    </row>
    <row r="78" spans="1:18" x14ac:dyDescent="0.3">
      <c r="A78" t="s">
        <v>129</v>
      </c>
      <c r="B78" t="s">
        <v>0</v>
      </c>
      <c r="C78">
        <v>855</v>
      </c>
      <c r="D78">
        <v>657</v>
      </c>
      <c r="E78">
        <v>612</v>
      </c>
      <c r="F78">
        <v>786</v>
      </c>
      <c r="G78">
        <v>645</v>
      </c>
      <c r="H78">
        <v>603</v>
      </c>
      <c r="I78">
        <v>456</v>
      </c>
      <c r="J78">
        <v>204</v>
      </c>
      <c r="K78">
        <v>33</v>
      </c>
      <c r="L78">
        <v>63</v>
      </c>
      <c r="M78">
        <v>0</v>
      </c>
      <c r="N78">
        <v>0</v>
      </c>
      <c r="O78">
        <v>0</v>
      </c>
      <c r="P78">
        <v>0</v>
      </c>
      <c r="Q78">
        <v>0</v>
      </c>
      <c r="R78" s="8"/>
    </row>
    <row r="79" spans="1:18" x14ac:dyDescent="0.3">
      <c r="A79" t="s">
        <v>130</v>
      </c>
      <c r="B79" t="s">
        <v>1</v>
      </c>
      <c r="C79">
        <v>240</v>
      </c>
      <c r="D79">
        <v>648</v>
      </c>
      <c r="E79">
        <v>432</v>
      </c>
      <c r="F79">
        <v>1020</v>
      </c>
      <c r="G79">
        <v>318</v>
      </c>
      <c r="H79">
        <v>822</v>
      </c>
      <c r="I79">
        <v>444</v>
      </c>
      <c r="J79">
        <v>639</v>
      </c>
      <c r="K79">
        <v>411</v>
      </c>
      <c r="L79">
        <v>63</v>
      </c>
      <c r="M79">
        <v>129</v>
      </c>
      <c r="N79">
        <v>54</v>
      </c>
      <c r="O79">
        <v>6</v>
      </c>
      <c r="P79">
        <v>18</v>
      </c>
      <c r="Q79">
        <v>60</v>
      </c>
      <c r="R79" s="8"/>
    </row>
    <row r="80" spans="1:18" x14ac:dyDescent="0.3">
      <c r="A80" t="s">
        <v>131</v>
      </c>
      <c r="B80" t="s">
        <v>1</v>
      </c>
      <c r="C80">
        <v>1602</v>
      </c>
      <c r="D80">
        <v>624</v>
      </c>
      <c r="E80">
        <v>471</v>
      </c>
      <c r="F80">
        <v>183</v>
      </c>
      <c r="G80">
        <v>426</v>
      </c>
      <c r="H80">
        <v>897</v>
      </c>
      <c r="I80">
        <v>366</v>
      </c>
      <c r="J80">
        <v>114</v>
      </c>
      <c r="K80">
        <v>66</v>
      </c>
      <c r="L80">
        <v>177</v>
      </c>
      <c r="M80">
        <v>90</v>
      </c>
      <c r="N80">
        <v>234</v>
      </c>
      <c r="O80">
        <v>228</v>
      </c>
      <c r="P80">
        <v>189</v>
      </c>
      <c r="Q80">
        <v>33</v>
      </c>
      <c r="R80" s="8"/>
    </row>
    <row r="81" spans="1:18" x14ac:dyDescent="0.3">
      <c r="A81" t="s">
        <v>132</v>
      </c>
      <c r="B81" t="s">
        <v>2</v>
      </c>
      <c r="C81">
        <v>579</v>
      </c>
      <c r="D81">
        <v>621</v>
      </c>
      <c r="E81">
        <v>942</v>
      </c>
      <c r="F81">
        <v>975</v>
      </c>
      <c r="G81">
        <v>867</v>
      </c>
      <c r="H81">
        <v>834</v>
      </c>
      <c r="I81">
        <v>534</v>
      </c>
      <c r="J81">
        <v>684</v>
      </c>
      <c r="K81">
        <v>594</v>
      </c>
      <c r="L81">
        <v>780</v>
      </c>
      <c r="M81">
        <v>612</v>
      </c>
      <c r="N81">
        <v>612</v>
      </c>
      <c r="O81">
        <v>351</v>
      </c>
      <c r="P81">
        <v>735</v>
      </c>
      <c r="Q81">
        <v>642</v>
      </c>
      <c r="R81" s="8"/>
    </row>
    <row r="82" spans="1:18" x14ac:dyDescent="0.3">
      <c r="A82" t="s">
        <v>133</v>
      </c>
      <c r="B82" t="s">
        <v>0</v>
      </c>
      <c r="C82">
        <v>243</v>
      </c>
      <c r="D82">
        <v>618</v>
      </c>
      <c r="E82">
        <v>660</v>
      </c>
      <c r="F82">
        <v>591</v>
      </c>
      <c r="G82">
        <v>156</v>
      </c>
      <c r="H82">
        <v>135</v>
      </c>
      <c r="I82">
        <v>87</v>
      </c>
      <c r="J82">
        <v>261</v>
      </c>
      <c r="K82">
        <v>177</v>
      </c>
      <c r="L82">
        <v>579</v>
      </c>
      <c r="M82">
        <v>378</v>
      </c>
      <c r="N82">
        <v>231</v>
      </c>
      <c r="O82">
        <v>291</v>
      </c>
      <c r="P82">
        <v>18</v>
      </c>
      <c r="Q82">
        <v>0</v>
      </c>
      <c r="R82" s="8"/>
    </row>
    <row r="83" spans="1:18" x14ac:dyDescent="0.3">
      <c r="A83" t="s">
        <v>134</v>
      </c>
      <c r="B83" t="s">
        <v>0</v>
      </c>
      <c r="C83">
        <v>702</v>
      </c>
      <c r="D83">
        <v>612</v>
      </c>
      <c r="E83">
        <v>480</v>
      </c>
      <c r="F83">
        <v>243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8"/>
    </row>
    <row r="84" spans="1:18" x14ac:dyDescent="0.3">
      <c r="A84" t="s">
        <v>135</v>
      </c>
      <c r="B84" t="s">
        <v>0</v>
      </c>
      <c r="C84">
        <v>747</v>
      </c>
      <c r="D84">
        <v>609</v>
      </c>
      <c r="E84">
        <v>585</v>
      </c>
      <c r="F84">
        <v>282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8"/>
    </row>
    <row r="85" spans="1:18" x14ac:dyDescent="0.3">
      <c r="A85" t="s">
        <v>136</v>
      </c>
      <c r="B85" t="s">
        <v>1</v>
      </c>
      <c r="C85">
        <v>1851</v>
      </c>
      <c r="D85">
        <v>597</v>
      </c>
      <c r="E85">
        <v>831</v>
      </c>
      <c r="F85">
        <v>285</v>
      </c>
      <c r="G85">
        <v>477</v>
      </c>
      <c r="H85">
        <v>1296</v>
      </c>
      <c r="I85">
        <v>927</v>
      </c>
      <c r="J85">
        <v>294</v>
      </c>
      <c r="K85">
        <v>219</v>
      </c>
      <c r="L85">
        <v>291</v>
      </c>
      <c r="M85">
        <v>189</v>
      </c>
      <c r="N85">
        <v>678</v>
      </c>
      <c r="O85">
        <v>573</v>
      </c>
      <c r="P85">
        <v>603</v>
      </c>
      <c r="Q85">
        <v>279</v>
      </c>
      <c r="R85" s="8"/>
    </row>
    <row r="86" spans="1:18" x14ac:dyDescent="0.3">
      <c r="A86" t="s">
        <v>137</v>
      </c>
      <c r="B86" t="s">
        <v>1</v>
      </c>
      <c r="C86">
        <v>786</v>
      </c>
      <c r="D86">
        <v>594</v>
      </c>
      <c r="E86">
        <v>771</v>
      </c>
      <c r="F86">
        <v>1035</v>
      </c>
      <c r="G86">
        <v>594</v>
      </c>
      <c r="H86">
        <v>597</v>
      </c>
      <c r="I86">
        <v>456</v>
      </c>
      <c r="J86">
        <v>585</v>
      </c>
      <c r="K86">
        <v>900</v>
      </c>
      <c r="L86">
        <v>840</v>
      </c>
      <c r="M86">
        <v>789</v>
      </c>
      <c r="N86">
        <v>837</v>
      </c>
      <c r="O86">
        <v>1170</v>
      </c>
      <c r="P86">
        <v>876</v>
      </c>
      <c r="Q86">
        <v>1359</v>
      </c>
      <c r="R86" s="8"/>
    </row>
    <row r="87" spans="1:18" x14ac:dyDescent="0.3">
      <c r="A87" t="s">
        <v>138</v>
      </c>
      <c r="B87" t="s">
        <v>0</v>
      </c>
      <c r="C87">
        <v>522</v>
      </c>
      <c r="D87">
        <v>591</v>
      </c>
      <c r="E87">
        <v>402</v>
      </c>
      <c r="F87">
        <v>786</v>
      </c>
      <c r="G87">
        <v>702</v>
      </c>
      <c r="H87">
        <v>744</v>
      </c>
      <c r="I87">
        <v>153</v>
      </c>
      <c r="J87">
        <v>156</v>
      </c>
      <c r="K87">
        <v>0</v>
      </c>
      <c r="L87">
        <v>0</v>
      </c>
      <c r="M87">
        <v>0</v>
      </c>
      <c r="N87">
        <v>0</v>
      </c>
      <c r="O87">
        <v>21</v>
      </c>
      <c r="P87">
        <v>33</v>
      </c>
      <c r="Q87">
        <v>96</v>
      </c>
      <c r="R87" s="8"/>
    </row>
    <row r="88" spans="1:18" x14ac:dyDescent="0.3">
      <c r="A88" t="s">
        <v>139</v>
      </c>
      <c r="B88" t="s">
        <v>0</v>
      </c>
      <c r="C88">
        <v>501</v>
      </c>
      <c r="D88">
        <v>579</v>
      </c>
      <c r="E88">
        <v>267</v>
      </c>
      <c r="F88">
        <v>252</v>
      </c>
      <c r="G88">
        <v>183</v>
      </c>
      <c r="H88">
        <v>96</v>
      </c>
      <c r="I88">
        <v>63</v>
      </c>
      <c r="J88">
        <v>75</v>
      </c>
      <c r="K88">
        <v>168</v>
      </c>
      <c r="L88">
        <v>477</v>
      </c>
      <c r="M88">
        <v>318</v>
      </c>
      <c r="N88">
        <v>915</v>
      </c>
      <c r="O88">
        <v>1284</v>
      </c>
      <c r="P88">
        <v>660</v>
      </c>
      <c r="Q88">
        <v>465</v>
      </c>
      <c r="R88" s="8"/>
    </row>
    <row r="89" spans="1:18" x14ac:dyDescent="0.3">
      <c r="A89" t="s">
        <v>140</v>
      </c>
      <c r="B89" t="s">
        <v>2</v>
      </c>
      <c r="C89">
        <v>3450</v>
      </c>
      <c r="D89">
        <v>558</v>
      </c>
      <c r="E89">
        <v>906</v>
      </c>
      <c r="F89">
        <v>1029</v>
      </c>
      <c r="G89">
        <v>1008</v>
      </c>
      <c r="H89">
        <v>1194</v>
      </c>
      <c r="I89">
        <v>771</v>
      </c>
      <c r="J89">
        <v>966</v>
      </c>
      <c r="K89">
        <v>1179</v>
      </c>
      <c r="L89">
        <v>1128</v>
      </c>
      <c r="M89">
        <v>822</v>
      </c>
      <c r="N89">
        <v>855</v>
      </c>
      <c r="O89">
        <v>669</v>
      </c>
      <c r="P89">
        <v>291</v>
      </c>
      <c r="Q89">
        <v>210</v>
      </c>
      <c r="R89" s="8"/>
    </row>
    <row r="90" spans="1:18" x14ac:dyDescent="0.3">
      <c r="A90" t="s">
        <v>141</v>
      </c>
      <c r="B90" t="s">
        <v>0</v>
      </c>
      <c r="C90">
        <v>45</v>
      </c>
      <c r="D90">
        <v>546</v>
      </c>
      <c r="E90">
        <v>918</v>
      </c>
      <c r="F90">
        <v>633</v>
      </c>
      <c r="G90">
        <v>501</v>
      </c>
      <c r="H90">
        <v>597</v>
      </c>
      <c r="I90">
        <v>150</v>
      </c>
      <c r="J90">
        <v>87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8"/>
    </row>
    <row r="91" spans="1:18" x14ac:dyDescent="0.3">
      <c r="A91" t="s">
        <v>142</v>
      </c>
      <c r="B91" t="s">
        <v>0</v>
      </c>
      <c r="C91">
        <v>1461</v>
      </c>
      <c r="D91">
        <v>543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8"/>
    </row>
    <row r="92" spans="1:18" x14ac:dyDescent="0.3">
      <c r="A92" t="s">
        <v>143</v>
      </c>
      <c r="B92" t="s">
        <v>4</v>
      </c>
      <c r="C92">
        <v>471</v>
      </c>
      <c r="D92">
        <v>534</v>
      </c>
      <c r="E92">
        <v>525</v>
      </c>
      <c r="F92">
        <v>303</v>
      </c>
      <c r="G92">
        <v>123</v>
      </c>
      <c r="H92">
        <v>144</v>
      </c>
      <c r="I92">
        <v>192</v>
      </c>
      <c r="J92">
        <v>342</v>
      </c>
      <c r="K92">
        <v>462</v>
      </c>
      <c r="L92">
        <v>378</v>
      </c>
      <c r="M92">
        <v>495</v>
      </c>
      <c r="N92">
        <v>417</v>
      </c>
      <c r="O92">
        <v>441</v>
      </c>
      <c r="P92">
        <v>591</v>
      </c>
      <c r="Q92">
        <v>1221</v>
      </c>
      <c r="R92" s="8"/>
    </row>
    <row r="93" spans="1:18" x14ac:dyDescent="0.3">
      <c r="A93" t="s">
        <v>144</v>
      </c>
      <c r="B93" t="s">
        <v>2</v>
      </c>
      <c r="C93">
        <v>630</v>
      </c>
      <c r="D93">
        <v>531</v>
      </c>
      <c r="E93">
        <v>1254</v>
      </c>
      <c r="F93">
        <v>1014</v>
      </c>
      <c r="G93">
        <v>828</v>
      </c>
      <c r="H93">
        <v>258</v>
      </c>
      <c r="I93">
        <v>363</v>
      </c>
      <c r="J93">
        <v>522</v>
      </c>
      <c r="K93">
        <v>390</v>
      </c>
      <c r="L93">
        <v>327</v>
      </c>
      <c r="M93">
        <v>621</v>
      </c>
      <c r="N93">
        <v>429</v>
      </c>
      <c r="O93">
        <v>0</v>
      </c>
      <c r="P93">
        <v>0</v>
      </c>
      <c r="Q93">
        <v>0</v>
      </c>
      <c r="R93" s="8"/>
    </row>
    <row r="94" spans="1:18" x14ac:dyDescent="0.3">
      <c r="A94" t="s">
        <v>145</v>
      </c>
      <c r="B94" t="s">
        <v>2</v>
      </c>
      <c r="C94">
        <v>1245</v>
      </c>
      <c r="D94">
        <v>525</v>
      </c>
      <c r="E94">
        <v>735</v>
      </c>
      <c r="F94">
        <v>903</v>
      </c>
      <c r="G94">
        <v>579</v>
      </c>
      <c r="H94">
        <v>738</v>
      </c>
      <c r="I94">
        <v>492</v>
      </c>
      <c r="J94">
        <v>576</v>
      </c>
      <c r="K94">
        <v>648</v>
      </c>
      <c r="L94">
        <v>579</v>
      </c>
      <c r="M94">
        <v>420</v>
      </c>
      <c r="N94">
        <v>492</v>
      </c>
      <c r="O94">
        <v>501</v>
      </c>
      <c r="P94">
        <v>642</v>
      </c>
      <c r="Q94">
        <v>1245</v>
      </c>
      <c r="R94" s="8"/>
    </row>
    <row r="95" spans="1:18" x14ac:dyDescent="0.3">
      <c r="A95" t="s">
        <v>146</v>
      </c>
      <c r="B95" t="s">
        <v>1</v>
      </c>
      <c r="C95">
        <v>1200</v>
      </c>
      <c r="D95">
        <v>516</v>
      </c>
      <c r="E95">
        <v>351</v>
      </c>
      <c r="F95">
        <v>732</v>
      </c>
      <c r="G95">
        <v>564</v>
      </c>
      <c r="H95">
        <v>252</v>
      </c>
      <c r="I95">
        <v>498</v>
      </c>
      <c r="J95">
        <v>921</v>
      </c>
      <c r="K95">
        <v>384</v>
      </c>
      <c r="L95">
        <v>123</v>
      </c>
      <c r="M95">
        <v>141</v>
      </c>
      <c r="N95">
        <v>324</v>
      </c>
      <c r="O95">
        <v>840</v>
      </c>
      <c r="P95">
        <v>108</v>
      </c>
      <c r="Q95">
        <v>0</v>
      </c>
      <c r="R95" s="8"/>
    </row>
    <row r="96" spans="1:18" x14ac:dyDescent="0.3">
      <c r="A96" t="s">
        <v>147</v>
      </c>
      <c r="B96" t="s">
        <v>2</v>
      </c>
      <c r="C96">
        <v>1470</v>
      </c>
      <c r="D96">
        <v>510</v>
      </c>
      <c r="E96">
        <v>879</v>
      </c>
      <c r="F96">
        <v>906</v>
      </c>
      <c r="G96">
        <v>576</v>
      </c>
      <c r="H96">
        <v>609</v>
      </c>
      <c r="I96">
        <v>414</v>
      </c>
      <c r="J96">
        <v>549</v>
      </c>
      <c r="K96">
        <v>561</v>
      </c>
      <c r="L96">
        <v>621</v>
      </c>
      <c r="M96">
        <v>741</v>
      </c>
      <c r="N96">
        <v>684</v>
      </c>
      <c r="O96">
        <v>528</v>
      </c>
      <c r="P96">
        <v>651</v>
      </c>
      <c r="Q96">
        <v>1437</v>
      </c>
      <c r="R96" s="8"/>
    </row>
    <row r="97" spans="1:18" x14ac:dyDescent="0.3">
      <c r="A97" t="s">
        <v>148</v>
      </c>
      <c r="B97" t="s">
        <v>2</v>
      </c>
      <c r="C97">
        <v>714</v>
      </c>
      <c r="D97">
        <v>507</v>
      </c>
      <c r="E97">
        <v>834</v>
      </c>
      <c r="F97">
        <v>804</v>
      </c>
      <c r="G97">
        <v>723</v>
      </c>
      <c r="H97">
        <v>603</v>
      </c>
      <c r="I97">
        <v>357</v>
      </c>
      <c r="J97">
        <v>459</v>
      </c>
      <c r="K97">
        <v>549</v>
      </c>
      <c r="L97">
        <v>597</v>
      </c>
      <c r="M97">
        <v>636</v>
      </c>
      <c r="N97">
        <v>519</v>
      </c>
      <c r="O97">
        <v>480</v>
      </c>
      <c r="P97">
        <v>402</v>
      </c>
      <c r="Q97">
        <v>660</v>
      </c>
      <c r="R97" s="8"/>
    </row>
    <row r="98" spans="1:18" x14ac:dyDescent="0.3">
      <c r="A98" t="s">
        <v>149</v>
      </c>
      <c r="B98" t="s">
        <v>0</v>
      </c>
      <c r="C98">
        <v>1203</v>
      </c>
      <c r="D98">
        <v>504</v>
      </c>
      <c r="E98">
        <v>558</v>
      </c>
      <c r="F98">
        <v>783</v>
      </c>
      <c r="G98">
        <v>789</v>
      </c>
      <c r="H98">
        <v>966</v>
      </c>
      <c r="I98">
        <v>807</v>
      </c>
      <c r="J98">
        <v>189</v>
      </c>
      <c r="K98">
        <v>60</v>
      </c>
      <c r="L98">
        <v>39</v>
      </c>
      <c r="M98">
        <v>0</v>
      </c>
      <c r="N98">
        <v>0</v>
      </c>
      <c r="O98">
        <v>0</v>
      </c>
      <c r="P98">
        <v>0</v>
      </c>
      <c r="Q98">
        <v>0</v>
      </c>
      <c r="R98" s="8"/>
    </row>
    <row r="99" spans="1:18" x14ac:dyDescent="0.3">
      <c r="A99" t="s">
        <v>150</v>
      </c>
      <c r="B99" t="s">
        <v>0</v>
      </c>
      <c r="C99">
        <v>1026</v>
      </c>
      <c r="D99">
        <v>501</v>
      </c>
      <c r="E99">
        <v>588</v>
      </c>
      <c r="F99">
        <v>831</v>
      </c>
      <c r="G99">
        <v>81</v>
      </c>
      <c r="H99">
        <v>48</v>
      </c>
      <c r="I99">
        <v>174</v>
      </c>
      <c r="J99">
        <v>426</v>
      </c>
      <c r="K99">
        <v>804</v>
      </c>
      <c r="L99">
        <v>279</v>
      </c>
      <c r="M99">
        <v>195</v>
      </c>
      <c r="N99">
        <v>732</v>
      </c>
      <c r="O99">
        <v>261</v>
      </c>
      <c r="P99">
        <v>0</v>
      </c>
      <c r="Q99">
        <v>0</v>
      </c>
      <c r="R99" s="8"/>
    </row>
    <row r="100" spans="1:18" x14ac:dyDescent="0.3">
      <c r="A100" t="s">
        <v>151</v>
      </c>
      <c r="B100" t="s">
        <v>0</v>
      </c>
      <c r="C100">
        <v>678</v>
      </c>
      <c r="D100">
        <v>489</v>
      </c>
      <c r="E100">
        <v>651</v>
      </c>
      <c r="F100">
        <v>678</v>
      </c>
      <c r="G100">
        <v>663</v>
      </c>
      <c r="H100">
        <v>375</v>
      </c>
      <c r="I100">
        <v>132</v>
      </c>
      <c r="J100">
        <v>153</v>
      </c>
      <c r="K100">
        <v>258</v>
      </c>
      <c r="L100">
        <v>375</v>
      </c>
      <c r="M100">
        <v>6</v>
      </c>
      <c r="N100">
        <v>15</v>
      </c>
      <c r="O100">
        <v>30</v>
      </c>
      <c r="P100">
        <v>60</v>
      </c>
      <c r="Q100">
        <v>24</v>
      </c>
      <c r="R100" s="8"/>
    </row>
    <row r="101" spans="1:18" x14ac:dyDescent="0.3">
      <c r="A101" t="s">
        <v>152</v>
      </c>
      <c r="B101" t="s">
        <v>2</v>
      </c>
      <c r="C101">
        <v>1107</v>
      </c>
      <c r="D101">
        <v>483</v>
      </c>
      <c r="E101">
        <v>759</v>
      </c>
      <c r="F101">
        <v>693</v>
      </c>
      <c r="G101">
        <v>468</v>
      </c>
      <c r="H101">
        <v>567</v>
      </c>
      <c r="I101">
        <v>432</v>
      </c>
      <c r="J101">
        <v>510</v>
      </c>
      <c r="K101">
        <v>525</v>
      </c>
      <c r="L101">
        <v>705</v>
      </c>
      <c r="M101">
        <v>543</v>
      </c>
      <c r="N101">
        <v>687</v>
      </c>
      <c r="O101">
        <v>534</v>
      </c>
      <c r="P101">
        <v>648</v>
      </c>
      <c r="Q101">
        <v>1287</v>
      </c>
      <c r="R101" s="8"/>
    </row>
    <row r="102" spans="1:18" x14ac:dyDescent="0.3">
      <c r="A102" t="s">
        <v>153</v>
      </c>
      <c r="B102" t="s">
        <v>2</v>
      </c>
      <c r="C102">
        <v>741</v>
      </c>
      <c r="D102">
        <v>477</v>
      </c>
      <c r="E102">
        <v>798</v>
      </c>
      <c r="F102">
        <v>792</v>
      </c>
      <c r="G102">
        <v>651</v>
      </c>
      <c r="H102">
        <v>597</v>
      </c>
      <c r="I102">
        <v>363</v>
      </c>
      <c r="J102">
        <v>447</v>
      </c>
      <c r="K102">
        <v>567</v>
      </c>
      <c r="L102">
        <v>684</v>
      </c>
      <c r="M102">
        <v>630</v>
      </c>
      <c r="N102">
        <v>648</v>
      </c>
      <c r="O102">
        <v>756</v>
      </c>
      <c r="P102">
        <v>882</v>
      </c>
      <c r="Q102">
        <v>1533</v>
      </c>
      <c r="R102" s="8"/>
    </row>
    <row r="103" spans="1:18" x14ac:dyDescent="0.3">
      <c r="A103" t="s">
        <v>154</v>
      </c>
      <c r="B103" t="s">
        <v>1</v>
      </c>
      <c r="C103">
        <v>1293</v>
      </c>
      <c r="D103">
        <v>471</v>
      </c>
      <c r="E103">
        <v>534</v>
      </c>
      <c r="F103">
        <v>687</v>
      </c>
      <c r="G103">
        <v>477</v>
      </c>
      <c r="H103">
        <v>267</v>
      </c>
      <c r="I103">
        <v>426</v>
      </c>
      <c r="J103">
        <v>1029</v>
      </c>
      <c r="K103">
        <v>273</v>
      </c>
      <c r="L103">
        <v>147</v>
      </c>
      <c r="M103">
        <v>201</v>
      </c>
      <c r="N103">
        <v>426</v>
      </c>
      <c r="O103">
        <v>564</v>
      </c>
      <c r="P103">
        <v>75</v>
      </c>
      <c r="Q103">
        <v>0</v>
      </c>
      <c r="R103" s="8"/>
    </row>
    <row r="104" spans="1:18" x14ac:dyDescent="0.3">
      <c r="A104" t="s">
        <v>155</v>
      </c>
      <c r="B104" t="s">
        <v>4</v>
      </c>
      <c r="C104">
        <v>1299</v>
      </c>
      <c r="D104">
        <v>471</v>
      </c>
      <c r="E104">
        <v>858</v>
      </c>
      <c r="F104">
        <v>939</v>
      </c>
      <c r="G104">
        <v>603</v>
      </c>
      <c r="H104">
        <v>795</v>
      </c>
      <c r="I104">
        <v>558</v>
      </c>
      <c r="J104">
        <v>522</v>
      </c>
      <c r="K104">
        <v>960</v>
      </c>
      <c r="L104">
        <v>702</v>
      </c>
      <c r="M104">
        <v>627</v>
      </c>
      <c r="N104">
        <v>642</v>
      </c>
      <c r="O104">
        <v>339</v>
      </c>
      <c r="P104">
        <v>339</v>
      </c>
      <c r="Q104">
        <v>93</v>
      </c>
      <c r="R104" s="8"/>
    </row>
    <row r="105" spans="1:18" x14ac:dyDescent="0.3">
      <c r="A105" t="s">
        <v>156</v>
      </c>
      <c r="B105" t="s">
        <v>1</v>
      </c>
      <c r="C105">
        <v>540</v>
      </c>
      <c r="D105">
        <v>468</v>
      </c>
      <c r="E105">
        <v>660</v>
      </c>
      <c r="F105">
        <v>768</v>
      </c>
      <c r="G105">
        <v>804</v>
      </c>
      <c r="H105">
        <v>618</v>
      </c>
      <c r="I105">
        <v>465</v>
      </c>
      <c r="J105">
        <v>432</v>
      </c>
      <c r="K105">
        <v>357</v>
      </c>
      <c r="L105">
        <v>285</v>
      </c>
      <c r="M105">
        <v>204</v>
      </c>
      <c r="N105">
        <v>273</v>
      </c>
      <c r="O105">
        <v>159</v>
      </c>
      <c r="P105">
        <v>138</v>
      </c>
      <c r="Q105">
        <v>114</v>
      </c>
      <c r="R105" s="8"/>
    </row>
    <row r="106" spans="1:18" x14ac:dyDescent="0.3">
      <c r="A106" t="s">
        <v>157</v>
      </c>
      <c r="B106" t="s">
        <v>0</v>
      </c>
      <c r="C106">
        <v>438</v>
      </c>
      <c r="D106">
        <v>465</v>
      </c>
      <c r="E106">
        <v>501</v>
      </c>
      <c r="F106">
        <v>462</v>
      </c>
      <c r="G106">
        <v>636</v>
      </c>
      <c r="H106">
        <v>216</v>
      </c>
      <c r="I106">
        <v>309</v>
      </c>
      <c r="J106">
        <v>63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8"/>
    </row>
    <row r="107" spans="1:18" x14ac:dyDescent="0.3">
      <c r="A107" t="s">
        <v>158</v>
      </c>
      <c r="B107" t="s">
        <v>0</v>
      </c>
      <c r="C107">
        <v>120</v>
      </c>
      <c r="D107">
        <v>459</v>
      </c>
      <c r="E107">
        <v>678</v>
      </c>
      <c r="F107">
        <v>594</v>
      </c>
      <c r="G107">
        <v>492</v>
      </c>
      <c r="H107">
        <v>342</v>
      </c>
      <c r="I107">
        <v>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8"/>
    </row>
    <row r="108" spans="1:18" x14ac:dyDescent="0.3">
      <c r="A108" t="s">
        <v>159</v>
      </c>
      <c r="B108" t="s">
        <v>0</v>
      </c>
      <c r="C108">
        <v>1017</v>
      </c>
      <c r="D108">
        <v>456</v>
      </c>
      <c r="E108">
        <v>570</v>
      </c>
      <c r="F108">
        <v>1284</v>
      </c>
      <c r="G108">
        <v>708</v>
      </c>
      <c r="H108">
        <v>579</v>
      </c>
      <c r="I108">
        <v>456</v>
      </c>
      <c r="J108">
        <v>441</v>
      </c>
      <c r="K108">
        <v>72</v>
      </c>
      <c r="L108">
        <v>27</v>
      </c>
      <c r="M108">
        <v>0</v>
      </c>
      <c r="N108">
        <v>0</v>
      </c>
      <c r="O108">
        <v>0</v>
      </c>
      <c r="P108">
        <v>0</v>
      </c>
      <c r="Q108">
        <v>0</v>
      </c>
      <c r="R108" s="8"/>
    </row>
    <row r="109" spans="1:18" x14ac:dyDescent="0.3">
      <c r="A109" t="s">
        <v>160</v>
      </c>
      <c r="B109" t="s">
        <v>0</v>
      </c>
      <c r="C109">
        <v>375</v>
      </c>
      <c r="D109">
        <v>456</v>
      </c>
      <c r="E109">
        <v>381</v>
      </c>
      <c r="F109">
        <v>165</v>
      </c>
      <c r="G109">
        <v>231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8"/>
    </row>
    <row r="110" spans="1:18" x14ac:dyDescent="0.3">
      <c r="A110" t="s">
        <v>161</v>
      </c>
      <c r="B110" t="s">
        <v>0</v>
      </c>
      <c r="C110">
        <v>660</v>
      </c>
      <c r="D110">
        <v>453</v>
      </c>
      <c r="E110">
        <v>852</v>
      </c>
      <c r="F110">
        <v>594</v>
      </c>
      <c r="G110">
        <v>597</v>
      </c>
      <c r="H110">
        <v>369</v>
      </c>
      <c r="I110">
        <v>192</v>
      </c>
      <c r="J110">
        <v>126</v>
      </c>
      <c r="K110">
        <v>252</v>
      </c>
      <c r="L110">
        <v>312</v>
      </c>
      <c r="M110">
        <v>15</v>
      </c>
      <c r="N110">
        <v>15</v>
      </c>
      <c r="O110">
        <v>33</v>
      </c>
      <c r="P110">
        <v>42</v>
      </c>
      <c r="Q110">
        <v>42</v>
      </c>
      <c r="R110" s="8"/>
    </row>
    <row r="111" spans="1:18" x14ac:dyDescent="0.3">
      <c r="A111" t="s">
        <v>162</v>
      </c>
      <c r="B111" t="s">
        <v>4</v>
      </c>
      <c r="C111">
        <v>1047</v>
      </c>
      <c r="D111">
        <v>429</v>
      </c>
      <c r="E111">
        <v>807</v>
      </c>
      <c r="F111">
        <v>696</v>
      </c>
      <c r="G111">
        <v>468</v>
      </c>
      <c r="H111">
        <v>513</v>
      </c>
      <c r="I111">
        <v>342</v>
      </c>
      <c r="J111">
        <v>567</v>
      </c>
      <c r="K111">
        <v>627</v>
      </c>
      <c r="L111">
        <v>615</v>
      </c>
      <c r="M111">
        <v>723</v>
      </c>
      <c r="N111">
        <v>741</v>
      </c>
      <c r="O111">
        <v>678</v>
      </c>
      <c r="P111">
        <v>735</v>
      </c>
      <c r="Q111">
        <v>1062</v>
      </c>
      <c r="R111" s="8"/>
    </row>
    <row r="112" spans="1:18" x14ac:dyDescent="0.3">
      <c r="A112" t="s">
        <v>163</v>
      </c>
      <c r="B112" t="s">
        <v>0</v>
      </c>
      <c r="C112">
        <v>117</v>
      </c>
      <c r="D112">
        <v>417</v>
      </c>
      <c r="E112">
        <v>138</v>
      </c>
      <c r="F112">
        <v>93</v>
      </c>
      <c r="G112">
        <v>81</v>
      </c>
      <c r="H112">
        <v>123</v>
      </c>
      <c r="I112">
        <v>84</v>
      </c>
      <c r="J112">
        <v>165</v>
      </c>
      <c r="K112">
        <v>132</v>
      </c>
      <c r="L112">
        <v>207</v>
      </c>
      <c r="M112">
        <v>72</v>
      </c>
      <c r="N112">
        <v>207</v>
      </c>
      <c r="O112">
        <v>549</v>
      </c>
      <c r="P112">
        <v>120</v>
      </c>
      <c r="Q112">
        <v>3</v>
      </c>
      <c r="R112" s="8"/>
    </row>
    <row r="113" spans="1:18" x14ac:dyDescent="0.3">
      <c r="A113" t="s">
        <v>164</v>
      </c>
      <c r="B113" t="s">
        <v>4</v>
      </c>
      <c r="C113">
        <v>1209</v>
      </c>
      <c r="D113">
        <v>411</v>
      </c>
      <c r="E113">
        <v>459</v>
      </c>
      <c r="F113">
        <v>621</v>
      </c>
      <c r="G113">
        <v>426</v>
      </c>
      <c r="H113">
        <v>495</v>
      </c>
      <c r="I113">
        <v>438</v>
      </c>
      <c r="J113">
        <v>624</v>
      </c>
      <c r="K113">
        <v>363</v>
      </c>
      <c r="L113">
        <v>930</v>
      </c>
      <c r="M113">
        <v>468</v>
      </c>
      <c r="N113">
        <v>96</v>
      </c>
      <c r="O113">
        <v>63</v>
      </c>
      <c r="P113">
        <v>0</v>
      </c>
      <c r="Q113">
        <v>0</v>
      </c>
      <c r="R113" s="8"/>
    </row>
    <row r="114" spans="1:18" x14ac:dyDescent="0.3">
      <c r="A114" t="s">
        <v>165</v>
      </c>
      <c r="B114" t="s">
        <v>1</v>
      </c>
      <c r="C114">
        <v>498</v>
      </c>
      <c r="D114">
        <v>408</v>
      </c>
      <c r="E114">
        <v>678</v>
      </c>
      <c r="F114">
        <v>606</v>
      </c>
      <c r="G114">
        <v>483</v>
      </c>
      <c r="H114">
        <v>555</v>
      </c>
      <c r="I114">
        <v>801</v>
      </c>
      <c r="J114">
        <v>1014</v>
      </c>
      <c r="K114">
        <v>633</v>
      </c>
      <c r="L114">
        <v>780</v>
      </c>
      <c r="M114">
        <v>561</v>
      </c>
      <c r="N114">
        <v>582</v>
      </c>
      <c r="O114">
        <v>630</v>
      </c>
      <c r="P114">
        <v>867</v>
      </c>
      <c r="Q114">
        <v>1632</v>
      </c>
      <c r="R114" s="8"/>
    </row>
    <row r="115" spans="1:18" x14ac:dyDescent="0.3">
      <c r="A115" t="s">
        <v>166</v>
      </c>
      <c r="B115" t="s">
        <v>0</v>
      </c>
      <c r="C115">
        <v>951</v>
      </c>
      <c r="D115">
        <v>405</v>
      </c>
      <c r="E115">
        <v>531</v>
      </c>
      <c r="F115">
        <v>495</v>
      </c>
      <c r="G115">
        <v>564</v>
      </c>
      <c r="H115">
        <v>624</v>
      </c>
      <c r="I115">
        <v>639</v>
      </c>
      <c r="J115">
        <v>342</v>
      </c>
      <c r="K115">
        <v>216</v>
      </c>
      <c r="L115">
        <v>75</v>
      </c>
      <c r="M115">
        <v>108</v>
      </c>
      <c r="N115">
        <v>0</v>
      </c>
      <c r="O115">
        <v>0</v>
      </c>
      <c r="P115">
        <v>0</v>
      </c>
      <c r="Q115">
        <v>0</v>
      </c>
      <c r="R115" s="8"/>
    </row>
    <row r="116" spans="1:18" x14ac:dyDescent="0.3">
      <c r="A116" t="s">
        <v>167</v>
      </c>
      <c r="B116" t="s">
        <v>0</v>
      </c>
      <c r="C116">
        <v>537</v>
      </c>
      <c r="D116">
        <v>405</v>
      </c>
      <c r="E116">
        <v>465</v>
      </c>
      <c r="F116">
        <v>489</v>
      </c>
      <c r="G116">
        <v>336</v>
      </c>
      <c r="H116">
        <v>273</v>
      </c>
      <c r="I116">
        <v>60</v>
      </c>
      <c r="J116">
        <v>69</v>
      </c>
      <c r="K116">
        <v>60</v>
      </c>
      <c r="L116">
        <v>27</v>
      </c>
      <c r="M116">
        <v>0</v>
      </c>
      <c r="N116">
        <v>0</v>
      </c>
      <c r="O116">
        <v>0</v>
      </c>
      <c r="P116">
        <v>0</v>
      </c>
      <c r="Q116">
        <v>0</v>
      </c>
      <c r="R116" s="8"/>
    </row>
    <row r="117" spans="1:18" x14ac:dyDescent="0.3">
      <c r="A117" t="s">
        <v>168</v>
      </c>
      <c r="B117" t="s">
        <v>0</v>
      </c>
      <c r="C117">
        <v>1119</v>
      </c>
      <c r="D117">
        <v>399</v>
      </c>
      <c r="E117">
        <v>588</v>
      </c>
      <c r="F117">
        <v>630</v>
      </c>
      <c r="G117">
        <v>36</v>
      </c>
      <c r="H117">
        <v>18</v>
      </c>
      <c r="I117">
        <v>84</v>
      </c>
      <c r="J117">
        <v>363</v>
      </c>
      <c r="K117">
        <v>789</v>
      </c>
      <c r="L117">
        <v>231</v>
      </c>
      <c r="M117">
        <v>153</v>
      </c>
      <c r="N117">
        <v>714</v>
      </c>
      <c r="O117">
        <v>321</v>
      </c>
      <c r="P117">
        <v>0</v>
      </c>
      <c r="Q117">
        <v>0</v>
      </c>
      <c r="R117" s="8"/>
    </row>
    <row r="118" spans="1:18" x14ac:dyDescent="0.3">
      <c r="A118" t="s">
        <v>169</v>
      </c>
      <c r="B118" t="s">
        <v>4</v>
      </c>
      <c r="C118">
        <v>486</v>
      </c>
      <c r="D118">
        <v>393</v>
      </c>
      <c r="E118">
        <v>606</v>
      </c>
      <c r="F118">
        <v>717</v>
      </c>
      <c r="G118">
        <v>444</v>
      </c>
      <c r="H118">
        <v>402</v>
      </c>
      <c r="I118">
        <v>381</v>
      </c>
      <c r="J118">
        <v>252</v>
      </c>
      <c r="K118">
        <v>417</v>
      </c>
      <c r="L118">
        <v>540</v>
      </c>
      <c r="M118">
        <v>228</v>
      </c>
      <c r="N118">
        <v>243</v>
      </c>
      <c r="O118">
        <v>177</v>
      </c>
      <c r="P118">
        <v>231</v>
      </c>
      <c r="Q118">
        <v>129</v>
      </c>
      <c r="R118" s="8"/>
    </row>
    <row r="119" spans="1:18" x14ac:dyDescent="0.3">
      <c r="A119" t="s">
        <v>170</v>
      </c>
      <c r="B119" t="s">
        <v>2</v>
      </c>
      <c r="C119">
        <v>816</v>
      </c>
      <c r="D119">
        <v>378</v>
      </c>
      <c r="E119">
        <v>879</v>
      </c>
      <c r="F119">
        <v>1086</v>
      </c>
      <c r="G119">
        <v>1047</v>
      </c>
      <c r="H119">
        <v>393</v>
      </c>
      <c r="I119">
        <v>306</v>
      </c>
      <c r="J119">
        <v>180</v>
      </c>
      <c r="K119">
        <v>15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8"/>
    </row>
    <row r="120" spans="1:18" x14ac:dyDescent="0.3">
      <c r="A120" t="s">
        <v>171</v>
      </c>
      <c r="B120" t="s">
        <v>0</v>
      </c>
      <c r="C120">
        <v>366</v>
      </c>
      <c r="D120">
        <v>378</v>
      </c>
      <c r="E120">
        <v>360</v>
      </c>
      <c r="F120">
        <v>468</v>
      </c>
      <c r="G120">
        <v>300</v>
      </c>
      <c r="H120">
        <v>162</v>
      </c>
      <c r="I120">
        <v>324</v>
      </c>
      <c r="J120">
        <v>24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8"/>
    </row>
    <row r="121" spans="1:18" x14ac:dyDescent="0.3">
      <c r="A121" t="s">
        <v>172</v>
      </c>
      <c r="B121" t="s">
        <v>0</v>
      </c>
      <c r="C121">
        <v>315</v>
      </c>
      <c r="D121">
        <v>375</v>
      </c>
      <c r="E121">
        <v>81</v>
      </c>
      <c r="F121">
        <v>90</v>
      </c>
      <c r="G121">
        <v>249</v>
      </c>
      <c r="H121">
        <v>96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8"/>
    </row>
    <row r="122" spans="1:18" x14ac:dyDescent="0.3">
      <c r="A122" t="s">
        <v>173</v>
      </c>
      <c r="B122" t="s">
        <v>0</v>
      </c>
      <c r="C122">
        <v>720</v>
      </c>
      <c r="D122">
        <v>366</v>
      </c>
      <c r="E122">
        <v>372</v>
      </c>
      <c r="F122">
        <v>354</v>
      </c>
      <c r="G122">
        <v>420</v>
      </c>
      <c r="H122">
        <v>312</v>
      </c>
      <c r="I122">
        <v>300</v>
      </c>
      <c r="J122">
        <v>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8"/>
    </row>
    <row r="123" spans="1:18" x14ac:dyDescent="0.3">
      <c r="A123" t="s">
        <v>174</v>
      </c>
      <c r="B123" t="s">
        <v>2</v>
      </c>
      <c r="C123">
        <v>1176</v>
      </c>
      <c r="D123">
        <v>363</v>
      </c>
      <c r="E123">
        <v>588</v>
      </c>
      <c r="F123">
        <v>537</v>
      </c>
      <c r="G123">
        <v>411</v>
      </c>
      <c r="H123">
        <v>504</v>
      </c>
      <c r="I123">
        <v>474</v>
      </c>
      <c r="J123">
        <v>351</v>
      </c>
      <c r="K123">
        <v>429</v>
      </c>
      <c r="L123">
        <v>411</v>
      </c>
      <c r="M123">
        <v>135</v>
      </c>
      <c r="N123">
        <v>9</v>
      </c>
      <c r="O123">
        <v>0</v>
      </c>
      <c r="P123">
        <v>0</v>
      </c>
      <c r="Q123">
        <v>0</v>
      </c>
      <c r="R123" s="8"/>
    </row>
    <row r="124" spans="1:18" x14ac:dyDescent="0.3">
      <c r="A124" t="s">
        <v>175</v>
      </c>
      <c r="B124" t="s">
        <v>1</v>
      </c>
      <c r="C124">
        <v>414</v>
      </c>
      <c r="D124">
        <v>360</v>
      </c>
      <c r="E124">
        <v>435</v>
      </c>
      <c r="F124">
        <v>417</v>
      </c>
      <c r="G124">
        <v>366</v>
      </c>
      <c r="H124">
        <v>294</v>
      </c>
      <c r="I124">
        <v>135</v>
      </c>
      <c r="J124">
        <v>150</v>
      </c>
      <c r="K124">
        <v>78</v>
      </c>
      <c r="L124">
        <v>276</v>
      </c>
      <c r="M124">
        <v>288</v>
      </c>
      <c r="N124">
        <v>453</v>
      </c>
      <c r="O124">
        <v>333</v>
      </c>
      <c r="P124">
        <v>192</v>
      </c>
      <c r="Q124">
        <v>303</v>
      </c>
      <c r="R124" s="8"/>
    </row>
    <row r="125" spans="1:18" x14ac:dyDescent="0.3">
      <c r="A125" t="s">
        <v>176</v>
      </c>
      <c r="B125" t="s">
        <v>1</v>
      </c>
      <c r="C125">
        <v>3894</v>
      </c>
      <c r="D125">
        <v>354</v>
      </c>
      <c r="E125">
        <v>498</v>
      </c>
      <c r="F125">
        <v>615</v>
      </c>
      <c r="G125">
        <v>408</v>
      </c>
      <c r="H125">
        <v>1008</v>
      </c>
      <c r="I125">
        <v>735</v>
      </c>
      <c r="J125">
        <v>879</v>
      </c>
      <c r="K125">
        <v>819</v>
      </c>
      <c r="L125">
        <v>810</v>
      </c>
      <c r="M125">
        <v>534</v>
      </c>
      <c r="N125">
        <v>396</v>
      </c>
      <c r="O125">
        <v>288</v>
      </c>
      <c r="P125">
        <v>165</v>
      </c>
      <c r="Q125">
        <v>27</v>
      </c>
      <c r="R125" s="8"/>
    </row>
    <row r="126" spans="1:18" x14ac:dyDescent="0.3">
      <c r="A126" t="s">
        <v>177</v>
      </c>
      <c r="B126" t="s">
        <v>1</v>
      </c>
      <c r="C126">
        <v>1956</v>
      </c>
      <c r="D126">
        <v>342</v>
      </c>
      <c r="E126">
        <v>285</v>
      </c>
      <c r="F126">
        <v>306</v>
      </c>
      <c r="G126">
        <v>222</v>
      </c>
      <c r="H126">
        <v>231</v>
      </c>
      <c r="I126">
        <v>108</v>
      </c>
      <c r="J126">
        <v>234</v>
      </c>
      <c r="K126">
        <v>567</v>
      </c>
      <c r="L126">
        <v>987</v>
      </c>
      <c r="M126">
        <v>741</v>
      </c>
      <c r="N126">
        <v>798</v>
      </c>
      <c r="O126">
        <v>630</v>
      </c>
      <c r="P126">
        <v>438</v>
      </c>
      <c r="Q126">
        <v>315</v>
      </c>
      <c r="R126" s="8"/>
    </row>
    <row r="127" spans="1:18" x14ac:dyDescent="0.3">
      <c r="A127" t="s">
        <v>178</v>
      </c>
      <c r="B127" t="s">
        <v>0</v>
      </c>
      <c r="C127">
        <v>588</v>
      </c>
      <c r="D127">
        <v>339</v>
      </c>
      <c r="E127">
        <v>705</v>
      </c>
      <c r="F127">
        <v>501</v>
      </c>
      <c r="G127">
        <v>342</v>
      </c>
      <c r="H127">
        <v>510</v>
      </c>
      <c r="I127">
        <v>531</v>
      </c>
      <c r="J127">
        <v>81</v>
      </c>
      <c r="K127">
        <v>222</v>
      </c>
      <c r="L127">
        <v>477</v>
      </c>
      <c r="M127">
        <v>174</v>
      </c>
      <c r="N127">
        <v>267</v>
      </c>
      <c r="O127">
        <v>150</v>
      </c>
      <c r="P127">
        <v>54</v>
      </c>
      <c r="Q127">
        <v>156</v>
      </c>
      <c r="R127" s="8"/>
    </row>
    <row r="128" spans="1:18" x14ac:dyDescent="0.3">
      <c r="A128" t="s">
        <v>179</v>
      </c>
      <c r="B128" t="s">
        <v>0</v>
      </c>
      <c r="C128">
        <v>309</v>
      </c>
      <c r="D128">
        <v>339</v>
      </c>
      <c r="E128">
        <v>396</v>
      </c>
      <c r="F128">
        <v>255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8"/>
    </row>
    <row r="129" spans="1:18" x14ac:dyDescent="0.3">
      <c r="A129" t="s">
        <v>180</v>
      </c>
      <c r="B129" t="s">
        <v>0</v>
      </c>
      <c r="C129">
        <v>27</v>
      </c>
      <c r="D129">
        <v>333</v>
      </c>
      <c r="E129">
        <v>579</v>
      </c>
      <c r="F129">
        <v>243</v>
      </c>
      <c r="G129">
        <v>87</v>
      </c>
      <c r="H129">
        <v>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8"/>
    </row>
    <row r="130" spans="1:18" x14ac:dyDescent="0.3">
      <c r="A130" t="s">
        <v>181</v>
      </c>
      <c r="B130" t="s">
        <v>2</v>
      </c>
      <c r="C130">
        <v>843</v>
      </c>
      <c r="D130">
        <v>330</v>
      </c>
      <c r="E130">
        <v>780</v>
      </c>
      <c r="F130">
        <v>564</v>
      </c>
      <c r="G130">
        <v>534</v>
      </c>
      <c r="H130">
        <v>498</v>
      </c>
      <c r="I130">
        <v>537</v>
      </c>
      <c r="J130">
        <v>441</v>
      </c>
      <c r="K130">
        <v>528</v>
      </c>
      <c r="L130">
        <v>672</v>
      </c>
      <c r="M130">
        <v>735</v>
      </c>
      <c r="N130">
        <v>696</v>
      </c>
      <c r="O130">
        <v>483</v>
      </c>
      <c r="P130">
        <v>597</v>
      </c>
      <c r="Q130">
        <v>1035</v>
      </c>
      <c r="R130" s="8"/>
    </row>
    <row r="131" spans="1:18" x14ac:dyDescent="0.3">
      <c r="A131" t="s">
        <v>182</v>
      </c>
      <c r="B131" t="s">
        <v>3</v>
      </c>
      <c r="C131">
        <v>39</v>
      </c>
      <c r="D131">
        <v>327</v>
      </c>
      <c r="E131">
        <v>264</v>
      </c>
      <c r="F131">
        <v>147</v>
      </c>
      <c r="G131">
        <v>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8"/>
    </row>
    <row r="132" spans="1:18" x14ac:dyDescent="0.3">
      <c r="A132" t="s">
        <v>183</v>
      </c>
      <c r="B132" t="s">
        <v>4</v>
      </c>
      <c r="C132">
        <v>630</v>
      </c>
      <c r="D132">
        <v>324</v>
      </c>
      <c r="E132">
        <v>612</v>
      </c>
      <c r="F132">
        <v>528</v>
      </c>
      <c r="G132">
        <v>267</v>
      </c>
      <c r="H132">
        <v>285</v>
      </c>
      <c r="I132">
        <v>213</v>
      </c>
      <c r="J132">
        <v>300</v>
      </c>
      <c r="K132">
        <v>324</v>
      </c>
      <c r="L132">
        <v>453</v>
      </c>
      <c r="M132">
        <v>414</v>
      </c>
      <c r="N132">
        <v>435</v>
      </c>
      <c r="O132">
        <v>303</v>
      </c>
      <c r="P132">
        <v>390</v>
      </c>
      <c r="Q132">
        <v>786</v>
      </c>
      <c r="R132" s="8"/>
    </row>
    <row r="133" spans="1:18" x14ac:dyDescent="0.3">
      <c r="A133" t="s">
        <v>184</v>
      </c>
      <c r="B133" t="s">
        <v>0</v>
      </c>
      <c r="C133">
        <v>948</v>
      </c>
      <c r="D133">
        <v>321</v>
      </c>
      <c r="E133">
        <v>198</v>
      </c>
      <c r="F133">
        <v>492</v>
      </c>
      <c r="G133">
        <v>333</v>
      </c>
      <c r="H133">
        <v>114</v>
      </c>
      <c r="I133">
        <v>135</v>
      </c>
      <c r="J133">
        <v>288</v>
      </c>
      <c r="K133">
        <v>231</v>
      </c>
      <c r="L133">
        <v>51</v>
      </c>
      <c r="M133">
        <v>183</v>
      </c>
      <c r="N133">
        <v>0</v>
      </c>
      <c r="O133">
        <v>0</v>
      </c>
      <c r="P133">
        <v>0</v>
      </c>
      <c r="Q133">
        <v>0</v>
      </c>
      <c r="R133" s="8"/>
    </row>
    <row r="134" spans="1:18" x14ac:dyDescent="0.3">
      <c r="A134" t="s">
        <v>185</v>
      </c>
      <c r="B134" t="s">
        <v>4</v>
      </c>
      <c r="C134">
        <v>1158</v>
      </c>
      <c r="D134">
        <v>315</v>
      </c>
      <c r="E134">
        <v>390</v>
      </c>
      <c r="F134">
        <v>504</v>
      </c>
      <c r="G134">
        <v>468</v>
      </c>
      <c r="H134">
        <v>513</v>
      </c>
      <c r="I134">
        <v>450</v>
      </c>
      <c r="J134">
        <v>540</v>
      </c>
      <c r="K134">
        <v>606</v>
      </c>
      <c r="L134">
        <v>684</v>
      </c>
      <c r="M134">
        <v>342</v>
      </c>
      <c r="N134">
        <v>138</v>
      </c>
      <c r="O134">
        <v>57</v>
      </c>
      <c r="P134">
        <v>0</v>
      </c>
      <c r="Q134">
        <v>0</v>
      </c>
      <c r="R134" s="8"/>
    </row>
    <row r="135" spans="1:18" x14ac:dyDescent="0.3">
      <c r="A135" t="s">
        <v>186</v>
      </c>
      <c r="B135" t="s">
        <v>0</v>
      </c>
      <c r="C135">
        <v>207</v>
      </c>
      <c r="D135">
        <v>312</v>
      </c>
      <c r="E135">
        <v>144</v>
      </c>
      <c r="F135">
        <v>36</v>
      </c>
      <c r="G135">
        <v>111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8"/>
    </row>
    <row r="136" spans="1:18" x14ac:dyDescent="0.3">
      <c r="A136" t="s">
        <v>187</v>
      </c>
      <c r="B136" t="s">
        <v>4</v>
      </c>
      <c r="C136">
        <v>459</v>
      </c>
      <c r="D136">
        <v>312</v>
      </c>
      <c r="E136">
        <v>423</v>
      </c>
      <c r="F136">
        <v>414</v>
      </c>
      <c r="G136">
        <v>207</v>
      </c>
      <c r="H136">
        <v>282</v>
      </c>
      <c r="I136">
        <v>225</v>
      </c>
      <c r="J136">
        <v>195</v>
      </c>
      <c r="K136">
        <v>282</v>
      </c>
      <c r="L136">
        <v>252</v>
      </c>
      <c r="M136">
        <v>315</v>
      </c>
      <c r="N136">
        <v>294</v>
      </c>
      <c r="O136">
        <v>180</v>
      </c>
      <c r="P136">
        <v>207</v>
      </c>
      <c r="Q136">
        <v>348</v>
      </c>
      <c r="R136" s="8"/>
    </row>
    <row r="137" spans="1:18" x14ac:dyDescent="0.3">
      <c r="A137" t="s">
        <v>188</v>
      </c>
      <c r="B137" t="s">
        <v>0</v>
      </c>
      <c r="C137">
        <v>159</v>
      </c>
      <c r="D137">
        <v>297</v>
      </c>
      <c r="E137">
        <v>225</v>
      </c>
      <c r="F137">
        <v>237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8"/>
    </row>
    <row r="138" spans="1:18" x14ac:dyDescent="0.3">
      <c r="A138" t="s">
        <v>189</v>
      </c>
      <c r="B138" t="s">
        <v>0</v>
      </c>
      <c r="C138">
        <v>207</v>
      </c>
      <c r="D138">
        <v>297</v>
      </c>
      <c r="E138">
        <v>168</v>
      </c>
      <c r="F138">
        <v>288</v>
      </c>
      <c r="G138">
        <v>126</v>
      </c>
      <c r="H138">
        <v>105</v>
      </c>
      <c r="I138">
        <v>63</v>
      </c>
      <c r="J138">
        <v>123</v>
      </c>
      <c r="K138">
        <v>96</v>
      </c>
      <c r="L138">
        <v>141</v>
      </c>
      <c r="M138">
        <v>150</v>
      </c>
      <c r="N138">
        <v>249</v>
      </c>
      <c r="O138">
        <v>111</v>
      </c>
      <c r="P138">
        <v>60</v>
      </c>
      <c r="Q138">
        <v>99</v>
      </c>
      <c r="R138" s="8"/>
    </row>
    <row r="139" spans="1:18" x14ac:dyDescent="0.3">
      <c r="A139" t="s">
        <v>190</v>
      </c>
      <c r="B139" t="s">
        <v>0</v>
      </c>
      <c r="C139">
        <v>129</v>
      </c>
      <c r="D139">
        <v>297</v>
      </c>
      <c r="E139">
        <v>144</v>
      </c>
      <c r="F139">
        <v>81</v>
      </c>
      <c r="G139">
        <v>108</v>
      </c>
      <c r="H139">
        <v>54</v>
      </c>
      <c r="I139">
        <v>45</v>
      </c>
      <c r="J139">
        <v>75</v>
      </c>
      <c r="K139">
        <v>69</v>
      </c>
      <c r="L139">
        <v>102</v>
      </c>
      <c r="M139">
        <v>99</v>
      </c>
      <c r="N139">
        <v>153</v>
      </c>
      <c r="O139">
        <v>48</v>
      </c>
      <c r="P139">
        <v>96</v>
      </c>
      <c r="Q139">
        <v>117</v>
      </c>
      <c r="R139" s="8"/>
    </row>
    <row r="140" spans="1:18" x14ac:dyDescent="0.3">
      <c r="A140" t="s">
        <v>191</v>
      </c>
      <c r="B140" t="s">
        <v>0</v>
      </c>
      <c r="C140">
        <v>237</v>
      </c>
      <c r="D140">
        <v>294</v>
      </c>
      <c r="E140">
        <v>363</v>
      </c>
      <c r="F140">
        <v>399</v>
      </c>
      <c r="G140">
        <v>171</v>
      </c>
      <c r="H140">
        <v>201</v>
      </c>
      <c r="I140">
        <v>108</v>
      </c>
      <c r="J140">
        <v>60</v>
      </c>
      <c r="K140">
        <v>69</v>
      </c>
      <c r="L140">
        <v>30</v>
      </c>
      <c r="M140">
        <v>0</v>
      </c>
      <c r="N140">
        <v>0</v>
      </c>
      <c r="O140">
        <v>0</v>
      </c>
      <c r="P140">
        <v>0</v>
      </c>
      <c r="Q140">
        <v>0</v>
      </c>
      <c r="R140" s="8"/>
    </row>
    <row r="141" spans="1:18" x14ac:dyDescent="0.3">
      <c r="A141" t="s">
        <v>192</v>
      </c>
      <c r="B141" t="s">
        <v>0</v>
      </c>
      <c r="C141">
        <v>261</v>
      </c>
      <c r="D141">
        <v>294</v>
      </c>
      <c r="E141">
        <v>183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8"/>
    </row>
    <row r="142" spans="1:18" x14ac:dyDescent="0.3">
      <c r="A142" t="s">
        <v>193</v>
      </c>
      <c r="B142" t="s">
        <v>1</v>
      </c>
      <c r="C142">
        <v>396</v>
      </c>
      <c r="D142">
        <v>285</v>
      </c>
      <c r="E142">
        <v>297</v>
      </c>
      <c r="F142">
        <v>435</v>
      </c>
      <c r="G142">
        <v>216</v>
      </c>
      <c r="H142">
        <v>231</v>
      </c>
      <c r="I142">
        <v>108</v>
      </c>
      <c r="J142">
        <v>213</v>
      </c>
      <c r="K142">
        <v>321</v>
      </c>
      <c r="L142">
        <v>240</v>
      </c>
      <c r="M142">
        <v>201</v>
      </c>
      <c r="N142">
        <v>234</v>
      </c>
      <c r="O142">
        <v>54</v>
      </c>
      <c r="P142">
        <v>117</v>
      </c>
      <c r="Q142">
        <v>60</v>
      </c>
      <c r="R142" s="8"/>
    </row>
    <row r="143" spans="1:18" x14ac:dyDescent="0.3">
      <c r="A143" t="s">
        <v>194</v>
      </c>
      <c r="B143" t="s">
        <v>1</v>
      </c>
      <c r="C143">
        <v>1230</v>
      </c>
      <c r="D143">
        <v>282</v>
      </c>
      <c r="E143">
        <v>234</v>
      </c>
      <c r="F143">
        <v>180</v>
      </c>
      <c r="G143">
        <v>177</v>
      </c>
      <c r="H143">
        <v>210</v>
      </c>
      <c r="I143">
        <v>48</v>
      </c>
      <c r="J143">
        <v>99</v>
      </c>
      <c r="K143">
        <v>324</v>
      </c>
      <c r="L143">
        <v>540</v>
      </c>
      <c r="M143">
        <v>456</v>
      </c>
      <c r="N143">
        <v>669</v>
      </c>
      <c r="O143">
        <v>453</v>
      </c>
      <c r="P143">
        <v>246</v>
      </c>
      <c r="Q143">
        <v>228</v>
      </c>
      <c r="R143" s="8"/>
    </row>
    <row r="144" spans="1:18" x14ac:dyDescent="0.3">
      <c r="A144" t="s">
        <v>195</v>
      </c>
      <c r="B144" t="s">
        <v>4</v>
      </c>
      <c r="C144">
        <v>567</v>
      </c>
      <c r="D144">
        <v>279</v>
      </c>
      <c r="E144">
        <v>294</v>
      </c>
      <c r="F144">
        <v>384</v>
      </c>
      <c r="G144">
        <v>336</v>
      </c>
      <c r="H144">
        <v>438</v>
      </c>
      <c r="I144">
        <v>276</v>
      </c>
      <c r="J144">
        <v>288</v>
      </c>
      <c r="K144">
        <v>402</v>
      </c>
      <c r="L144">
        <v>333</v>
      </c>
      <c r="M144">
        <v>261</v>
      </c>
      <c r="N144">
        <v>249</v>
      </c>
      <c r="O144">
        <v>366</v>
      </c>
      <c r="P144">
        <v>306</v>
      </c>
      <c r="Q144">
        <v>309</v>
      </c>
      <c r="R144" s="8"/>
    </row>
    <row r="145" spans="1:18" x14ac:dyDescent="0.3">
      <c r="A145" t="s">
        <v>196</v>
      </c>
      <c r="B145" t="s">
        <v>0</v>
      </c>
      <c r="C145">
        <v>297</v>
      </c>
      <c r="D145">
        <v>276</v>
      </c>
      <c r="E145">
        <v>180</v>
      </c>
      <c r="F145">
        <v>120</v>
      </c>
      <c r="G145">
        <v>138</v>
      </c>
      <c r="H145">
        <v>165</v>
      </c>
      <c r="I145">
        <v>87</v>
      </c>
      <c r="J145">
        <v>132</v>
      </c>
      <c r="K145">
        <v>174</v>
      </c>
      <c r="L145">
        <v>90</v>
      </c>
      <c r="M145">
        <v>189</v>
      </c>
      <c r="N145">
        <v>183</v>
      </c>
      <c r="O145">
        <v>198</v>
      </c>
      <c r="P145">
        <v>144</v>
      </c>
      <c r="Q145">
        <v>264</v>
      </c>
      <c r="R145" s="8"/>
    </row>
    <row r="146" spans="1:18" x14ac:dyDescent="0.3">
      <c r="A146" t="s">
        <v>197</v>
      </c>
      <c r="B146" t="s">
        <v>0</v>
      </c>
      <c r="C146">
        <v>726</v>
      </c>
      <c r="D146">
        <v>276</v>
      </c>
      <c r="E146">
        <v>153</v>
      </c>
      <c r="F146">
        <v>249</v>
      </c>
      <c r="G146">
        <v>282</v>
      </c>
      <c r="H146">
        <v>204</v>
      </c>
      <c r="I146">
        <v>288</v>
      </c>
      <c r="J146">
        <v>210</v>
      </c>
      <c r="K146">
        <v>72</v>
      </c>
      <c r="L146">
        <v>153</v>
      </c>
      <c r="M146">
        <v>57</v>
      </c>
      <c r="N146">
        <v>6</v>
      </c>
      <c r="O146">
        <v>0</v>
      </c>
      <c r="P146">
        <v>0</v>
      </c>
      <c r="Q146">
        <v>0</v>
      </c>
      <c r="R146" s="8"/>
    </row>
    <row r="147" spans="1:18" x14ac:dyDescent="0.3">
      <c r="A147" t="s">
        <v>198</v>
      </c>
      <c r="B147" t="s">
        <v>0</v>
      </c>
      <c r="C147">
        <v>789</v>
      </c>
      <c r="D147">
        <v>273</v>
      </c>
      <c r="E147">
        <v>168</v>
      </c>
      <c r="F147">
        <v>195</v>
      </c>
      <c r="G147">
        <v>168</v>
      </c>
      <c r="H147">
        <v>276</v>
      </c>
      <c r="I147">
        <v>237</v>
      </c>
      <c r="J147">
        <v>186</v>
      </c>
      <c r="K147">
        <v>99</v>
      </c>
      <c r="L147">
        <v>132</v>
      </c>
      <c r="M147">
        <v>72</v>
      </c>
      <c r="N147">
        <v>3</v>
      </c>
      <c r="O147">
        <v>0</v>
      </c>
      <c r="P147">
        <v>0</v>
      </c>
      <c r="Q147">
        <v>0</v>
      </c>
      <c r="R147" s="8"/>
    </row>
    <row r="148" spans="1:18" x14ac:dyDescent="0.3">
      <c r="A148" t="s">
        <v>199</v>
      </c>
      <c r="B148" t="s">
        <v>0</v>
      </c>
      <c r="C148">
        <v>837</v>
      </c>
      <c r="D148">
        <v>270</v>
      </c>
      <c r="E148">
        <v>258</v>
      </c>
      <c r="F148">
        <v>201</v>
      </c>
      <c r="G148">
        <v>321</v>
      </c>
      <c r="H148">
        <v>306</v>
      </c>
      <c r="I148">
        <v>336</v>
      </c>
      <c r="J148">
        <v>195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8"/>
    </row>
    <row r="149" spans="1:18" x14ac:dyDescent="0.3">
      <c r="A149" t="s">
        <v>200</v>
      </c>
      <c r="B149" t="s">
        <v>0</v>
      </c>
      <c r="C149">
        <v>642</v>
      </c>
      <c r="D149">
        <v>270</v>
      </c>
      <c r="E149">
        <v>159</v>
      </c>
      <c r="F149">
        <v>243</v>
      </c>
      <c r="G149">
        <v>252</v>
      </c>
      <c r="H149">
        <v>90</v>
      </c>
      <c r="I149">
        <v>243</v>
      </c>
      <c r="J149">
        <v>18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8"/>
    </row>
    <row r="150" spans="1:18" x14ac:dyDescent="0.3">
      <c r="A150" t="s">
        <v>201</v>
      </c>
      <c r="B150" t="s">
        <v>4</v>
      </c>
      <c r="C150">
        <v>315</v>
      </c>
      <c r="D150">
        <v>270</v>
      </c>
      <c r="E150">
        <v>222</v>
      </c>
      <c r="F150">
        <v>312</v>
      </c>
      <c r="G150">
        <v>177</v>
      </c>
      <c r="H150">
        <v>291</v>
      </c>
      <c r="I150">
        <v>192</v>
      </c>
      <c r="J150">
        <v>216</v>
      </c>
      <c r="K150">
        <v>333</v>
      </c>
      <c r="L150">
        <v>285</v>
      </c>
      <c r="M150">
        <v>324</v>
      </c>
      <c r="N150">
        <v>333</v>
      </c>
      <c r="O150">
        <v>387</v>
      </c>
      <c r="P150">
        <v>561</v>
      </c>
      <c r="Q150">
        <v>1167</v>
      </c>
      <c r="R150" s="8"/>
    </row>
    <row r="151" spans="1:18" x14ac:dyDescent="0.3">
      <c r="A151" t="s">
        <v>202</v>
      </c>
      <c r="B151" t="s">
        <v>0</v>
      </c>
      <c r="C151">
        <v>666</v>
      </c>
      <c r="D151">
        <v>261</v>
      </c>
      <c r="E151">
        <v>213</v>
      </c>
      <c r="F151">
        <v>318</v>
      </c>
      <c r="G151">
        <v>216</v>
      </c>
      <c r="H151">
        <v>384</v>
      </c>
      <c r="I151">
        <v>279</v>
      </c>
      <c r="J151">
        <v>273</v>
      </c>
      <c r="K151">
        <v>39</v>
      </c>
      <c r="L151">
        <v>186</v>
      </c>
      <c r="M151">
        <v>66</v>
      </c>
      <c r="N151">
        <v>0</v>
      </c>
      <c r="O151">
        <v>0</v>
      </c>
      <c r="P151">
        <v>0</v>
      </c>
      <c r="Q151">
        <v>0</v>
      </c>
      <c r="R151" s="8"/>
    </row>
    <row r="152" spans="1:18" x14ac:dyDescent="0.3">
      <c r="A152" t="s">
        <v>203</v>
      </c>
      <c r="B152" t="s">
        <v>0</v>
      </c>
      <c r="C152">
        <v>228</v>
      </c>
      <c r="D152">
        <v>255</v>
      </c>
      <c r="E152">
        <v>216</v>
      </c>
      <c r="F152">
        <v>243</v>
      </c>
      <c r="G152">
        <v>81</v>
      </c>
      <c r="H152">
        <v>66</v>
      </c>
      <c r="I152">
        <v>63</v>
      </c>
      <c r="J152">
        <v>87</v>
      </c>
      <c r="K152">
        <v>78</v>
      </c>
      <c r="L152">
        <v>0</v>
      </c>
      <c r="M152">
        <v>0</v>
      </c>
      <c r="N152">
        <v>0</v>
      </c>
      <c r="O152">
        <v>0</v>
      </c>
      <c r="P152">
        <v>3</v>
      </c>
      <c r="Q152">
        <v>27</v>
      </c>
      <c r="R152" s="8"/>
    </row>
    <row r="153" spans="1:18" x14ac:dyDescent="0.3">
      <c r="A153" t="s">
        <v>204</v>
      </c>
      <c r="B153" t="s">
        <v>0</v>
      </c>
      <c r="C153">
        <v>21</v>
      </c>
      <c r="D153">
        <v>252</v>
      </c>
      <c r="E153">
        <v>1125</v>
      </c>
      <c r="F153">
        <v>588</v>
      </c>
      <c r="G153">
        <v>261</v>
      </c>
      <c r="H153">
        <v>624</v>
      </c>
      <c r="I153">
        <v>372</v>
      </c>
      <c r="J153">
        <v>153</v>
      </c>
      <c r="K153">
        <v>75</v>
      </c>
      <c r="L153">
        <v>480</v>
      </c>
      <c r="M153">
        <v>378</v>
      </c>
      <c r="N153">
        <v>102</v>
      </c>
      <c r="O153">
        <v>9</v>
      </c>
      <c r="P153">
        <v>0</v>
      </c>
      <c r="Q153">
        <v>0</v>
      </c>
      <c r="R153" s="8"/>
    </row>
    <row r="154" spans="1:18" x14ac:dyDescent="0.3">
      <c r="A154" t="s">
        <v>205</v>
      </c>
      <c r="B154" t="s">
        <v>3</v>
      </c>
      <c r="C154">
        <v>105</v>
      </c>
      <c r="D154">
        <v>252</v>
      </c>
      <c r="E154">
        <v>198</v>
      </c>
      <c r="F154">
        <v>138</v>
      </c>
      <c r="G154">
        <v>18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8"/>
    </row>
    <row r="155" spans="1:18" x14ac:dyDescent="0.3">
      <c r="A155" t="s">
        <v>206</v>
      </c>
      <c r="B155" t="s">
        <v>1</v>
      </c>
      <c r="C155">
        <v>384</v>
      </c>
      <c r="D155">
        <v>240</v>
      </c>
      <c r="E155">
        <v>411</v>
      </c>
      <c r="F155">
        <v>540</v>
      </c>
      <c r="G155">
        <v>225</v>
      </c>
      <c r="H155">
        <v>171</v>
      </c>
      <c r="I155">
        <v>168</v>
      </c>
      <c r="J155">
        <v>201</v>
      </c>
      <c r="K155">
        <v>294</v>
      </c>
      <c r="L155">
        <v>312</v>
      </c>
      <c r="M155">
        <v>180</v>
      </c>
      <c r="N155">
        <v>198</v>
      </c>
      <c r="O155">
        <v>108</v>
      </c>
      <c r="P155">
        <v>108</v>
      </c>
      <c r="Q155">
        <v>69</v>
      </c>
      <c r="R155" s="8"/>
    </row>
    <row r="156" spans="1:18" x14ac:dyDescent="0.3">
      <c r="A156" t="s">
        <v>207</v>
      </c>
      <c r="B156" t="s">
        <v>1</v>
      </c>
      <c r="C156">
        <v>579</v>
      </c>
      <c r="D156">
        <v>240</v>
      </c>
      <c r="E156">
        <v>255</v>
      </c>
      <c r="F156">
        <v>105</v>
      </c>
      <c r="G156">
        <v>198</v>
      </c>
      <c r="H156">
        <v>417</v>
      </c>
      <c r="I156">
        <v>45</v>
      </c>
      <c r="J156">
        <v>0</v>
      </c>
      <c r="K156">
        <v>0</v>
      </c>
      <c r="L156">
        <v>3</v>
      </c>
      <c r="M156">
        <v>18</v>
      </c>
      <c r="N156">
        <v>54</v>
      </c>
      <c r="O156">
        <v>75</v>
      </c>
      <c r="P156">
        <v>102</v>
      </c>
      <c r="Q156">
        <v>96</v>
      </c>
      <c r="R156" s="8"/>
    </row>
    <row r="157" spans="1:18" x14ac:dyDescent="0.3">
      <c r="A157" t="s">
        <v>208</v>
      </c>
      <c r="B157" t="s">
        <v>1</v>
      </c>
      <c r="C157">
        <v>759</v>
      </c>
      <c r="D157">
        <v>237</v>
      </c>
      <c r="E157">
        <v>189</v>
      </c>
      <c r="F157">
        <v>192</v>
      </c>
      <c r="G157">
        <v>219</v>
      </c>
      <c r="H157">
        <v>165</v>
      </c>
      <c r="I157">
        <v>183</v>
      </c>
      <c r="J157">
        <v>249</v>
      </c>
      <c r="K157">
        <v>435</v>
      </c>
      <c r="L157">
        <v>432</v>
      </c>
      <c r="M157">
        <v>168</v>
      </c>
      <c r="N157">
        <v>321</v>
      </c>
      <c r="O157">
        <v>126</v>
      </c>
      <c r="P157">
        <v>99</v>
      </c>
      <c r="Q157">
        <v>108</v>
      </c>
      <c r="R157" s="8"/>
    </row>
    <row r="158" spans="1:18" x14ac:dyDescent="0.3">
      <c r="A158" t="s">
        <v>209</v>
      </c>
      <c r="B158" t="s">
        <v>0</v>
      </c>
      <c r="C158">
        <v>51</v>
      </c>
      <c r="D158">
        <v>237</v>
      </c>
      <c r="E158">
        <v>291</v>
      </c>
      <c r="F158">
        <v>213</v>
      </c>
      <c r="G158">
        <v>120</v>
      </c>
      <c r="H158">
        <v>78</v>
      </c>
      <c r="I158">
        <v>72</v>
      </c>
      <c r="J158">
        <v>27</v>
      </c>
      <c r="K158">
        <v>87</v>
      </c>
      <c r="L158">
        <v>33</v>
      </c>
      <c r="M158">
        <v>48</v>
      </c>
      <c r="N158">
        <v>33</v>
      </c>
      <c r="O158">
        <v>42</v>
      </c>
      <c r="P158">
        <v>0</v>
      </c>
      <c r="Q158">
        <v>0</v>
      </c>
      <c r="R158" s="8"/>
    </row>
    <row r="159" spans="1:18" x14ac:dyDescent="0.3">
      <c r="A159" t="s">
        <v>210</v>
      </c>
      <c r="B159" t="s">
        <v>0</v>
      </c>
      <c r="C159">
        <v>102</v>
      </c>
      <c r="D159">
        <v>234</v>
      </c>
      <c r="E159">
        <v>198</v>
      </c>
      <c r="F159">
        <v>48</v>
      </c>
      <c r="G159">
        <v>87</v>
      </c>
      <c r="H159">
        <v>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8"/>
    </row>
    <row r="160" spans="1:18" x14ac:dyDescent="0.3">
      <c r="A160" t="s">
        <v>211</v>
      </c>
      <c r="B160" t="s">
        <v>0</v>
      </c>
      <c r="C160">
        <v>1104</v>
      </c>
      <c r="D160">
        <v>234</v>
      </c>
      <c r="E160">
        <v>87</v>
      </c>
      <c r="F160">
        <v>78</v>
      </c>
      <c r="G160">
        <v>12</v>
      </c>
      <c r="H160">
        <v>21</v>
      </c>
      <c r="I160">
        <v>42</v>
      </c>
      <c r="J160">
        <v>60</v>
      </c>
      <c r="K160">
        <v>96</v>
      </c>
      <c r="L160">
        <v>87</v>
      </c>
      <c r="M160">
        <v>171</v>
      </c>
      <c r="N160">
        <v>402</v>
      </c>
      <c r="O160">
        <v>222</v>
      </c>
      <c r="P160">
        <v>279</v>
      </c>
      <c r="Q160">
        <v>249</v>
      </c>
      <c r="R160" s="8"/>
    </row>
    <row r="161" spans="1:18" x14ac:dyDescent="0.3">
      <c r="A161" t="s">
        <v>212</v>
      </c>
      <c r="B161" t="s">
        <v>1</v>
      </c>
      <c r="C161">
        <v>1008</v>
      </c>
      <c r="D161">
        <v>231</v>
      </c>
      <c r="E161">
        <v>258</v>
      </c>
      <c r="F161">
        <v>495</v>
      </c>
      <c r="G161">
        <v>429</v>
      </c>
      <c r="H161">
        <v>267</v>
      </c>
      <c r="I161">
        <v>237</v>
      </c>
      <c r="J161">
        <v>429</v>
      </c>
      <c r="K161">
        <v>486</v>
      </c>
      <c r="L161">
        <v>426</v>
      </c>
      <c r="M161">
        <v>432</v>
      </c>
      <c r="N161">
        <v>288</v>
      </c>
      <c r="O161">
        <v>144</v>
      </c>
      <c r="P161">
        <v>165</v>
      </c>
      <c r="Q161">
        <v>132</v>
      </c>
      <c r="R161" s="8"/>
    </row>
    <row r="162" spans="1:18" x14ac:dyDescent="0.3">
      <c r="A162" t="s">
        <v>213</v>
      </c>
      <c r="B162" t="s">
        <v>1</v>
      </c>
      <c r="C162">
        <v>570</v>
      </c>
      <c r="D162">
        <v>231</v>
      </c>
      <c r="E162">
        <v>198</v>
      </c>
      <c r="F162">
        <v>84</v>
      </c>
      <c r="G162">
        <v>153</v>
      </c>
      <c r="H162">
        <v>189</v>
      </c>
      <c r="I162">
        <v>15</v>
      </c>
      <c r="J162">
        <v>6</v>
      </c>
      <c r="K162">
        <v>12</v>
      </c>
      <c r="L162">
        <v>57</v>
      </c>
      <c r="M162">
        <v>123</v>
      </c>
      <c r="N162">
        <v>75</v>
      </c>
      <c r="O162">
        <v>60</v>
      </c>
      <c r="P162">
        <v>75</v>
      </c>
      <c r="Q162">
        <v>108</v>
      </c>
      <c r="R162" s="8"/>
    </row>
    <row r="163" spans="1:18" x14ac:dyDescent="0.3">
      <c r="A163" t="s">
        <v>214</v>
      </c>
      <c r="B163" t="s">
        <v>0</v>
      </c>
      <c r="C163">
        <v>375</v>
      </c>
      <c r="D163">
        <v>231</v>
      </c>
      <c r="E163">
        <v>267</v>
      </c>
      <c r="F163">
        <v>216</v>
      </c>
      <c r="G163">
        <v>441</v>
      </c>
      <c r="H163">
        <v>684</v>
      </c>
      <c r="I163">
        <v>303</v>
      </c>
      <c r="J163">
        <v>411</v>
      </c>
      <c r="K163">
        <v>267</v>
      </c>
      <c r="L163">
        <v>573</v>
      </c>
      <c r="M163">
        <v>453</v>
      </c>
      <c r="N163">
        <v>276</v>
      </c>
      <c r="O163">
        <v>177</v>
      </c>
      <c r="P163">
        <v>60</v>
      </c>
      <c r="Q163">
        <v>225</v>
      </c>
      <c r="R163" s="8"/>
    </row>
    <row r="164" spans="1:18" x14ac:dyDescent="0.3">
      <c r="A164" t="s">
        <v>215</v>
      </c>
      <c r="B164" t="s">
        <v>2</v>
      </c>
      <c r="C164">
        <v>807</v>
      </c>
      <c r="D164">
        <v>228</v>
      </c>
      <c r="E164">
        <v>342</v>
      </c>
      <c r="F164">
        <v>393</v>
      </c>
      <c r="G164">
        <v>276</v>
      </c>
      <c r="H164">
        <v>252</v>
      </c>
      <c r="I164">
        <v>207</v>
      </c>
      <c r="J164">
        <v>231</v>
      </c>
      <c r="K164">
        <v>288</v>
      </c>
      <c r="L164">
        <v>315</v>
      </c>
      <c r="M164">
        <v>282</v>
      </c>
      <c r="N164">
        <v>279</v>
      </c>
      <c r="O164">
        <v>351</v>
      </c>
      <c r="P164">
        <v>423</v>
      </c>
      <c r="Q164">
        <v>642</v>
      </c>
      <c r="R164" s="8"/>
    </row>
    <row r="165" spans="1:18" x14ac:dyDescent="0.3">
      <c r="A165" t="s">
        <v>216</v>
      </c>
      <c r="B165" t="s">
        <v>0</v>
      </c>
      <c r="C165">
        <v>36</v>
      </c>
      <c r="D165">
        <v>228</v>
      </c>
      <c r="E165">
        <v>9</v>
      </c>
      <c r="F165">
        <v>12</v>
      </c>
      <c r="G165">
        <v>15</v>
      </c>
      <c r="H165">
        <v>0</v>
      </c>
      <c r="I165">
        <v>3</v>
      </c>
      <c r="J165">
        <v>9</v>
      </c>
      <c r="K165">
        <v>6</v>
      </c>
      <c r="L165">
        <v>3</v>
      </c>
      <c r="M165">
        <v>15</v>
      </c>
      <c r="N165">
        <v>30</v>
      </c>
      <c r="O165">
        <v>42</v>
      </c>
      <c r="P165">
        <v>45</v>
      </c>
      <c r="Q165">
        <v>27</v>
      </c>
      <c r="R165" s="8"/>
    </row>
    <row r="166" spans="1:18" x14ac:dyDescent="0.3">
      <c r="A166" t="s">
        <v>217</v>
      </c>
      <c r="B166" t="s">
        <v>0</v>
      </c>
      <c r="C166">
        <v>162</v>
      </c>
      <c r="D166">
        <v>225</v>
      </c>
      <c r="E166">
        <v>126</v>
      </c>
      <c r="F166">
        <v>138</v>
      </c>
      <c r="G166">
        <v>87</v>
      </c>
      <c r="H166">
        <v>78</v>
      </c>
      <c r="I166">
        <v>69</v>
      </c>
      <c r="J166">
        <v>93</v>
      </c>
      <c r="K166">
        <v>87</v>
      </c>
      <c r="L166">
        <v>3</v>
      </c>
      <c r="M166">
        <v>12</v>
      </c>
      <c r="N166">
        <v>39</v>
      </c>
      <c r="O166">
        <v>117</v>
      </c>
      <c r="P166">
        <v>333</v>
      </c>
      <c r="Q166">
        <v>372</v>
      </c>
      <c r="R166" s="8"/>
    </row>
    <row r="167" spans="1:18" x14ac:dyDescent="0.3">
      <c r="A167" t="s">
        <v>218</v>
      </c>
      <c r="B167" t="s">
        <v>2</v>
      </c>
      <c r="C167">
        <v>93</v>
      </c>
      <c r="D167">
        <v>219</v>
      </c>
      <c r="E167">
        <v>294</v>
      </c>
      <c r="F167">
        <v>219</v>
      </c>
      <c r="G167">
        <v>228</v>
      </c>
      <c r="H167">
        <v>231</v>
      </c>
      <c r="I167">
        <v>207</v>
      </c>
      <c r="J167">
        <v>210</v>
      </c>
      <c r="K167">
        <v>201</v>
      </c>
      <c r="L167">
        <v>246</v>
      </c>
      <c r="M167">
        <v>204</v>
      </c>
      <c r="N167">
        <v>219</v>
      </c>
      <c r="O167">
        <v>147</v>
      </c>
      <c r="P167">
        <v>87</v>
      </c>
      <c r="Q167">
        <v>87</v>
      </c>
      <c r="R167" s="8"/>
    </row>
    <row r="168" spans="1:18" x14ac:dyDescent="0.3">
      <c r="A168" t="s">
        <v>219</v>
      </c>
      <c r="B168" t="s">
        <v>2</v>
      </c>
      <c r="C168">
        <v>1047</v>
      </c>
      <c r="D168">
        <v>216</v>
      </c>
      <c r="E168">
        <v>267</v>
      </c>
      <c r="F168">
        <v>312</v>
      </c>
      <c r="G168">
        <v>270</v>
      </c>
      <c r="H168">
        <v>255</v>
      </c>
      <c r="I168">
        <v>180</v>
      </c>
      <c r="J168">
        <v>306</v>
      </c>
      <c r="K168">
        <v>261</v>
      </c>
      <c r="L168">
        <v>363</v>
      </c>
      <c r="M168">
        <v>327</v>
      </c>
      <c r="N168">
        <v>273</v>
      </c>
      <c r="O168">
        <v>156</v>
      </c>
      <c r="P168">
        <v>75</v>
      </c>
      <c r="Q168">
        <v>99</v>
      </c>
      <c r="R168" s="8"/>
    </row>
    <row r="169" spans="1:18" x14ac:dyDescent="0.3">
      <c r="A169" t="s">
        <v>220</v>
      </c>
      <c r="B169" t="s">
        <v>0</v>
      </c>
      <c r="C169">
        <v>234</v>
      </c>
      <c r="D169">
        <v>213</v>
      </c>
      <c r="E169">
        <v>333</v>
      </c>
      <c r="F169">
        <v>390</v>
      </c>
      <c r="G169">
        <v>207</v>
      </c>
      <c r="H169">
        <v>228</v>
      </c>
      <c r="I169">
        <v>93</v>
      </c>
      <c r="J169">
        <v>129</v>
      </c>
      <c r="K169">
        <v>96</v>
      </c>
      <c r="L169">
        <v>9</v>
      </c>
      <c r="M169">
        <v>0</v>
      </c>
      <c r="N169">
        <v>0</v>
      </c>
      <c r="O169">
        <v>0</v>
      </c>
      <c r="P169">
        <v>0</v>
      </c>
      <c r="Q169">
        <v>0</v>
      </c>
      <c r="R169" s="8"/>
    </row>
    <row r="170" spans="1:18" x14ac:dyDescent="0.3">
      <c r="A170" t="s">
        <v>221</v>
      </c>
      <c r="B170" t="s">
        <v>1</v>
      </c>
      <c r="C170">
        <v>1347</v>
      </c>
      <c r="D170">
        <v>210</v>
      </c>
      <c r="E170">
        <v>270</v>
      </c>
      <c r="F170">
        <v>261</v>
      </c>
      <c r="G170">
        <v>294</v>
      </c>
      <c r="H170">
        <v>432</v>
      </c>
      <c r="I170">
        <v>282</v>
      </c>
      <c r="J170">
        <v>291</v>
      </c>
      <c r="K170">
        <v>450</v>
      </c>
      <c r="L170">
        <v>495</v>
      </c>
      <c r="M170">
        <v>333</v>
      </c>
      <c r="N170">
        <v>222</v>
      </c>
      <c r="O170">
        <v>171</v>
      </c>
      <c r="P170">
        <v>192</v>
      </c>
      <c r="Q170">
        <v>63</v>
      </c>
      <c r="R170" s="8"/>
    </row>
    <row r="171" spans="1:18" x14ac:dyDescent="0.3">
      <c r="A171" t="s">
        <v>222</v>
      </c>
      <c r="B171" t="s">
        <v>1</v>
      </c>
      <c r="C171">
        <v>402</v>
      </c>
      <c r="D171">
        <v>210</v>
      </c>
      <c r="E171">
        <v>264</v>
      </c>
      <c r="F171">
        <v>357</v>
      </c>
      <c r="G171">
        <v>261</v>
      </c>
      <c r="H171">
        <v>375</v>
      </c>
      <c r="I171">
        <v>456</v>
      </c>
      <c r="J171">
        <v>648</v>
      </c>
      <c r="K171">
        <v>504</v>
      </c>
      <c r="L171">
        <v>780</v>
      </c>
      <c r="M171">
        <v>477</v>
      </c>
      <c r="N171">
        <v>378</v>
      </c>
      <c r="O171">
        <v>582</v>
      </c>
      <c r="P171">
        <v>753</v>
      </c>
      <c r="Q171">
        <v>1287</v>
      </c>
      <c r="R171" s="8"/>
    </row>
    <row r="172" spans="1:18" x14ac:dyDescent="0.3">
      <c r="A172" t="s">
        <v>223</v>
      </c>
      <c r="B172" t="s">
        <v>0</v>
      </c>
      <c r="C172">
        <v>432</v>
      </c>
      <c r="D172">
        <v>210</v>
      </c>
      <c r="E172">
        <v>120</v>
      </c>
      <c r="F172">
        <v>78</v>
      </c>
      <c r="G172">
        <v>39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8"/>
    </row>
    <row r="173" spans="1:18" x14ac:dyDescent="0.3">
      <c r="A173" t="s">
        <v>224</v>
      </c>
      <c r="B173" t="s">
        <v>2</v>
      </c>
      <c r="C173">
        <v>702</v>
      </c>
      <c r="D173">
        <v>207</v>
      </c>
      <c r="E173">
        <v>339</v>
      </c>
      <c r="F173">
        <v>378</v>
      </c>
      <c r="G173">
        <v>249</v>
      </c>
      <c r="H173">
        <v>291</v>
      </c>
      <c r="I173">
        <v>189</v>
      </c>
      <c r="J173">
        <v>243</v>
      </c>
      <c r="K173">
        <v>339</v>
      </c>
      <c r="L173">
        <v>330</v>
      </c>
      <c r="M173">
        <v>366</v>
      </c>
      <c r="N173">
        <v>348</v>
      </c>
      <c r="O173">
        <v>441</v>
      </c>
      <c r="P173">
        <v>603</v>
      </c>
      <c r="Q173">
        <v>996</v>
      </c>
      <c r="R173" s="8"/>
    </row>
    <row r="174" spans="1:18" x14ac:dyDescent="0.3">
      <c r="A174" t="s">
        <v>225</v>
      </c>
      <c r="B174" t="s">
        <v>2</v>
      </c>
      <c r="C174">
        <v>555</v>
      </c>
      <c r="D174">
        <v>201</v>
      </c>
      <c r="E174">
        <v>306</v>
      </c>
      <c r="F174">
        <v>444</v>
      </c>
      <c r="G174">
        <v>309</v>
      </c>
      <c r="H174">
        <v>261</v>
      </c>
      <c r="I174">
        <v>267</v>
      </c>
      <c r="J174">
        <v>531</v>
      </c>
      <c r="K174">
        <v>483</v>
      </c>
      <c r="L174">
        <v>450</v>
      </c>
      <c r="M174">
        <v>441</v>
      </c>
      <c r="N174">
        <v>378</v>
      </c>
      <c r="O174">
        <v>597</v>
      </c>
      <c r="P174">
        <v>654</v>
      </c>
      <c r="Q174">
        <v>1335</v>
      </c>
      <c r="R174" s="8"/>
    </row>
    <row r="175" spans="1:18" x14ac:dyDescent="0.3">
      <c r="A175" t="s">
        <v>226</v>
      </c>
      <c r="B175" t="s">
        <v>1</v>
      </c>
      <c r="C175">
        <v>1098</v>
      </c>
      <c r="D175">
        <v>201</v>
      </c>
      <c r="E175">
        <v>294</v>
      </c>
      <c r="F175">
        <v>309</v>
      </c>
      <c r="G175">
        <v>321</v>
      </c>
      <c r="H175">
        <v>291</v>
      </c>
      <c r="I175">
        <v>213</v>
      </c>
      <c r="J175">
        <v>255</v>
      </c>
      <c r="K175">
        <v>402</v>
      </c>
      <c r="L175">
        <v>285</v>
      </c>
      <c r="M175">
        <v>249</v>
      </c>
      <c r="N175">
        <v>138</v>
      </c>
      <c r="O175">
        <v>141</v>
      </c>
      <c r="P175">
        <v>75</v>
      </c>
      <c r="Q175">
        <v>81</v>
      </c>
      <c r="R175" s="8"/>
    </row>
    <row r="176" spans="1:18" x14ac:dyDescent="0.3">
      <c r="A176" t="s">
        <v>227</v>
      </c>
      <c r="B176" t="s">
        <v>0</v>
      </c>
      <c r="C176">
        <v>684</v>
      </c>
      <c r="D176">
        <v>198</v>
      </c>
      <c r="E176">
        <v>216</v>
      </c>
      <c r="F176">
        <v>18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8"/>
    </row>
    <row r="177" spans="1:18" x14ac:dyDescent="0.3">
      <c r="A177" t="s">
        <v>228</v>
      </c>
      <c r="B177" t="s">
        <v>0</v>
      </c>
      <c r="C177">
        <v>78</v>
      </c>
      <c r="D177">
        <v>198</v>
      </c>
      <c r="E177">
        <v>105</v>
      </c>
      <c r="F177">
        <v>147</v>
      </c>
      <c r="G177">
        <v>87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8"/>
    </row>
    <row r="178" spans="1:18" x14ac:dyDescent="0.3">
      <c r="A178" t="s">
        <v>229</v>
      </c>
      <c r="B178" t="s">
        <v>0</v>
      </c>
      <c r="C178">
        <v>174</v>
      </c>
      <c r="D178">
        <v>195</v>
      </c>
      <c r="E178">
        <v>201</v>
      </c>
      <c r="F178">
        <v>105</v>
      </c>
      <c r="G178">
        <v>111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8"/>
    </row>
    <row r="179" spans="1:18" x14ac:dyDescent="0.3">
      <c r="A179" t="s">
        <v>230</v>
      </c>
      <c r="B179" t="s">
        <v>1</v>
      </c>
      <c r="C179">
        <v>462</v>
      </c>
      <c r="D179">
        <v>192</v>
      </c>
      <c r="E179">
        <v>141</v>
      </c>
      <c r="F179">
        <v>177</v>
      </c>
      <c r="G179">
        <v>108</v>
      </c>
      <c r="H179">
        <v>150</v>
      </c>
      <c r="I179">
        <v>33</v>
      </c>
      <c r="J179">
        <v>129</v>
      </c>
      <c r="K179">
        <v>138</v>
      </c>
      <c r="L179">
        <v>9</v>
      </c>
      <c r="M179">
        <v>0</v>
      </c>
      <c r="N179">
        <v>0</v>
      </c>
      <c r="O179">
        <v>0</v>
      </c>
      <c r="P179">
        <v>0</v>
      </c>
      <c r="Q179">
        <v>0</v>
      </c>
      <c r="R179" s="8"/>
    </row>
    <row r="180" spans="1:18" x14ac:dyDescent="0.3">
      <c r="A180" t="s">
        <v>231</v>
      </c>
      <c r="B180" t="s">
        <v>0</v>
      </c>
      <c r="C180">
        <v>1389</v>
      </c>
      <c r="D180">
        <v>192</v>
      </c>
      <c r="E180">
        <v>321</v>
      </c>
      <c r="F180">
        <v>276</v>
      </c>
      <c r="G180">
        <v>153</v>
      </c>
      <c r="H180">
        <v>240</v>
      </c>
      <c r="I180">
        <v>297</v>
      </c>
      <c r="J180">
        <v>66</v>
      </c>
      <c r="K180">
        <v>189</v>
      </c>
      <c r="L180">
        <v>474</v>
      </c>
      <c r="M180">
        <v>96</v>
      </c>
      <c r="N180">
        <v>105</v>
      </c>
      <c r="O180">
        <v>69</v>
      </c>
      <c r="P180">
        <v>57</v>
      </c>
      <c r="Q180">
        <v>117</v>
      </c>
      <c r="R180" s="8"/>
    </row>
    <row r="181" spans="1:18" x14ac:dyDescent="0.3">
      <c r="A181" t="s">
        <v>232</v>
      </c>
      <c r="B181" t="s">
        <v>0</v>
      </c>
      <c r="C181">
        <v>450</v>
      </c>
      <c r="D181">
        <v>192</v>
      </c>
      <c r="E181">
        <v>300</v>
      </c>
      <c r="F181">
        <v>420</v>
      </c>
      <c r="G181">
        <v>234</v>
      </c>
      <c r="H181">
        <v>60</v>
      </c>
      <c r="I181">
        <v>165</v>
      </c>
      <c r="J181">
        <v>300</v>
      </c>
      <c r="K181">
        <v>39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8"/>
    </row>
    <row r="182" spans="1:18" x14ac:dyDescent="0.3">
      <c r="A182" t="s">
        <v>233</v>
      </c>
      <c r="B182" t="s">
        <v>0</v>
      </c>
      <c r="C182">
        <v>165</v>
      </c>
      <c r="D182">
        <v>192</v>
      </c>
      <c r="E182">
        <v>189</v>
      </c>
      <c r="F182">
        <v>60</v>
      </c>
      <c r="G182">
        <v>36</v>
      </c>
      <c r="H182">
        <v>66</v>
      </c>
      <c r="I182">
        <v>48</v>
      </c>
      <c r="J182">
        <v>93</v>
      </c>
      <c r="K182">
        <v>141</v>
      </c>
      <c r="L182">
        <v>171</v>
      </c>
      <c r="M182">
        <v>180</v>
      </c>
      <c r="N182">
        <v>153</v>
      </c>
      <c r="O182">
        <v>90</v>
      </c>
      <c r="P182">
        <v>27</v>
      </c>
      <c r="Q182">
        <v>63</v>
      </c>
      <c r="R182" s="8"/>
    </row>
    <row r="183" spans="1:18" x14ac:dyDescent="0.3">
      <c r="A183" t="s">
        <v>234</v>
      </c>
      <c r="B183" t="s">
        <v>0</v>
      </c>
      <c r="C183">
        <v>57</v>
      </c>
      <c r="D183">
        <v>189</v>
      </c>
      <c r="E183">
        <v>36</v>
      </c>
      <c r="F183">
        <v>42</v>
      </c>
      <c r="G183">
        <v>33</v>
      </c>
      <c r="H183">
        <v>33</v>
      </c>
      <c r="I183">
        <v>12</v>
      </c>
      <c r="J183">
        <v>15</v>
      </c>
      <c r="K183">
        <v>0</v>
      </c>
      <c r="L183">
        <v>0</v>
      </c>
      <c r="M183">
        <v>3</v>
      </c>
      <c r="N183">
        <v>15</v>
      </c>
      <c r="O183">
        <v>147</v>
      </c>
      <c r="P183">
        <v>207</v>
      </c>
      <c r="Q183">
        <v>198</v>
      </c>
      <c r="R183" s="8"/>
    </row>
    <row r="184" spans="1:18" x14ac:dyDescent="0.3">
      <c r="A184" t="s">
        <v>235</v>
      </c>
      <c r="B184" t="s">
        <v>0</v>
      </c>
      <c r="C184">
        <v>570</v>
      </c>
      <c r="D184">
        <v>186</v>
      </c>
      <c r="E184">
        <v>249</v>
      </c>
      <c r="F184">
        <v>339</v>
      </c>
      <c r="G184">
        <v>252</v>
      </c>
      <c r="H184">
        <v>144</v>
      </c>
      <c r="I184">
        <v>114</v>
      </c>
      <c r="J184">
        <v>162</v>
      </c>
      <c r="K184">
        <v>75</v>
      </c>
      <c r="L184">
        <v>15</v>
      </c>
      <c r="M184">
        <v>0</v>
      </c>
      <c r="N184">
        <v>0</v>
      </c>
      <c r="O184">
        <v>0</v>
      </c>
      <c r="P184">
        <v>0</v>
      </c>
      <c r="Q184">
        <v>0</v>
      </c>
      <c r="R184" s="8"/>
    </row>
    <row r="185" spans="1:18" x14ac:dyDescent="0.3">
      <c r="A185" t="s">
        <v>236</v>
      </c>
      <c r="B185" t="s">
        <v>0</v>
      </c>
      <c r="C185">
        <v>18</v>
      </c>
      <c r="D185">
        <v>186</v>
      </c>
      <c r="E185">
        <v>123</v>
      </c>
      <c r="F185">
        <v>105</v>
      </c>
      <c r="G185">
        <v>42</v>
      </c>
      <c r="H185">
        <v>36</v>
      </c>
      <c r="I185">
        <v>12</v>
      </c>
      <c r="J185">
        <v>36</v>
      </c>
      <c r="K185">
        <v>69</v>
      </c>
      <c r="L185">
        <v>423</v>
      </c>
      <c r="M185">
        <v>258</v>
      </c>
      <c r="N185">
        <v>210</v>
      </c>
      <c r="O185">
        <v>363</v>
      </c>
      <c r="P185">
        <v>87</v>
      </c>
      <c r="Q185">
        <v>0</v>
      </c>
      <c r="R185" s="8"/>
    </row>
    <row r="186" spans="1:18" x14ac:dyDescent="0.3">
      <c r="A186" t="s">
        <v>237</v>
      </c>
      <c r="B186" t="s">
        <v>1</v>
      </c>
      <c r="C186">
        <v>120</v>
      </c>
      <c r="D186">
        <v>183</v>
      </c>
      <c r="E186">
        <v>366</v>
      </c>
      <c r="F186">
        <v>396</v>
      </c>
      <c r="G186">
        <v>249</v>
      </c>
      <c r="H186">
        <v>309</v>
      </c>
      <c r="I186">
        <v>261</v>
      </c>
      <c r="J186">
        <v>171</v>
      </c>
      <c r="K186">
        <v>111</v>
      </c>
      <c r="L186">
        <v>306</v>
      </c>
      <c r="M186">
        <v>327</v>
      </c>
      <c r="N186">
        <v>246</v>
      </c>
      <c r="O186">
        <v>243</v>
      </c>
      <c r="P186">
        <v>198</v>
      </c>
      <c r="Q186">
        <v>276</v>
      </c>
      <c r="R186" s="8"/>
    </row>
    <row r="187" spans="1:18" x14ac:dyDescent="0.3">
      <c r="A187" t="s">
        <v>238</v>
      </c>
      <c r="B187" t="s">
        <v>1</v>
      </c>
      <c r="C187">
        <v>183</v>
      </c>
      <c r="D187">
        <v>183</v>
      </c>
      <c r="E187">
        <v>183</v>
      </c>
      <c r="F187">
        <v>492</v>
      </c>
      <c r="G187">
        <v>159</v>
      </c>
      <c r="H187">
        <v>180</v>
      </c>
      <c r="I187">
        <v>222</v>
      </c>
      <c r="J187">
        <v>168</v>
      </c>
      <c r="K187">
        <v>237</v>
      </c>
      <c r="L187">
        <v>237</v>
      </c>
      <c r="M187">
        <v>273</v>
      </c>
      <c r="N187">
        <v>210</v>
      </c>
      <c r="O187">
        <v>195</v>
      </c>
      <c r="P187">
        <v>111</v>
      </c>
      <c r="Q187">
        <v>276</v>
      </c>
      <c r="R187" s="8"/>
    </row>
    <row r="188" spans="1:18" x14ac:dyDescent="0.3">
      <c r="A188" t="s">
        <v>239</v>
      </c>
      <c r="B188" t="s">
        <v>0</v>
      </c>
      <c r="C188">
        <v>603</v>
      </c>
      <c r="D188">
        <v>183</v>
      </c>
      <c r="E188">
        <v>144</v>
      </c>
      <c r="F188">
        <v>135</v>
      </c>
      <c r="G188">
        <v>42</v>
      </c>
      <c r="H188">
        <v>27</v>
      </c>
      <c r="I188">
        <v>147</v>
      </c>
      <c r="J188">
        <v>42</v>
      </c>
      <c r="K188">
        <v>30</v>
      </c>
      <c r="L188">
        <v>246</v>
      </c>
      <c r="M188">
        <v>495</v>
      </c>
      <c r="N188">
        <v>228</v>
      </c>
      <c r="O188">
        <v>0</v>
      </c>
      <c r="P188">
        <v>0</v>
      </c>
      <c r="Q188">
        <v>0</v>
      </c>
      <c r="R188" s="8"/>
    </row>
    <row r="189" spans="1:18" x14ac:dyDescent="0.3">
      <c r="A189" t="s">
        <v>240</v>
      </c>
      <c r="B189" t="s">
        <v>0</v>
      </c>
      <c r="C189">
        <v>147</v>
      </c>
      <c r="D189">
        <v>180</v>
      </c>
      <c r="E189">
        <v>309</v>
      </c>
      <c r="F189">
        <v>198</v>
      </c>
      <c r="G189">
        <v>141</v>
      </c>
      <c r="H189">
        <v>126</v>
      </c>
      <c r="I189">
        <v>69</v>
      </c>
      <c r="J189">
        <v>9</v>
      </c>
      <c r="K189">
        <v>99</v>
      </c>
      <c r="L189">
        <v>48</v>
      </c>
      <c r="M189">
        <v>21</v>
      </c>
      <c r="N189">
        <v>51</v>
      </c>
      <c r="O189">
        <v>33</v>
      </c>
      <c r="P189">
        <v>0</v>
      </c>
      <c r="Q189">
        <v>0</v>
      </c>
      <c r="R189" s="8"/>
    </row>
    <row r="190" spans="1:18" x14ac:dyDescent="0.3">
      <c r="A190" t="s">
        <v>241</v>
      </c>
      <c r="B190" t="s">
        <v>2</v>
      </c>
      <c r="C190">
        <v>648</v>
      </c>
      <c r="D190">
        <v>177</v>
      </c>
      <c r="E190">
        <v>561</v>
      </c>
      <c r="F190">
        <v>426</v>
      </c>
      <c r="G190">
        <v>315</v>
      </c>
      <c r="H190">
        <v>345</v>
      </c>
      <c r="I190">
        <v>342</v>
      </c>
      <c r="J190">
        <v>468</v>
      </c>
      <c r="K190">
        <v>588</v>
      </c>
      <c r="L190">
        <v>438</v>
      </c>
      <c r="M190">
        <v>336</v>
      </c>
      <c r="N190">
        <v>501</v>
      </c>
      <c r="O190">
        <v>435</v>
      </c>
      <c r="P190">
        <v>414</v>
      </c>
      <c r="Q190">
        <v>957</v>
      </c>
      <c r="R190" s="8"/>
    </row>
    <row r="191" spans="1:18" x14ac:dyDescent="0.3">
      <c r="A191" t="s">
        <v>242</v>
      </c>
      <c r="B191" t="s">
        <v>1</v>
      </c>
      <c r="C191">
        <v>780</v>
      </c>
      <c r="D191">
        <v>177</v>
      </c>
      <c r="E191">
        <v>264</v>
      </c>
      <c r="F191">
        <v>120</v>
      </c>
      <c r="G191">
        <v>267</v>
      </c>
      <c r="H191">
        <v>333</v>
      </c>
      <c r="I191">
        <v>81</v>
      </c>
      <c r="J191">
        <v>30</v>
      </c>
      <c r="K191">
        <v>48</v>
      </c>
      <c r="L191">
        <v>345</v>
      </c>
      <c r="M191">
        <v>204</v>
      </c>
      <c r="N191">
        <v>270</v>
      </c>
      <c r="O191">
        <v>249</v>
      </c>
      <c r="P191">
        <v>222</v>
      </c>
      <c r="Q191">
        <v>135</v>
      </c>
      <c r="R191" s="8"/>
    </row>
    <row r="192" spans="1:18" x14ac:dyDescent="0.3">
      <c r="A192" t="s">
        <v>243</v>
      </c>
      <c r="B192" t="s">
        <v>0</v>
      </c>
      <c r="C192">
        <v>36</v>
      </c>
      <c r="D192">
        <v>177</v>
      </c>
      <c r="E192">
        <v>255</v>
      </c>
      <c r="F192">
        <v>384</v>
      </c>
      <c r="G192">
        <v>87</v>
      </c>
      <c r="H192">
        <v>51</v>
      </c>
      <c r="I192">
        <v>45</v>
      </c>
      <c r="J192">
        <v>117</v>
      </c>
      <c r="K192">
        <v>93</v>
      </c>
      <c r="L192">
        <v>252</v>
      </c>
      <c r="M192">
        <v>123</v>
      </c>
      <c r="N192">
        <v>0</v>
      </c>
      <c r="O192">
        <v>0</v>
      </c>
      <c r="P192">
        <v>0</v>
      </c>
      <c r="Q192">
        <v>0</v>
      </c>
      <c r="R192" s="8"/>
    </row>
    <row r="193" spans="1:18" x14ac:dyDescent="0.3">
      <c r="A193" t="s">
        <v>244</v>
      </c>
      <c r="B193" t="s">
        <v>0</v>
      </c>
      <c r="C193">
        <v>150</v>
      </c>
      <c r="D193">
        <v>177</v>
      </c>
      <c r="E193">
        <v>204</v>
      </c>
      <c r="F193">
        <v>87</v>
      </c>
      <c r="G193">
        <v>144</v>
      </c>
      <c r="H193">
        <v>114</v>
      </c>
      <c r="I193">
        <v>60</v>
      </c>
      <c r="J193">
        <v>105</v>
      </c>
      <c r="K193">
        <v>123</v>
      </c>
      <c r="L193">
        <v>213</v>
      </c>
      <c r="M193">
        <v>117</v>
      </c>
      <c r="N193">
        <v>120</v>
      </c>
      <c r="O193">
        <v>57</v>
      </c>
      <c r="P193">
        <v>69</v>
      </c>
      <c r="Q193">
        <v>207</v>
      </c>
      <c r="R193" s="8"/>
    </row>
    <row r="194" spans="1:18" x14ac:dyDescent="0.3">
      <c r="A194" t="s">
        <v>245</v>
      </c>
      <c r="B194" t="s">
        <v>0</v>
      </c>
      <c r="C194">
        <v>27</v>
      </c>
      <c r="D194">
        <v>177</v>
      </c>
      <c r="E194">
        <v>36</v>
      </c>
      <c r="F194">
        <v>69</v>
      </c>
      <c r="G194">
        <v>93</v>
      </c>
      <c r="H194">
        <v>39</v>
      </c>
      <c r="I194">
        <v>27</v>
      </c>
      <c r="J194">
        <v>6</v>
      </c>
      <c r="K194">
        <v>0</v>
      </c>
      <c r="L194">
        <v>0</v>
      </c>
      <c r="M194">
        <v>3</v>
      </c>
      <c r="N194">
        <v>18</v>
      </c>
      <c r="O194">
        <v>114</v>
      </c>
      <c r="P194">
        <v>333</v>
      </c>
      <c r="Q194">
        <v>291</v>
      </c>
      <c r="R194" s="8"/>
    </row>
    <row r="195" spans="1:18" x14ac:dyDescent="0.3">
      <c r="A195" t="s">
        <v>246</v>
      </c>
      <c r="B195" t="s">
        <v>1</v>
      </c>
      <c r="C195">
        <v>765</v>
      </c>
      <c r="D195">
        <v>174</v>
      </c>
      <c r="E195">
        <v>231</v>
      </c>
      <c r="F195">
        <v>150</v>
      </c>
      <c r="G195">
        <v>294</v>
      </c>
      <c r="H195">
        <v>312</v>
      </c>
      <c r="I195">
        <v>99</v>
      </c>
      <c r="J195">
        <v>171</v>
      </c>
      <c r="K195">
        <v>279</v>
      </c>
      <c r="L195">
        <v>363</v>
      </c>
      <c r="M195">
        <v>195</v>
      </c>
      <c r="N195">
        <v>183</v>
      </c>
      <c r="O195">
        <v>147</v>
      </c>
      <c r="P195">
        <v>153</v>
      </c>
      <c r="Q195">
        <v>66</v>
      </c>
      <c r="R195" s="8"/>
    </row>
    <row r="196" spans="1:18" x14ac:dyDescent="0.3">
      <c r="A196" t="s">
        <v>247</v>
      </c>
      <c r="B196" t="s">
        <v>0</v>
      </c>
      <c r="C196">
        <v>396</v>
      </c>
      <c r="D196">
        <v>174</v>
      </c>
      <c r="E196">
        <v>99</v>
      </c>
      <c r="F196">
        <v>24</v>
      </c>
      <c r="G196">
        <v>36</v>
      </c>
      <c r="H196">
        <v>36</v>
      </c>
      <c r="I196">
        <v>33</v>
      </c>
      <c r="J196">
        <v>21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8"/>
    </row>
    <row r="197" spans="1:18" x14ac:dyDescent="0.3">
      <c r="A197" t="s">
        <v>248</v>
      </c>
      <c r="B197" t="s">
        <v>2</v>
      </c>
      <c r="C197">
        <v>102</v>
      </c>
      <c r="D197">
        <v>171</v>
      </c>
      <c r="E197">
        <v>207</v>
      </c>
      <c r="F197">
        <v>177</v>
      </c>
      <c r="G197">
        <v>66</v>
      </c>
      <c r="H197">
        <v>114</v>
      </c>
      <c r="I197">
        <v>57</v>
      </c>
      <c r="J197">
        <v>81</v>
      </c>
      <c r="K197">
        <v>12</v>
      </c>
      <c r="L197">
        <v>36</v>
      </c>
      <c r="M197">
        <v>39</v>
      </c>
      <c r="N197">
        <v>0</v>
      </c>
      <c r="O197">
        <v>0</v>
      </c>
      <c r="P197">
        <v>0</v>
      </c>
      <c r="Q197">
        <v>0</v>
      </c>
      <c r="R197" s="8"/>
    </row>
    <row r="198" spans="1:18" x14ac:dyDescent="0.3">
      <c r="A198" t="s">
        <v>249</v>
      </c>
      <c r="B198" t="s">
        <v>1</v>
      </c>
      <c r="C198">
        <v>528</v>
      </c>
      <c r="D198">
        <v>171</v>
      </c>
      <c r="E198">
        <v>201</v>
      </c>
      <c r="F198">
        <v>189</v>
      </c>
      <c r="G198">
        <v>114</v>
      </c>
      <c r="H198">
        <v>78</v>
      </c>
      <c r="I198">
        <v>120</v>
      </c>
      <c r="J198">
        <v>66</v>
      </c>
      <c r="K198">
        <v>195</v>
      </c>
      <c r="L198">
        <v>138</v>
      </c>
      <c r="M198">
        <v>117</v>
      </c>
      <c r="N198">
        <v>0</v>
      </c>
      <c r="O198">
        <v>0</v>
      </c>
      <c r="P198">
        <v>0</v>
      </c>
      <c r="Q198">
        <v>0</v>
      </c>
      <c r="R198" s="8"/>
    </row>
    <row r="199" spans="1:18" x14ac:dyDescent="0.3">
      <c r="A199" t="s">
        <v>250</v>
      </c>
      <c r="B199" t="s">
        <v>0</v>
      </c>
      <c r="C199">
        <v>120</v>
      </c>
      <c r="D199">
        <v>165</v>
      </c>
      <c r="E199">
        <v>183</v>
      </c>
      <c r="F199">
        <v>108</v>
      </c>
      <c r="G199">
        <v>153</v>
      </c>
      <c r="H199">
        <v>87</v>
      </c>
      <c r="I199">
        <v>99</v>
      </c>
      <c r="J199">
        <v>12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8"/>
    </row>
    <row r="200" spans="1:18" x14ac:dyDescent="0.3">
      <c r="A200" t="s">
        <v>251</v>
      </c>
      <c r="B200" t="s">
        <v>0</v>
      </c>
      <c r="C200">
        <v>84</v>
      </c>
      <c r="D200">
        <v>165</v>
      </c>
      <c r="E200">
        <v>144</v>
      </c>
      <c r="F200">
        <v>228</v>
      </c>
      <c r="G200">
        <v>126</v>
      </c>
      <c r="H200">
        <v>126</v>
      </c>
      <c r="I200">
        <v>45</v>
      </c>
      <c r="J200">
        <v>60</v>
      </c>
      <c r="K200">
        <v>132</v>
      </c>
      <c r="L200">
        <v>141</v>
      </c>
      <c r="M200">
        <v>141</v>
      </c>
      <c r="N200">
        <v>123</v>
      </c>
      <c r="O200">
        <v>102</v>
      </c>
      <c r="P200">
        <v>96</v>
      </c>
      <c r="Q200">
        <v>162</v>
      </c>
      <c r="R200" s="8"/>
    </row>
    <row r="201" spans="1:18" x14ac:dyDescent="0.3">
      <c r="A201" t="s">
        <v>252</v>
      </c>
      <c r="B201" t="s">
        <v>0</v>
      </c>
      <c r="C201">
        <v>192</v>
      </c>
      <c r="D201">
        <v>162</v>
      </c>
      <c r="E201">
        <v>198</v>
      </c>
      <c r="F201">
        <v>93</v>
      </c>
      <c r="G201">
        <v>162</v>
      </c>
      <c r="H201">
        <v>96</v>
      </c>
      <c r="I201">
        <v>78</v>
      </c>
      <c r="J201">
        <v>153</v>
      </c>
      <c r="K201">
        <v>144</v>
      </c>
      <c r="L201">
        <v>237</v>
      </c>
      <c r="M201">
        <v>105</v>
      </c>
      <c r="N201">
        <v>120</v>
      </c>
      <c r="O201">
        <v>126</v>
      </c>
      <c r="P201">
        <v>75</v>
      </c>
      <c r="Q201">
        <v>189</v>
      </c>
      <c r="R201" s="8"/>
    </row>
    <row r="202" spans="1:18" x14ac:dyDescent="0.3">
      <c r="A202" t="s">
        <v>253</v>
      </c>
      <c r="B202" t="s">
        <v>4</v>
      </c>
      <c r="C202">
        <v>480</v>
      </c>
      <c r="D202">
        <v>162</v>
      </c>
      <c r="E202">
        <v>219</v>
      </c>
      <c r="F202">
        <v>180</v>
      </c>
      <c r="G202">
        <v>168</v>
      </c>
      <c r="H202">
        <v>177</v>
      </c>
      <c r="I202">
        <v>222</v>
      </c>
      <c r="J202">
        <v>216</v>
      </c>
      <c r="K202">
        <v>204</v>
      </c>
      <c r="L202">
        <v>225</v>
      </c>
      <c r="M202">
        <v>177</v>
      </c>
      <c r="N202">
        <v>216</v>
      </c>
      <c r="O202">
        <v>255</v>
      </c>
      <c r="P202">
        <v>156</v>
      </c>
      <c r="Q202">
        <v>165</v>
      </c>
      <c r="R202" s="8"/>
    </row>
    <row r="203" spans="1:18" x14ac:dyDescent="0.3">
      <c r="A203" t="s">
        <v>254</v>
      </c>
      <c r="B203" t="s">
        <v>2</v>
      </c>
      <c r="C203">
        <v>669</v>
      </c>
      <c r="D203">
        <v>159</v>
      </c>
      <c r="E203">
        <v>288</v>
      </c>
      <c r="F203">
        <v>252</v>
      </c>
      <c r="G203">
        <v>282</v>
      </c>
      <c r="H203">
        <v>261</v>
      </c>
      <c r="I203">
        <v>153</v>
      </c>
      <c r="J203">
        <v>168</v>
      </c>
      <c r="K203">
        <v>267</v>
      </c>
      <c r="L203">
        <v>327</v>
      </c>
      <c r="M203">
        <v>216</v>
      </c>
      <c r="N203">
        <v>210</v>
      </c>
      <c r="O203">
        <v>159</v>
      </c>
      <c r="P203">
        <v>270</v>
      </c>
      <c r="Q203">
        <v>327</v>
      </c>
      <c r="R203" s="8"/>
    </row>
    <row r="204" spans="1:18" x14ac:dyDescent="0.3">
      <c r="A204" t="s">
        <v>255</v>
      </c>
      <c r="B204" t="s">
        <v>2</v>
      </c>
      <c r="C204">
        <v>276</v>
      </c>
      <c r="D204">
        <v>159</v>
      </c>
      <c r="E204">
        <v>279</v>
      </c>
      <c r="F204">
        <v>321</v>
      </c>
      <c r="G204">
        <v>186</v>
      </c>
      <c r="H204">
        <v>258</v>
      </c>
      <c r="I204">
        <v>174</v>
      </c>
      <c r="J204">
        <v>213</v>
      </c>
      <c r="K204">
        <v>147</v>
      </c>
      <c r="L204">
        <v>90</v>
      </c>
      <c r="M204">
        <v>33</v>
      </c>
      <c r="N204">
        <v>63</v>
      </c>
      <c r="O204">
        <v>42</v>
      </c>
      <c r="P204">
        <v>42</v>
      </c>
      <c r="Q204">
        <v>33</v>
      </c>
      <c r="R204" s="8"/>
    </row>
    <row r="205" spans="1:18" x14ac:dyDescent="0.3">
      <c r="A205" t="s">
        <v>256</v>
      </c>
      <c r="B205" t="s">
        <v>0</v>
      </c>
      <c r="C205">
        <v>1056</v>
      </c>
      <c r="D205">
        <v>159</v>
      </c>
      <c r="E205">
        <v>183</v>
      </c>
      <c r="F205">
        <v>381</v>
      </c>
      <c r="G205">
        <v>345</v>
      </c>
      <c r="H205">
        <v>375</v>
      </c>
      <c r="I205">
        <v>288</v>
      </c>
      <c r="J205">
        <v>309</v>
      </c>
      <c r="K205">
        <v>96</v>
      </c>
      <c r="L205">
        <v>180</v>
      </c>
      <c r="M205">
        <v>78</v>
      </c>
      <c r="N205">
        <v>0</v>
      </c>
      <c r="O205">
        <v>0</v>
      </c>
      <c r="P205">
        <v>0</v>
      </c>
      <c r="Q205">
        <v>0</v>
      </c>
      <c r="R205" s="8"/>
    </row>
    <row r="206" spans="1:18" x14ac:dyDescent="0.3">
      <c r="A206" t="s">
        <v>257</v>
      </c>
      <c r="B206" t="s">
        <v>0</v>
      </c>
      <c r="C206">
        <v>888</v>
      </c>
      <c r="D206">
        <v>159</v>
      </c>
      <c r="E206">
        <v>93</v>
      </c>
      <c r="F206">
        <v>66</v>
      </c>
      <c r="G206">
        <v>45</v>
      </c>
      <c r="H206">
        <v>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8"/>
    </row>
    <row r="207" spans="1:18" x14ac:dyDescent="0.3">
      <c r="A207" t="s">
        <v>258</v>
      </c>
      <c r="B207" t="s">
        <v>0</v>
      </c>
      <c r="C207">
        <v>318</v>
      </c>
      <c r="D207">
        <v>156</v>
      </c>
      <c r="E207">
        <v>297</v>
      </c>
      <c r="F207">
        <v>450</v>
      </c>
      <c r="G207">
        <v>375</v>
      </c>
      <c r="H207">
        <v>372</v>
      </c>
      <c r="I207">
        <v>345</v>
      </c>
      <c r="J207">
        <v>321</v>
      </c>
      <c r="K207">
        <v>123</v>
      </c>
      <c r="L207">
        <v>99</v>
      </c>
      <c r="M207">
        <v>51</v>
      </c>
      <c r="N207">
        <v>0</v>
      </c>
      <c r="O207">
        <v>0</v>
      </c>
      <c r="P207">
        <v>0</v>
      </c>
      <c r="Q207">
        <v>0</v>
      </c>
      <c r="R207" s="8"/>
    </row>
    <row r="208" spans="1:18" x14ac:dyDescent="0.3">
      <c r="A208" t="s">
        <v>259</v>
      </c>
      <c r="B208" t="s">
        <v>0</v>
      </c>
      <c r="C208">
        <v>192</v>
      </c>
      <c r="D208">
        <v>156</v>
      </c>
      <c r="E208">
        <v>159</v>
      </c>
      <c r="F208">
        <v>54</v>
      </c>
      <c r="G208">
        <v>15</v>
      </c>
      <c r="H208">
        <v>42</v>
      </c>
      <c r="I208">
        <v>48</v>
      </c>
      <c r="J208">
        <v>15</v>
      </c>
      <c r="K208">
        <v>48</v>
      </c>
      <c r="L208">
        <v>42</v>
      </c>
      <c r="M208">
        <v>0</v>
      </c>
      <c r="N208">
        <v>0</v>
      </c>
      <c r="O208">
        <v>0</v>
      </c>
      <c r="P208">
        <v>0</v>
      </c>
      <c r="Q208">
        <v>0</v>
      </c>
      <c r="R208" s="8"/>
    </row>
    <row r="209" spans="1:18" x14ac:dyDescent="0.3">
      <c r="A209" t="s">
        <v>260</v>
      </c>
      <c r="B209" t="s">
        <v>0</v>
      </c>
      <c r="C209">
        <v>309</v>
      </c>
      <c r="D209">
        <v>156</v>
      </c>
      <c r="E209">
        <v>66</v>
      </c>
      <c r="F209">
        <v>69</v>
      </c>
      <c r="G209">
        <v>54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8"/>
    </row>
    <row r="210" spans="1:18" x14ac:dyDescent="0.3">
      <c r="A210" t="s">
        <v>261</v>
      </c>
      <c r="B210" t="s">
        <v>1</v>
      </c>
      <c r="C210">
        <v>543</v>
      </c>
      <c r="D210">
        <v>150</v>
      </c>
      <c r="E210">
        <v>189</v>
      </c>
      <c r="F210">
        <v>162</v>
      </c>
      <c r="G210">
        <v>162</v>
      </c>
      <c r="H210">
        <v>168</v>
      </c>
      <c r="I210">
        <v>105</v>
      </c>
      <c r="J210">
        <v>174</v>
      </c>
      <c r="K210">
        <v>282</v>
      </c>
      <c r="L210">
        <v>216</v>
      </c>
      <c r="M210">
        <v>90</v>
      </c>
      <c r="N210">
        <v>165</v>
      </c>
      <c r="O210">
        <v>78</v>
      </c>
      <c r="P210">
        <v>75</v>
      </c>
      <c r="Q210">
        <v>75</v>
      </c>
      <c r="R210" s="8"/>
    </row>
    <row r="211" spans="1:18" x14ac:dyDescent="0.3">
      <c r="A211" t="s">
        <v>262</v>
      </c>
      <c r="B211" t="s">
        <v>1</v>
      </c>
      <c r="C211">
        <v>303</v>
      </c>
      <c r="D211">
        <v>150</v>
      </c>
      <c r="E211">
        <v>183</v>
      </c>
      <c r="F211">
        <v>60</v>
      </c>
      <c r="G211">
        <v>147</v>
      </c>
      <c r="H211">
        <v>48</v>
      </c>
      <c r="I211">
        <v>24</v>
      </c>
      <c r="J211">
        <v>132</v>
      </c>
      <c r="K211">
        <v>147</v>
      </c>
      <c r="L211">
        <v>399</v>
      </c>
      <c r="M211">
        <v>411</v>
      </c>
      <c r="N211">
        <v>570</v>
      </c>
      <c r="O211">
        <v>486</v>
      </c>
      <c r="P211">
        <v>120</v>
      </c>
      <c r="Q211">
        <v>591</v>
      </c>
      <c r="R211" s="8"/>
    </row>
    <row r="212" spans="1:18" x14ac:dyDescent="0.3">
      <c r="A212" t="s">
        <v>263</v>
      </c>
      <c r="B212" t="s">
        <v>0</v>
      </c>
      <c r="C212">
        <v>210</v>
      </c>
      <c r="D212">
        <v>147</v>
      </c>
      <c r="E212">
        <v>225</v>
      </c>
      <c r="F212">
        <v>93</v>
      </c>
      <c r="G212">
        <v>99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8"/>
    </row>
    <row r="213" spans="1:18" x14ac:dyDescent="0.3">
      <c r="A213" t="s">
        <v>264</v>
      </c>
      <c r="B213" t="s">
        <v>0</v>
      </c>
      <c r="C213">
        <v>510</v>
      </c>
      <c r="D213">
        <v>144</v>
      </c>
      <c r="E213">
        <v>75</v>
      </c>
      <c r="F213">
        <v>54</v>
      </c>
      <c r="G213">
        <v>84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8"/>
    </row>
    <row r="214" spans="1:18" x14ac:dyDescent="0.3">
      <c r="A214" t="s">
        <v>265</v>
      </c>
      <c r="B214" t="s">
        <v>0</v>
      </c>
      <c r="C214">
        <v>303</v>
      </c>
      <c r="D214">
        <v>144</v>
      </c>
      <c r="E214">
        <v>33</v>
      </c>
      <c r="F214">
        <v>54</v>
      </c>
      <c r="G214">
        <v>45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8"/>
    </row>
    <row r="215" spans="1:18" x14ac:dyDescent="0.3">
      <c r="A215" t="s">
        <v>266</v>
      </c>
      <c r="B215" t="s">
        <v>0</v>
      </c>
      <c r="C215">
        <v>309</v>
      </c>
      <c r="D215">
        <v>141</v>
      </c>
      <c r="E215">
        <v>201</v>
      </c>
      <c r="F215">
        <v>144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8"/>
    </row>
    <row r="216" spans="1:18" x14ac:dyDescent="0.3">
      <c r="A216" t="s">
        <v>267</v>
      </c>
      <c r="B216" t="s">
        <v>0</v>
      </c>
      <c r="C216">
        <v>426</v>
      </c>
      <c r="D216">
        <v>141</v>
      </c>
      <c r="E216">
        <v>198</v>
      </c>
      <c r="F216">
        <v>18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8"/>
    </row>
    <row r="217" spans="1:18" x14ac:dyDescent="0.3">
      <c r="A217" t="s">
        <v>268</v>
      </c>
      <c r="B217" t="s">
        <v>2</v>
      </c>
      <c r="C217">
        <v>498</v>
      </c>
      <c r="D217">
        <v>138</v>
      </c>
      <c r="E217">
        <v>444</v>
      </c>
      <c r="F217">
        <v>552</v>
      </c>
      <c r="G217">
        <v>447</v>
      </c>
      <c r="H217">
        <v>279</v>
      </c>
      <c r="I217">
        <v>195</v>
      </c>
      <c r="J217">
        <v>270</v>
      </c>
      <c r="K217">
        <v>201</v>
      </c>
      <c r="L217">
        <v>213</v>
      </c>
      <c r="M217">
        <v>273</v>
      </c>
      <c r="N217">
        <v>207</v>
      </c>
      <c r="O217">
        <v>201</v>
      </c>
      <c r="P217">
        <v>201</v>
      </c>
      <c r="Q217">
        <v>432</v>
      </c>
      <c r="R217" s="8"/>
    </row>
    <row r="218" spans="1:18" x14ac:dyDescent="0.3">
      <c r="A218" t="s">
        <v>269</v>
      </c>
      <c r="B218" t="s">
        <v>1</v>
      </c>
      <c r="C218">
        <v>843</v>
      </c>
      <c r="D218">
        <v>138</v>
      </c>
      <c r="E218">
        <v>231</v>
      </c>
      <c r="F218">
        <v>417</v>
      </c>
      <c r="G218">
        <v>222</v>
      </c>
      <c r="H218">
        <v>222</v>
      </c>
      <c r="I218">
        <v>171</v>
      </c>
      <c r="J218">
        <v>300</v>
      </c>
      <c r="K218">
        <v>324</v>
      </c>
      <c r="L218">
        <v>471</v>
      </c>
      <c r="M218">
        <v>243</v>
      </c>
      <c r="N218">
        <v>213</v>
      </c>
      <c r="O218">
        <v>63</v>
      </c>
      <c r="P218">
        <v>45</v>
      </c>
      <c r="Q218">
        <v>45</v>
      </c>
      <c r="R218" s="8"/>
    </row>
    <row r="219" spans="1:18" x14ac:dyDescent="0.3">
      <c r="A219" t="s">
        <v>270</v>
      </c>
      <c r="B219" t="s">
        <v>1</v>
      </c>
      <c r="C219">
        <v>261</v>
      </c>
      <c r="D219">
        <v>138</v>
      </c>
      <c r="E219">
        <v>159</v>
      </c>
      <c r="F219">
        <v>384</v>
      </c>
      <c r="G219">
        <v>186</v>
      </c>
      <c r="H219">
        <v>186</v>
      </c>
      <c r="I219">
        <v>180</v>
      </c>
      <c r="J219">
        <v>207</v>
      </c>
      <c r="K219">
        <v>201</v>
      </c>
      <c r="L219">
        <v>234</v>
      </c>
      <c r="M219">
        <v>177</v>
      </c>
      <c r="N219">
        <v>141</v>
      </c>
      <c r="O219">
        <v>111</v>
      </c>
      <c r="P219">
        <v>162</v>
      </c>
      <c r="Q219">
        <v>321</v>
      </c>
      <c r="R219" s="8"/>
    </row>
    <row r="220" spans="1:18" x14ac:dyDescent="0.3">
      <c r="A220" t="s">
        <v>271</v>
      </c>
      <c r="B220" t="s">
        <v>0</v>
      </c>
      <c r="C220">
        <v>111</v>
      </c>
      <c r="D220">
        <v>138</v>
      </c>
      <c r="E220">
        <v>192</v>
      </c>
      <c r="F220">
        <v>255</v>
      </c>
      <c r="G220">
        <v>189</v>
      </c>
      <c r="H220">
        <v>147</v>
      </c>
      <c r="I220">
        <v>99</v>
      </c>
      <c r="J220">
        <v>177</v>
      </c>
      <c r="K220">
        <v>81</v>
      </c>
      <c r="L220">
        <v>120</v>
      </c>
      <c r="M220">
        <v>93</v>
      </c>
      <c r="N220">
        <v>45</v>
      </c>
      <c r="O220">
        <v>45</v>
      </c>
      <c r="P220">
        <v>0</v>
      </c>
      <c r="Q220">
        <v>0</v>
      </c>
      <c r="R220" s="8"/>
    </row>
    <row r="221" spans="1:18" x14ac:dyDescent="0.3">
      <c r="A221" t="s">
        <v>272</v>
      </c>
      <c r="B221" t="s">
        <v>0</v>
      </c>
      <c r="C221">
        <v>294</v>
      </c>
      <c r="D221">
        <v>138</v>
      </c>
      <c r="E221">
        <v>66</v>
      </c>
      <c r="F221">
        <v>60</v>
      </c>
      <c r="G221">
        <v>60</v>
      </c>
      <c r="H221">
        <v>132</v>
      </c>
      <c r="I221">
        <v>45</v>
      </c>
      <c r="J221">
        <v>51</v>
      </c>
      <c r="K221">
        <v>81</v>
      </c>
      <c r="L221">
        <v>90</v>
      </c>
      <c r="M221">
        <v>87</v>
      </c>
      <c r="N221">
        <v>0</v>
      </c>
      <c r="O221">
        <v>0</v>
      </c>
      <c r="P221">
        <v>0</v>
      </c>
      <c r="Q221">
        <v>0</v>
      </c>
      <c r="R221" s="8"/>
    </row>
    <row r="222" spans="1:18" x14ac:dyDescent="0.3">
      <c r="A222" t="s">
        <v>273</v>
      </c>
      <c r="B222" t="s">
        <v>2</v>
      </c>
      <c r="C222">
        <v>216</v>
      </c>
      <c r="D222">
        <v>135</v>
      </c>
      <c r="E222">
        <v>237</v>
      </c>
      <c r="F222">
        <v>249</v>
      </c>
      <c r="G222">
        <v>144</v>
      </c>
      <c r="H222">
        <v>201</v>
      </c>
      <c r="I222">
        <v>81</v>
      </c>
      <c r="J222">
        <v>147</v>
      </c>
      <c r="K222">
        <v>138</v>
      </c>
      <c r="L222">
        <v>222</v>
      </c>
      <c r="M222">
        <v>132</v>
      </c>
      <c r="N222">
        <v>117</v>
      </c>
      <c r="O222">
        <v>207</v>
      </c>
      <c r="P222">
        <v>180</v>
      </c>
      <c r="Q222">
        <v>267</v>
      </c>
      <c r="R222" s="8"/>
    </row>
    <row r="223" spans="1:18" x14ac:dyDescent="0.3">
      <c r="A223" t="s">
        <v>274</v>
      </c>
      <c r="B223" t="s">
        <v>0</v>
      </c>
      <c r="C223">
        <v>204</v>
      </c>
      <c r="D223">
        <v>135</v>
      </c>
      <c r="E223">
        <v>186</v>
      </c>
      <c r="F223">
        <v>138</v>
      </c>
      <c r="G223">
        <v>120</v>
      </c>
      <c r="H223">
        <v>108</v>
      </c>
      <c r="I223">
        <v>66</v>
      </c>
      <c r="J223">
        <v>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8"/>
    </row>
    <row r="224" spans="1:18" x14ac:dyDescent="0.3">
      <c r="A224" t="s">
        <v>275</v>
      </c>
      <c r="B224" t="s">
        <v>0</v>
      </c>
      <c r="C224">
        <v>96</v>
      </c>
      <c r="D224">
        <v>135</v>
      </c>
      <c r="E224">
        <v>153</v>
      </c>
      <c r="F224">
        <v>129</v>
      </c>
      <c r="G224">
        <v>90</v>
      </c>
      <c r="H224">
        <v>60</v>
      </c>
      <c r="I224">
        <v>15</v>
      </c>
      <c r="J224">
        <v>51</v>
      </c>
      <c r="K224">
        <v>54</v>
      </c>
      <c r="L224">
        <v>63</v>
      </c>
      <c r="M224">
        <v>96</v>
      </c>
      <c r="N224">
        <v>102</v>
      </c>
      <c r="O224">
        <v>105</v>
      </c>
      <c r="P224">
        <v>57</v>
      </c>
      <c r="Q224">
        <v>141</v>
      </c>
      <c r="R224" s="8"/>
    </row>
    <row r="225" spans="1:18" x14ac:dyDescent="0.3">
      <c r="A225" t="s">
        <v>276</v>
      </c>
      <c r="B225" t="s">
        <v>0</v>
      </c>
      <c r="C225">
        <v>720</v>
      </c>
      <c r="D225">
        <v>135</v>
      </c>
      <c r="E225">
        <v>60</v>
      </c>
      <c r="F225">
        <v>72</v>
      </c>
      <c r="G225">
        <v>42</v>
      </c>
      <c r="H225">
        <v>69</v>
      </c>
      <c r="I225">
        <v>27</v>
      </c>
      <c r="J225">
        <v>39</v>
      </c>
      <c r="K225">
        <v>57</v>
      </c>
      <c r="L225">
        <v>108</v>
      </c>
      <c r="M225">
        <v>114</v>
      </c>
      <c r="N225">
        <v>72</v>
      </c>
      <c r="O225">
        <v>303</v>
      </c>
      <c r="P225">
        <v>342</v>
      </c>
      <c r="Q225">
        <v>261</v>
      </c>
      <c r="R225" s="8"/>
    </row>
    <row r="226" spans="1:18" x14ac:dyDescent="0.3">
      <c r="A226" t="s">
        <v>277</v>
      </c>
      <c r="B226" t="s">
        <v>2</v>
      </c>
      <c r="C226">
        <v>213</v>
      </c>
      <c r="D226">
        <v>132</v>
      </c>
      <c r="E226">
        <v>390</v>
      </c>
      <c r="F226">
        <v>282</v>
      </c>
      <c r="G226">
        <v>195</v>
      </c>
      <c r="H226">
        <v>216</v>
      </c>
      <c r="I226">
        <v>189</v>
      </c>
      <c r="J226">
        <v>198</v>
      </c>
      <c r="K226">
        <v>234</v>
      </c>
      <c r="L226">
        <v>201</v>
      </c>
      <c r="M226">
        <v>237</v>
      </c>
      <c r="N226">
        <v>225</v>
      </c>
      <c r="O226">
        <v>159</v>
      </c>
      <c r="P226">
        <v>183</v>
      </c>
      <c r="Q226">
        <v>450</v>
      </c>
      <c r="R226" s="8"/>
    </row>
    <row r="227" spans="1:18" x14ac:dyDescent="0.3">
      <c r="A227" t="s">
        <v>278</v>
      </c>
      <c r="B227" t="s">
        <v>1</v>
      </c>
      <c r="C227">
        <v>771</v>
      </c>
      <c r="D227">
        <v>132</v>
      </c>
      <c r="E227">
        <v>216</v>
      </c>
      <c r="F227">
        <v>171</v>
      </c>
      <c r="G227">
        <v>216</v>
      </c>
      <c r="H227">
        <v>270</v>
      </c>
      <c r="I227">
        <v>228</v>
      </c>
      <c r="J227">
        <v>210</v>
      </c>
      <c r="K227">
        <v>288</v>
      </c>
      <c r="L227">
        <v>360</v>
      </c>
      <c r="M227">
        <v>207</v>
      </c>
      <c r="N227">
        <v>177</v>
      </c>
      <c r="O227">
        <v>162</v>
      </c>
      <c r="P227">
        <v>150</v>
      </c>
      <c r="Q227">
        <v>63</v>
      </c>
      <c r="R227" s="8"/>
    </row>
    <row r="228" spans="1:18" x14ac:dyDescent="0.3">
      <c r="A228" t="s">
        <v>279</v>
      </c>
      <c r="B228" t="s">
        <v>1</v>
      </c>
      <c r="C228">
        <v>567</v>
      </c>
      <c r="D228">
        <v>132</v>
      </c>
      <c r="E228">
        <v>135</v>
      </c>
      <c r="F228">
        <v>207</v>
      </c>
      <c r="G228">
        <v>138</v>
      </c>
      <c r="H228">
        <v>117</v>
      </c>
      <c r="I228">
        <v>144</v>
      </c>
      <c r="J228">
        <v>51</v>
      </c>
      <c r="K228">
        <v>18</v>
      </c>
      <c r="L228">
        <v>126</v>
      </c>
      <c r="M228">
        <v>63</v>
      </c>
      <c r="N228">
        <v>0</v>
      </c>
      <c r="O228">
        <v>0</v>
      </c>
      <c r="P228">
        <v>0</v>
      </c>
      <c r="Q228">
        <v>0</v>
      </c>
      <c r="R228" s="8"/>
    </row>
    <row r="229" spans="1:18" x14ac:dyDescent="0.3">
      <c r="A229" t="s">
        <v>280</v>
      </c>
      <c r="B229" t="s">
        <v>0</v>
      </c>
      <c r="C229">
        <v>39</v>
      </c>
      <c r="D229">
        <v>132</v>
      </c>
      <c r="E229">
        <v>390</v>
      </c>
      <c r="F229">
        <v>210</v>
      </c>
      <c r="G229">
        <v>138</v>
      </c>
      <c r="H229">
        <v>96</v>
      </c>
      <c r="I229">
        <v>36</v>
      </c>
      <c r="J229">
        <v>12</v>
      </c>
      <c r="K229">
        <v>84</v>
      </c>
      <c r="L229">
        <v>45</v>
      </c>
      <c r="M229">
        <v>33</v>
      </c>
      <c r="N229">
        <v>39</v>
      </c>
      <c r="O229">
        <v>36</v>
      </c>
      <c r="P229">
        <v>0</v>
      </c>
      <c r="Q229">
        <v>0</v>
      </c>
      <c r="R229" s="8"/>
    </row>
    <row r="230" spans="1:18" x14ac:dyDescent="0.3">
      <c r="A230" t="s">
        <v>281</v>
      </c>
      <c r="B230" t="s">
        <v>0</v>
      </c>
      <c r="C230">
        <v>411</v>
      </c>
      <c r="D230">
        <v>132</v>
      </c>
      <c r="E230">
        <v>219</v>
      </c>
      <c r="F230">
        <v>132</v>
      </c>
      <c r="G230">
        <v>114</v>
      </c>
      <c r="H230">
        <v>117</v>
      </c>
      <c r="I230">
        <v>63</v>
      </c>
      <c r="J230">
        <v>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8"/>
    </row>
    <row r="231" spans="1:18" x14ac:dyDescent="0.3">
      <c r="A231" t="s">
        <v>282</v>
      </c>
      <c r="B231" t="s">
        <v>0</v>
      </c>
      <c r="C231">
        <v>267</v>
      </c>
      <c r="D231">
        <v>132</v>
      </c>
      <c r="E231">
        <v>162</v>
      </c>
      <c r="F231">
        <v>114</v>
      </c>
      <c r="G231">
        <v>60</v>
      </c>
      <c r="H231">
        <v>66</v>
      </c>
      <c r="I231">
        <v>54</v>
      </c>
      <c r="J231">
        <v>75</v>
      </c>
      <c r="K231">
        <v>102</v>
      </c>
      <c r="L231">
        <v>150</v>
      </c>
      <c r="M231">
        <v>123</v>
      </c>
      <c r="N231">
        <v>147</v>
      </c>
      <c r="O231">
        <v>57</v>
      </c>
      <c r="P231">
        <v>42</v>
      </c>
      <c r="Q231">
        <v>15</v>
      </c>
      <c r="R231" s="8"/>
    </row>
    <row r="232" spans="1:18" x14ac:dyDescent="0.3">
      <c r="A232" t="s">
        <v>283</v>
      </c>
      <c r="B232" t="s">
        <v>0</v>
      </c>
      <c r="C232">
        <v>243</v>
      </c>
      <c r="D232">
        <v>132</v>
      </c>
      <c r="E232">
        <v>135</v>
      </c>
      <c r="F232">
        <v>210</v>
      </c>
      <c r="G232">
        <v>165</v>
      </c>
      <c r="H232">
        <v>207</v>
      </c>
      <c r="I232">
        <v>138</v>
      </c>
      <c r="J232">
        <v>21</v>
      </c>
      <c r="K232">
        <v>24</v>
      </c>
      <c r="L232">
        <v>168</v>
      </c>
      <c r="M232">
        <v>57</v>
      </c>
      <c r="N232">
        <v>0</v>
      </c>
      <c r="O232">
        <v>0</v>
      </c>
      <c r="P232">
        <v>0</v>
      </c>
      <c r="Q232">
        <v>0</v>
      </c>
      <c r="R232" s="8"/>
    </row>
    <row r="233" spans="1:18" x14ac:dyDescent="0.3">
      <c r="A233" t="s">
        <v>284</v>
      </c>
      <c r="B233" t="s">
        <v>0</v>
      </c>
      <c r="C233">
        <v>1167</v>
      </c>
      <c r="D233">
        <v>132</v>
      </c>
      <c r="E233">
        <v>81</v>
      </c>
      <c r="F233">
        <v>141</v>
      </c>
      <c r="G233">
        <v>96</v>
      </c>
      <c r="H233">
        <v>81</v>
      </c>
      <c r="I233">
        <v>150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8"/>
    </row>
    <row r="234" spans="1:18" x14ac:dyDescent="0.3">
      <c r="A234" t="s">
        <v>285</v>
      </c>
      <c r="B234" t="s">
        <v>0</v>
      </c>
      <c r="C234">
        <v>126</v>
      </c>
      <c r="D234">
        <v>132</v>
      </c>
      <c r="E234">
        <v>69</v>
      </c>
      <c r="F234">
        <v>54</v>
      </c>
      <c r="G234">
        <v>33</v>
      </c>
      <c r="H234">
        <v>36</v>
      </c>
      <c r="I234">
        <v>21</v>
      </c>
      <c r="J234">
        <v>45</v>
      </c>
      <c r="K234">
        <v>54</v>
      </c>
      <c r="L234">
        <v>69</v>
      </c>
      <c r="M234">
        <v>60</v>
      </c>
      <c r="N234">
        <v>0</v>
      </c>
      <c r="O234">
        <v>0</v>
      </c>
      <c r="P234">
        <v>0</v>
      </c>
      <c r="Q234">
        <v>0</v>
      </c>
      <c r="R234" s="8"/>
    </row>
    <row r="235" spans="1:18" x14ac:dyDescent="0.3">
      <c r="A235" t="s">
        <v>286</v>
      </c>
      <c r="B235" t="s">
        <v>0</v>
      </c>
      <c r="C235">
        <v>327</v>
      </c>
      <c r="D235">
        <v>132</v>
      </c>
      <c r="E235">
        <v>36</v>
      </c>
      <c r="F235">
        <v>93</v>
      </c>
      <c r="G235">
        <v>99</v>
      </c>
      <c r="H235">
        <v>120</v>
      </c>
      <c r="I235">
        <v>78</v>
      </c>
      <c r="J235">
        <v>72</v>
      </c>
      <c r="K235">
        <v>99</v>
      </c>
      <c r="L235">
        <v>270</v>
      </c>
      <c r="M235">
        <v>324</v>
      </c>
      <c r="N235">
        <v>285</v>
      </c>
      <c r="O235">
        <v>435</v>
      </c>
      <c r="P235">
        <v>105</v>
      </c>
      <c r="Q235">
        <v>0</v>
      </c>
      <c r="R235" s="8"/>
    </row>
    <row r="236" spans="1:18" x14ac:dyDescent="0.3">
      <c r="A236" t="s">
        <v>287</v>
      </c>
      <c r="B236" t="s">
        <v>0</v>
      </c>
      <c r="C236">
        <v>51</v>
      </c>
      <c r="D236">
        <v>129</v>
      </c>
      <c r="E236">
        <v>354</v>
      </c>
      <c r="F236">
        <v>399</v>
      </c>
      <c r="G236">
        <v>285</v>
      </c>
      <c r="H236">
        <v>72</v>
      </c>
      <c r="I236">
        <v>117</v>
      </c>
      <c r="J236">
        <v>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8"/>
    </row>
    <row r="237" spans="1:18" x14ac:dyDescent="0.3">
      <c r="A237" t="s">
        <v>288</v>
      </c>
      <c r="B237" t="s">
        <v>0</v>
      </c>
      <c r="C237">
        <v>381</v>
      </c>
      <c r="D237">
        <v>129</v>
      </c>
      <c r="E237">
        <v>153</v>
      </c>
      <c r="F237">
        <v>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8"/>
    </row>
    <row r="238" spans="1:18" x14ac:dyDescent="0.3">
      <c r="A238" t="s">
        <v>289</v>
      </c>
      <c r="B238" t="s">
        <v>0</v>
      </c>
      <c r="C238">
        <v>228</v>
      </c>
      <c r="D238">
        <v>129</v>
      </c>
      <c r="E238">
        <v>117</v>
      </c>
      <c r="F238">
        <v>156</v>
      </c>
      <c r="G238">
        <v>96</v>
      </c>
      <c r="H238">
        <v>21</v>
      </c>
      <c r="I238">
        <v>75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8"/>
    </row>
    <row r="239" spans="1:18" x14ac:dyDescent="0.3">
      <c r="A239" t="s">
        <v>290</v>
      </c>
      <c r="B239" t="s">
        <v>0</v>
      </c>
      <c r="C239">
        <v>996</v>
      </c>
      <c r="D239">
        <v>129</v>
      </c>
      <c r="E239">
        <v>51</v>
      </c>
      <c r="F239">
        <v>42</v>
      </c>
      <c r="G239">
        <v>54</v>
      </c>
      <c r="H239">
        <v>54</v>
      </c>
      <c r="I239">
        <v>42</v>
      </c>
      <c r="J239">
        <v>27</v>
      </c>
      <c r="K239">
        <v>15</v>
      </c>
      <c r="L239">
        <v>42</v>
      </c>
      <c r="M239">
        <v>0</v>
      </c>
      <c r="N239">
        <v>0</v>
      </c>
      <c r="O239">
        <v>0</v>
      </c>
      <c r="P239">
        <v>0</v>
      </c>
      <c r="Q239">
        <v>0</v>
      </c>
      <c r="R239" s="8"/>
    </row>
    <row r="240" spans="1:18" x14ac:dyDescent="0.3">
      <c r="A240" t="s">
        <v>291</v>
      </c>
      <c r="B240" t="s">
        <v>0</v>
      </c>
      <c r="C240">
        <v>1269</v>
      </c>
      <c r="D240">
        <v>126</v>
      </c>
      <c r="E240">
        <v>96</v>
      </c>
      <c r="F240">
        <v>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8"/>
    </row>
    <row r="241" spans="1:18" x14ac:dyDescent="0.3">
      <c r="A241" t="s">
        <v>292</v>
      </c>
      <c r="B241" t="s">
        <v>0</v>
      </c>
      <c r="C241">
        <v>927</v>
      </c>
      <c r="D241">
        <v>126</v>
      </c>
      <c r="E241">
        <v>84</v>
      </c>
      <c r="F241">
        <v>63</v>
      </c>
      <c r="G241">
        <v>33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8"/>
    </row>
    <row r="242" spans="1:18" x14ac:dyDescent="0.3">
      <c r="A242" t="s">
        <v>293</v>
      </c>
      <c r="B242" t="s">
        <v>0</v>
      </c>
      <c r="C242">
        <v>324</v>
      </c>
      <c r="D242">
        <v>126</v>
      </c>
      <c r="E242">
        <v>51</v>
      </c>
      <c r="F242">
        <v>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8"/>
    </row>
    <row r="243" spans="1:18" x14ac:dyDescent="0.3">
      <c r="A243" t="s">
        <v>294</v>
      </c>
      <c r="B243" t="s">
        <v>0</v>
      </c>
      <c r="C243">
        <v>126</v>
      </c>
      <c r="D243">
        <v>126</v>
      </c>
      <c r="E243">
        <v>24</v>
      </c>
      <c r="F243">
        <v>75</v>
      </c>
      <c r="G243">
        <v>21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8"/>
    </row>
    <row r="244" spans="1:18" x14ac:dyDescent="0.3">
      <c r="A244" t="s">
        <v>295</v>
      </c>
      <c r="B244" t="s">
        <v>0</v>
      </c>
      <c r="C244">
        <v>525</v>
      </c>
      <c r="D244">
        <v>123</v>
      </c>
      <c r="E244">
        <v>144</v>
      </c>
      <c r="F244">
        <v>75</v>
      </c>
      <c r="G244">
        <v>69</v>
      </c>
      <c r="H244">
        <v>150</v>
      </c>
      <c r="I244">
        <v>123</v>
      </c>
      <c r="J244">
        <v>141</v>
      </c>
      <c r="K244">
        <v>162</v>
      </c>
      <c r="L244">
        <v>141</v>
      </c>
      <c r="M244">
        <v>255</v>
      </c>
      <c r="N244">
        <v>153</v>
      </c>
      <c r="O244">
        <v>45</v>
      </c>
      <c r="P244">
        <v>78</v>
      </c>
      <c r="Q244">
        <v>60</v>
      </c>
      <c r="R244" s="8"/>
    </row>
    <row r="245" spans="1:18" x14ac:dyDescent="0.3">
      <c r="A245" t="s">
        <v>296</v>
      </c>
      <c r="B245" t="s">
        <v>0</v>
      </c>
      <c r="C245">
        <v>72</v>
      </c>
      <c r="D245">
        <v>117</v>
      </c>
      <c r="E245">
        <v>168</v>
      </c>
      <c r="F245">
        <v>192</v>
      </c>
      <c r="G245">
        <v>42</v>
      </c>
      <c r="H245">
        <v>84</v>
      </c>
      <c r="I245">
        <v>60</v>
      </c>
      <c r="J245">
        <v>45</v>
      </c>
      <c r="K245">
        <v>72</v>
      </c>
      <c r="L245">
        <v>30</v>
      </c>
      <c r="M245">
        <v>0</v>
      </c>
      <c r="N245">
        <v>0</v>
      </c>
      <c r="O245">
        <v>0</v>
      </c>
      <c r="P245">
        <v>0</v>
      </c>
      <c r="Q245">
        <v>0</v>
      </c>
      <c r="R245" s="8"/>
    </row>
    <row r="246" spans="1:18" x14ac:dyDescent="0.3">
      <c r="A246" t="s">
        <v>297</v>
      </c>
      <c r="B246" t="s">
        <v>0</v>
      </c>
      <c r="C246">
        <v>99</v>
      </c>
      <c r="D246">
        <v>117</v>
      </c>
      <c r="E246">
        <v>102</v>
      </c>
      <c r="F246">
        <v>69</v>
      </c>
      <c r="G246">
        <v>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8"/>
    </row>
    <row r="247" spans="1:18" x14ac:dyDescent="0.3">
      <c r="A247" t="s">
        <v>298</v>
      </c>
      <c r="B247" t="s">
        <v>0</v>
      </c>
      <c r="C247">
        <v>105</v>
      </c>
      <c r="D247">
        <v>117</v>
      </c>
      <c r="E247">
        <v>72</v>
      </c>
      <c r="F247">
        <v>132</v>
      </c>
      <c r="G247">
        <v>72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8"/>
    </row>
    <row r="248" spans="1:18" x14ac:dyDescent="0.3">
      <c r="A248" t="s">
        <v>299</v>
      </c>
      <c r="B248" t="s">
        <v>1</v>
      </c>
      <c r="C248">
        <v>2925</v>
      </c>
      <c r="D248">
        <v>114</v>
      </c>
      <c r="E248">
        <v>162</v>
      </c>
      <c r="F248">
        <v>162</v>
      </c>
      <c r="G248">
        <v>252</v>
      </c>
      <c r="H248">
        <v>591</v>
      </c>
      <c r="I248">
        <v>531</v>
      </c>
      <c r="J248">
        <v>606</v>
      </c>
      <c r="K248">
        <v>348</v>
      </c>
      <c r="L248">
        <v>582</v>
      </c>
      <c r="M248">
        <v>153</v>
      </c>
      <c r="N248">
        <v>96</v>
      </c>
      <c r="O248">
        <v>72</v>
      </c>
      <c r="P248">
        <v>84</v>
      </c>
      <c r="Q248">
        <v>42</v>
      </c>
      <c r="R248" s="8"/>
    </row>
    <row r="249" spans="1:18" x14ac:dyDescent="0.3">
      <c r="A249" t="s">
        <v>300</v>
      </c>
      <c r="B249" t="s">
        <v>0</v>
      </c>
      <c r="C249">
        <v>57</v>
      </c>
      <c r="D249">
        <v>114</v>
      </c>
      <c r="E249">
        <v>240</v>
      </c>
      <c r="F249">
        <v>186</v>
      </c>
      <c r="G249">
        <v>90</v>
      </c>
      <c r="H249">
        <v>144</v>
      </c>
      <c r="I249">
        <v>108</v>
      </c>
      <c r="J249">
        <v>204</v>
      </c>
      <c r="K249">
        <v>228</v>
      </c>
      <c r="L249">
        <v>120</v>
      </c>
      <c r="M249">
        <v>336</v>
      </c>
      <c r="N249">
        <v>252</v>
      </c>
      <c r="O249">
        <v>75</v>
      </c>
      <c r="P249">
        <v>30</v>
      </c>
      <c r="Q249">
        <v>108</v>
      </c>
      <c r="R249" s="8"/>
    </row>
    <row r="250" spans="1:18" x14ac:dyDescent="0.3">
      <c r="A250" t="s">
        <v>301</v>
      </c>
      <c r="B250" t="s">
        <v>0</v>
      </c>
      <c r="C250">
        <v>825</v>
      </c>
      <c r="D250">
        <v>114</v>
      </c>
      <c r="E250">
        <v>105</v>
      </c>
      <c r="F250">
        <v>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8"/>
    </row>
    <row r="251" spans="1:18" x14ac:dyDescent="0.3">
      <c r="A251" t="s">
        <v>302</v>
      </c>
      <c r="B251" t="s">
        <v>0</v>
      </c>
      <c r="C251">
        <v>660</v>
      </c>
      <c r="D251">
        <v>114</v>
      </c>
      <c r="E251">
        <v>96</v>
      </c>
      <c r="F251">
        <v>60</v>
      </c>
      <c r="G251">
        <v>6</v>
      </c>
      <c r="H251">
        <v>3</v>
      </c>
      <c r="I251">
        <v>12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8"/>
    </row>
    <row r="252" spans="1:18" x14ac:dyDescent="0.3">
      <c r="A252" t="s">
        <v>303</v>
      </c>
      <c r="B252" t="s">
        <v>0</v>
      </c>
      <c r="C252">
        <v>435</v>
      </c>
      <c r="D252">
        <v>111</v>
      </c>
      <c r="E252">
        <v>273</v>
      </c>
      <c r="F252">
        <v>330</v>
      </c>
      <c r="G252">
        <v>78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8"/>
    </row>
    <row r="253" spans="1:18" x14ac:dyDescent="0.3">
      <c r="A253" t="s">
        <v>304</v>
      </c>
      <c r="B253" t="s">
        <v>0</v>
      </c>
      <c r="C253">
        <v>66</v>
      </c>
      <c r="D253">
        <v>111</v>
      </c>
      <c r="E253">
        <v>126</v>
      </c>
      <c r="F253">
        <v>111</v>
      </c>
      <c r="G253">
        <v>69</v>
      </c>
      <c r="H253">
        <v>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8"/>
    </row>
    <row r="254" spans="1:18" x14ac:dyDescent="0.3">
      <c r="A254" t="s">
        <v>305</v>
      </c>
      <c r="B254" t="s">
        <v>0</v>
      </c>
      <c r="C254">
        <v>255</v>
      </c>
      <c r="D254">
        <v>111</v>
      </c>
      <c r="E254">
        <v>114</v>
      </c>
      <c r="F254">
        <v>105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8"/>
    </row>
    <row r="255" spans="1:18" x14ac:dyDescent="0.3">
      <c r="A255" t="s">
        <v>306</v>
      </c>
      <c r="B255" t="s">
        <v>0</v>
      </c>
      <c r="C255">
        <v>189</v>
      </c>
      <c r="D255">
        <v>111</v>
      </c>
      <c r="E255">
        <v>108</v>
      </c>
      <c r="F255">
        <v>150</v>
      </c>
      <c r="G255">
        <v>78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8"/>
    </row>
    <row r="256" spans="1:18" x14ac:dyDescent="0.3">
      <c r="A256" t="s">
        <v>307</v>
      </c>
      <c r="B256" t="s">
        <v>0</v>
      </c>
      <c r="C256">
        <v>81</v>
      </c>
      <c r="D256">
        <v>111</v>
      </c>
      <c r="E256">
        <v>27</v>
      </c>
      <c r="F256">
        <v>84</v>
      </c>
      <c r="G256">
        <v>12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8"/>
    </row>
    <row r="257" spans="1:18" x14ac:dyDescent="0.3">
      <c r="A257" t="s">
        <v>308</v>
      </c>
      <c r="B257" t="s">
        <v>0</v>
      </c>
      <c r="C257">
        <v>36</v>
      </c>
      <c r="D257">
        <v>111</v>
      </c>
      <c r="E257">
        <v>0</v>
      </c>
      <c r="F257">
        <v>12</v>
      </c>
      <c r="G257">
        <v>78</v>
      </c>
      <c r="H257">
        <v>135</v>
      </c>
      <c r="I257">
        <v>36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8"/>
    </row>
    <row r="258" spans="1:18" x14ac:dyDescent="0.3">
      <c r="A258" t="s">
        <v>309</v>
      </c>
      <c r="B258" t="s">
        <v>0</v>
      </c>
      <c r="C258">
        <v>174</v>
      </c>
      <c r="D258">
        <v>108</v>
      </c>
      <c r="E258">
        <v>105</v>
      </c>
      <c r="F258">
        <v>33</v>
      </c>
      <c r="G258">
        <v>102</v>
      </c>
      <c r="H258">
        <v>27</v>
      </c>
      <c r="I258">
        <v>57</v>
      </c>
      <c r="J258">
        <v>27</v>
      </c>
      <c r="K258">
        <v>51</v>
      </c>
      <c r="L258">
        <v>147</v>
      </c>
      <c r="M258">
        <v>75</v>
      </c>
      <c r="N258">
        <v>69</v>
      </c>
      <c r="O258">
        <v>51</v>
      </c>
      <c r="P258">
        <v>27</v>
      </c>
      <c r="Q258">
        <v>177</v>
      </c>
      <c r="R258" s="8"/>
    </row>
    <row r="259" spans="1:18" x14ac:dyDescent="0.3">
      <c r="A259" t="s">
        <v>310</v>
      </c>
      <c r="B259" t="s">
        <v>0</v>
      </c>
      <c r="C259">
        <v>105</v>
      </c>
      <c r="D259">
        <v>108</v>
      </c>
      <c r="E259">
        <v>81</v>
      </c>
      <c r="F259">
        <v>42</v>
      </c>
      <c r="G259">
        <v>24</v>
      </c>
      <c r="H259">
        <v>18</v>
      </c>
      <c r="I259">
        <v>24</v>
      </c>
      <c r="J259">
        <v>24</v>
      </c>
      <c r="K259">
        <v>54</v>
      </c>
      <c r="L259">
        <v>0</v>
      </c>
      <c r="M259">
        <v>3</v>
      </c>
      <c r="N259">
        <v>9</v>
      </c>
      <c r="O259">
        <v>12</v>
      </c>
      <c r="P259">
        <v>9</v>
      </c>
      <c r="Q259">
        <v>30</v>
      </c>
      <c r="R259" s="8"/>
    </row>
    <row r="260" spans="1:18" x14ac:dyDescent="0.3">
      <c r="A260" t="s">
        <v>311</v>
      </c>
      <c r="B260" t="s">
        <v>1</v>
      </c>
      <c r="C260">
        <v>105</v>
      </c>
      <c r="D260">
        <v>105</v>
      </c>
      <c r="E260">
        <v>177</v>
      </c>
      <c r="F260">
        <v>117</v>
      </c>
      <c r="G260">
        <v>189</v>
      </c>
      <c r="H260">
        <v>129</v>
      </c>
      <c r="I260">
        <v>51</v>
      </c>
      <c r="J260">
        <v>75</v>
      </c>
      <c r="K260">
        <v>171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 s="8"/>
    </row>
    <row r="261" spans="1:18" x14ac:dyDescent="0.3">
      <c r="A261" t="s">
        <v>312</v>
      </c>
      <c r="B261" t="s">
        <v>1</v>
      </c>
      <c r="C261">
        <v>486</v>
      </c>
      <c r="D261">
        <v>105</v>
      </c>
      <c r="E261">
        <v>147</v>
      </c>
      <c r="F261">
        <v>111</v>
      </c>
      <c r="G261">
        <v>168</v>
      </c>
      <c r="H261">
        <v>171</v>
      </c>
      <c r="I261">
        <v>75</v>
      </c>
      <c r="J261">
        <v>93</v>
      </c>
      <c r="K261">
        <v>54</v>
      </c>
      <c r="L261">
        <v>42</v>
      </c>
      <c r="M261">
        <v>0</v>
      </c>
      <c r="N261">
        <v>0</v>
      </c>
      <c r="O261">
        <v>0</v>
      </c>
      <c r="P261">
        <v>0</v>
      </c>
      <c r="Q261">
        <v>0</v>
      </c>
      <c r="R261" s="8"/>
    </row>
    <row r="262" spans="1:18" x14ac:dyDescent="0.3">
      <c r="A262" t="s">
        <v>313</v>
      </c>
      <c r="B262" t="s">
        <v>0</v>
      </c>
      <c r="C262">
        <v>99</v>
      </c>
      <c r="D262">
        <v>105</v>
      </c>
      <c r="E262">
        <v>120</v>
      </c>
      <c r="F262">
        <v>78</v>
      </c>
      <c r="G262">
        <v>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8"/>
    </row>
    <row r="263" spans="1:18" x14ac:dyDescent="0.3">
      <c r="A263" t="s">
        <v>314</v>
      </c>
      <c r="B263" t="s">
        <v>0</v>
      </c>
      <c r="C263">
        <v>555</v>
      </c>
      <c r="D263">
        <v>105</v>
      </c>
      <c r="E263">
        <v>111</v>
      </c>
      <c r="F263">
        <v>144</v>
      </c>
      <c r="G263">
        <v>123</v>
      </c>
      <c r="H263">
        <v>141</v>
      </c>
      <c r="I263">
        <v>153</v>
      </c>
      <c r="J263">
        <v>48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8"/>
    </row>
    <row r="264" spans="1:18" x14ac:dyDescent="0.3">
      <c r="A264" t="s">
        <v>315</v>
      </c>
      <c r="B264" t="s">
        <v>0</v>
      </c>
      <c r="C264">
        <v>87</v>
      </c>
      <c r="D264">
        <v>105</v>
      </c>
      <c r="E264">
        <v>21</v>
      </c>
      <c r="F264">
        <v>63</v>
      </c>
      <c r="G264">
        <v>30</v>
      </c>
      <c r="H264">
        <v>57</v>
      </c>
      <c r="I264">
        <v>39</v>
      </c>
      <c r="J264">
        <v>24</v>
      </c>
      <c r="K264">
        <v>51</v>
      </c>
      <c r="L264">
        <v>120</v>
      </c>
      <c r="M264">
        <v>153</v>
      </c>
      <c r="N264">
        <v>54</v>
      </c>
      <c r="O264">
        <v>210</v>
      </c>
      <c r="P264">
        <v>0</v>
      </c>
      <c r="Q264">
        <v>0</v>
      </c>
      <c r="R264" s="8"/>
    </row>
    <row r="265" spans="1:18" x14ac:dyDescent="0.3">
      <c r="A265" t="s">
        <v>316</v>
      </c>
      <c r="B265" t="s">
        <v>0</v>
      </c>
      <c r="C265">
        <v>48</v>
      </c>
      <c r="D265">
        <v>102</v>
      </c>
      <c r="E265">
        <v>177</v>
      </c>
      <c r="F265">
        <v>42</v>
      </c>
      <c r="G265">
        <v>111</v>
      </c>
      <c r="H265">
        <v>42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8"/>
    </row>
    <row r="266" spans="1:18" x14ac:dyDescent="0.3">
      <c r="A266" t="s">
        <v>317</v>
      </c>
      <c r="B266" t="s">
        <v>0</v>
      </c>
      <c r="C266">
        <v>891</v>
      </c>
      <c r="D266">
        <v>102</v>
      </c>
      <c r="E266">
        <v>111</v>
      </c>
      <c r="F266">
        <v>51</v>
      </c>
      <c r="G266">
        <v>39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8"/>
    </row>
    <row r="267" spans="1:18" x14ac:dyDescent="0.3">
      <c r="A267" t="s">
        <v>318</v>
      </c>
      <c r="B267" t="s">
        <v>0</v>
      </c>
      <c r="C267">
        <v>318</v>
      </c>
      <c r="D267">
        <v>102</v>
      </c>
      <c r="E267">
        <v>84</v>
      </c>
      <c r="F267">
        <v>90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8"/>
    </row>
    <row r="268" spans="1:18" x14ac:dyDescent="0.3">
      <c r="A268" t="s">
        <v>319</v>
      </c>
      <c r="B268" t="s">
        <v>0</v>
      </c>
      <c r="C268">
        <v>126</v>
      </c>
      <c r="D268">
        <v>99</v>
      </c>
      <c r="E268">
        <v>165</v>
      </c>
      <c r="F268">
        <v>249</v>
      </c>
      <c r="G268">
        <v>90</v>
      </c>
      <c r="H268">
        <v>36</v>
      </c>
      <c r="I268">
        <v>6</v>
      </c>
      <c r="J268">
        <v>42</v>
      </c>
      <c r="K268">
        <v>72</v>
      </c>
      <c r="L268">
        <v>102</v>
      </c>
      <c r="M268">
        <v>78</v>
      </c>
      <c r="N268">
        <v>60</v>
      </c>
      <c r="O268">
        <v>63</v>
      </c>
      <c r="P268">
        <v>78</v>
      </c>
      <c r="Q268">
        <v>24</v>
      </c>
      <c r="R268" s="8"/>
    </row>
    <row r="269" spans="1:18" x14ac:dyDescent="0.3">
      <c r="A269" t="s">
        <v>320</v>
      </c>
      <c r="B269" t="s">
        <v>0</v>
      </c>
      <c r="C269">
        <v>189</v>
      </c>
      <c r="D269">
        <v>99</v>
      </c>
      <c r="E269">
        <v>102</v>
      </c>
      <c r="F269">
        <v>60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8"/>
    </row>
    <row r="270" spans="1:18" x14ac:dyDescent="0.3">
      <c r="A270" t="s">
        <v>321</v>
      </c>
      <c r="B270" t="s">
        <v>0</v>
      </c>
      <c r="C270">
        <v>720</v>
      </c>
      <c r="D270">
        <v>99</v>
      </c>
      <c r="E270">
        <v>90</v>
      </c>
      <c r="F270">
        <v>135</v>
      </c>
      <c r="G270">
        <v>45</v>
      </c>
      <c r="H270">
        <v>87</v>
      </c>
      <c r="I270">
        <v>57</v>
      </c>
      <c r="J270">
        <v>84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8"/>
    </row>
    <row r="271" spans="1:18" x14ac:dyDescent="0.3">
      <c r="A271" t="s">
        <v>322</v>
      </c>
      <c r="B271" t="s">
        <v>0</v>
      </c>
      <c r="C271">
        <v>114</v>
      </c>
      <c r="D271">
        <v>96</v>
      </c>
      <c r="E271">
        <v>150</v>
      </c>
      <c r="F271">
        <v>231</v>
      </c>
      <c r="G271">
        <v>117</v>
      </c>
      <c r="H271">
        <v>111</v>
      </c>
      <c r="I271">
        <v>15</v>
      </c>
      <c r="J271">
        <v>99</v>
      </c>
      <c r="K271">
        <v>429</v>
      </c>
      <c r="L271">
        <v>111</v>
      </c>
      <c r="M271">
        <v>138</v>
      </c>
      <c r="N271">
        <v>153</v>
      </c>
      <c r="O271">
        <v>42</v>
      </c>
      <c r="P271">
        <v>60</v>
      </c>
      <c r="Q271">
        <v>120</v>
      </c>
      <c r="R271" s="8"/>
    </row>
    <row r="272" spans="1:18" x14ac:dyDescent="0.3">
      <c r="A272" t="s">
        <v>323</v>
      </c>
      <c r="B272" t="s">
        <v>0</v>
      </c>
      <c r="C272">
        <v>165</v>
      </c>
      <c r="D272">
        <v>96</v>
      </c>
      <c r="E272">
        <v>138</v>
      </c>
      <c r="F272">
        <v>183</v>
      </c>
      <c r="G272">
        <v>99</v>
      </c>
      <c r="H272">
        <v>120</v>
      </c>
      <c r="I272">
        <v>90</v>
      </c>
      <c r="J272">
        <v>90</v>
      </c>
      <c r="K272">
        <v>237</v>
      </c>
      <c r="L272">
        <v>225</v>
      </c>
      <c r="M272">
        <v>273</v>
      </c>
      <c r="N272">
        <v>291</v>
      </c>
      <c r="O272">
        <v>963</v>
      </c>
      <c r="P272">
        <v>555</v>
      </c>
      <c r="Q272">
        <v>564</v>
      </c>
      <c r="R272" s="8"/>
    </row>
    <row r="273" spans="1:18" x14ac:dyDescent="0.3">
      <c r="A273" t="s">
        <v>324</v>
      </c>
      <c r="B273" t="s">
        <v>0</v>
      </c>
      <c r="C273">
        <v>549</v>
      </c>
      <c r="D273">
        <v>96</v>
      </c>
      <c r="E273">
        <v>102</v>
      </c>
      <c r="F273">
        <v>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8"/>
    </row>
    <row r="274" spans="1:18" x14ac:dyDescent="0.3">
      <c r="A274" t="s">
        <v>325</v>
      </c>
      <c r="B274" t="s">
        <v>0</v>
      </c>
      <c r="C274">
        <v>177</v>
      </c>
      <c r="D274">
        <v>96</v>
      </c>
      <c r="E274">
        <v>84</v>
      </c>
      <c r="F274">
        <v>117</v>
      </c>
      <c r="G274">
        <v>51</v>
      </c>
      <c r="H274">
        <v>102</v>
      </c>
      <c r="I274">
        <v>228</v>
      </c>
      <c r="J274">
        <v>177</v>
      </c>
      <c r="K274">
        <v>129</v>
      </c>
      <c r="L274">
        <v>333</v>
      </c>
      <c r="M274">
        <v>75</v>
      </c>
      <c r="N274">
        <v>132</v>
      </c>
      <c r="O274">
        <v>21</v>
      </c>
      <c r="P274">
        <v>66</v>
      </c>
      <c r="Q274">
        <v>120</v>
      </c>
      <c r="R274" s="8"/>
    </row>
    <row r="275" spans="1:18" x14ac:dyDescent="0.3">
      <c r="A275" t="s">
        <v>326</v>
      </c>
      <c r="B275" t="s">
        <v>0</v>
      </c>
      <c r="C275">
        <v>120</v>
      </c>
      <c r="D275">
        <v>96</v>
      </c>
      <c r="E275">
        <v>72</v>
      </c>
      <c r="F275">
        <v>150</v>
      </c>
      <c r="G275">
        <v>78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8"/>
    </row>
    <row r="276" spans="1:18" x14ac:dyDescent="0.3">
      <c r="A276" t="s">
        <v>327</v>
      </c>
      <c r="B276" t="s">
        <v>0</v>
      </c>
      <c r="C276">
        <v>138</v>
      </c>
      <c r="D276">
        <v>93</v>
      </c>
      <c r="E276">
        <v>126</v>
      </c>
      <c r="F276">
        <v>123</v>
      </c>
      <c r="G276">
        <v>36</v>
      </c>
      <c r="H276">
        <v>24</v>
      </c>
      <c r="I276">
        <v>9</v>
      </c>
      <c r="J276">
        <v>9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8"/>
    </row>
    <row r="277" spans="1:18" x14ac:dyDescent="0.3">
      <c r="A277" t="s">
        <v>328</v>
      </c>
      <c r="B277" t="s">
        <v>0</v>
      </c>
      <c r="C277">
        <v>48</v>
      </c>
      <c r="D277">
        <v>93</v>
      </c>
      <c r="E277">
        <v>45</v>
      </c>
      <c r="F277">
        <v>57</v>
      </c>
      <c r="G277">
        <v>75</v>
      </c>
      <c r="H277">
        <v>48</v>
      </c>
      <c r="I277">
        <v>36</v>
      </c>
      <c r="J277">
        <v>6</v>
      </c>
      <c r="K277">
        <v>0</v>
      </c>
      <c r="L277">
        <v>6</v>
      </c>
      <c r="M277">
        <v>9</v>
      </c>
      <c r="N277">
        <v>6</v>
      </c>
      <c r="O277">
        <v>138</v>
      </c>
      <c r="P277">
        <v>126</v>
      </c>
      <c r="Q277">
        <v>33</v>
      </c>
      <c r="R277" s="8"/>
    </row>
    <row r="278" spans="1:18" x14ac:dyDescent="0.3">
      <c r="A278" t="s">
        <v>329</v>
      </c>
      <c r="B278" t="s">
        <v>2</v>
      </c>
      <c r="C278">
        <v>315</v>
      </c>
      <c r="D278">
        <v>90</v>
      </c>
      <c r="E278">
        <v>165</v>
      </c>
      <c r="F278">
        <v>147</v>
      </c>
      <c r="G278">
        <v>120</v>
      </c>
      <c r="H278">
        <v>108</v>
      </c>
      <c r="I278">
        <v>93</v>
      </c>
      <c r="J278">
        <v>93</v>
      </c>
      <c r="K278">
        <v>150</v>
      </c>
      <c r="L278">
        <v>156</v>
      </c>
      <c r="M278">
        <v>129</v>
      </c>
      <c r="N278">
        <v>138</v>
      </c>
      <c r="O278">
        <v>15</v>
      </c>
      <c r="P278">
        <v>3</v>
      </c>
      <c r="Q278">
        <v>6</v>
      </c>
      <c r="R278" s="8"/>
    </row>
    <row r="279" spans="1:18" x14ac:dyDescent="0.3">
      <c r="A279" t="s">
        <v>330</v>
      </c>
      <c r="B279" t="s">
        <v>2</v>
      </c>
      <c r="C279">
        <v>237</v>
      </c>
      <c r="D279">
        <v>90</v>
      </c>
      <c r="E279">
        <v>111</v>
      </c>
      <c r="F279">
        <v>111</v>
      </c>
      <c r="G279">
        <v>126</v>
      </c>
      <c r="H279">
        <v>126</v>
      </c>
      <c r="I279">
        <v>87</v>
      </c>
      <c r="J279">
        <v>54</v>
      </c>
      <c r="K279">
        <v>15</v>
      </c>
      <c r="L279">
        <v>39</v>
      </c>
      <c r="M279">
        <v>12</v>
      </c>
      <c r="N279">
        <v>0</v>
      </c>
      <c r="O279">
        <v>0</v>
      </c>
      <c r="P279">
        <v>0</v>
      </c>
      <c r="Q279">
        <v>0</v>
      </c>
      <c r="R279" s="8"/>
    </row>
    <row r="280" spans="1:18" x14ac:dyDescent="0.3">
      <c r="A280" t="s">
        <v>331</v>
      </c>
      <c r="B280" t="s">
        <v>0</v>
      </c>
      <c r="C280">
        <v>144</v>
      </c>
      <c r="D280">
        <v>90</v>
      </c>
      <c r="E280">
        <v>174</v>
      </c>
      <c r="F280">
        <v>60</v>
      </c>
      <c r="G280">
        <v>12</v>
      </c>
      <c r="H280">
        <v>9</v>
      </c>
      <c r="I280">
        <v>0</v>
      </c>
      <c r="J280">
        <v>6</v>
      </c>
      <c r="K280">
        <v>15</v>
      </c>
      <c r="L280">
        <v>114</v>
      </c>
      <c r="M280">
        <v>33</v>
      </c>
      <c r="N280">
        <v>15</v>
      </c>
      <c r="O280">
        <v>6</v>
      </c>
      <c r="P280">
        <v>18</v>
      </c>
      <c r="Q280">
        <v>60</v>
      </c>
      <c r="R280" s="8"/>
    </row>
    <row r="281" spans="1:18" x14ac:dyDescent="0.3">
      <c r="A281" t="s">
        <v>332</v>
      </c>
      <c r="B281" t="s">
        <v>0</v>
      </c>
      <c r="C281">
        <v>222</v>
      </c>
      <c r="D281">
        <v>90</v>
      </c>
      <c r="E281">
        <v>144</v>
      </c>
      <c r="F281">
        <v>81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8"/>
    </row>
    <row r="282" spans="1:18" x14ac:dyDescent="0.3">
      <c r="A282" t="s">
        <v>333</v>
      </c>
      <c r="B282" t="s">
        <v>0</v>
      </c>
      <c r="C282">
        <v>69</v>
      </c>
      <c r="D282">
        <v>90</v>
      </c>
      <c r="E282">
        <v>105</v>
      </c>
      <c r="F282">
        <v>222</v>
      </c>
      <c r="G282">
        <v>120</v>
      </c>
      <c r="H282">
        <v>78</v>
      </c>
      <c r="I282">
        <v>39</v>
      </c>
      <c r="J282">
        <v>69</v>
      </c>
      <c r="K282">
        <v>90</v>
      </c>
      <c r="L282">
        <v>102</v>
      </c>
      <c r="M282">
        <v>141</v>
      </c>
      <c r="N282">
        <v>231</v>
      </c>
      <c r="O282">
        <v>57</v>
      </c>
      <c r="P282">
        <v>138</v>
      </c>
      <c r="Q282">
        <v>198</v>
      </c>
      <c r="R282" s="8"/>
    </row>
    <row r="283" spans="1:18" x14ac:dyDescent="0.3">
      <c r="A283" t="s">
        <v>334</v>
      </c>
      <c r="B283" t="s">
        <v>0</v>
      </c>
      <c r="C283">
        <v>231</v>
      </c>
      <c r="D283">
        <v>90</v>
      </c>
      <c r="E283">
        <v>105</v>
      </c>
      <c r="F283">
        <v>201</v>
      </c>
      <c r="G283">
        <v>36</v>
      </c>
      <c r="H283">
        <v>24</v>
      </c>
      <c r="I283">
        <v>126</v>
      </c>
      <c r="J283">
        <v>0</v>
      </c>
      <c r="K283">
        <v>0</v>
      </c>
      <c r="L283">
        <v>0</v>
      </c>
      <c r="M283">
        <v>3</v>
      </c>
      <c r="N283">
        <v>12</v>
      </c>
      <c r="O283">
        <v>27</v>
      </c>
      <c r="P283">
        <v>54</v>
      </c>
      <c r="Q283">
        <v>42</v>
      </c>
      <c r="R283" s="8"/>
    </row>
    <row r="284" spans="1:18" x14ac:dyDescent="0.3">
      <c r="A284" t="s">
        <v>335</v>
      </c>
      <c r="B284" t="s">
        <v>0</v>
      </c>
      <c r="C284">
        <v>123</v>
      </c>
      <c r="D284">
        <v>90</v>
      </c>
      <c r="E284">
        <v>84</v>
      </c>
      <c r="F284">
        <v>189</v>
      </c>
      <c r="G284">
        <v>183</v>
      </c>
      <c r="H284">
        <v>327</v>
      </c>
      <c r="I284">
        <v>117</v>
      </c>
      <c r="J284">
        <v>336</v>
      </c>
      <c r="K284">
        <v>12</v>
      </c>
      <c r="L284">
        <v>234</v>
      </c>
      <c r="M284">
        <v>81</v>
      </c>
      <c r="N284">
        <v>42</v>
      </c>
      <c r="O284">
        <v>66</v>
      </c>
      <c r="P284">
        <v>0</v>
      </c>
      <c r="Q284">
        <v>0</v>
      </c>
      <c r="R284" s="8"/>
    </row>
    <row r="285" spans="1:18" x14ac:dyDescent="0.3">
      <c r="A285" t="s">
        <v>336</v>
      </c>
      <c r="B285" t="s">
        <v>0</v>
      </c>
      <c r="C285">
        <v>297</v>
      </c>
      <c r="D285">
        <v>87</v>
      </c>
      <c r="E285">
        <v>123</v>
      </c>
      <c r="F285">
        <v>117</v>
      </c>
      <c r="G285">
        <v>87</v>
      </c>
      <c r="H285">
        <v>57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8"/>
    </row>
    <row r="286" spans="1:18" x14ac:dyDescent="0.3">
      <c r="A286" t="s">
        <v>337</v>
      </c>
      <c r="B286" t="s">
        <v>0</v>
      </c>
      <c r="C286">
        <v>117</v>
      </c>
      <c r="D286">
        <v>87</v>
      </c>
      <c r="E286">
        <v>81</v>
      </c>
      <c r="F286">
        <v>141</v>
      </c>
      <c r="G286">
        <v>66</v>
      </c>
      <c r="H286">
        <v>108</v>
      </c>
      <c r="I286">
        <v>57</v>
      </c>
      <c r="J286">
        <v>18</v>
      </c>
      <c r="K286">
        <v>45</v>
      </c>
      <c r="L286">
        <v>87</v>
      </c>
      <c r="M286">
        <v>93</v>
      </c>
      <c r="N286">
        <v>51</v>
      </c>
      <c r="O286">
        <v>27</v>
      </c>
      <c r="P286">
        <v>18</v>
      </c>
      <c r="Q286">
        <v>51</v>
      </c>
      <c r="R286" s="8"/>
    </row>
    <row r="287" spans="1:18" x14ac:dyDescent="0.3">
      <c r="A287" t="s">
        <v>338</v>
      </c>
      <c r="B287" t="s">
        <v>0</v>
      </c>
      <c r="C287">
        <v>168</v>
      </c>
      <c r="D287">
        <v>87</v>
      </c>
      <c r="E287">
        <v>63</v>
      </c>
      <c r="F287">
        <v>54</v>
      </c>
      <c r="G287">
        <v>30</v>
      </c>
      <c r="H287">
        <v>36</v>
      </c>
      <c r="I287">
        <v>3</v>
      </c>
      <c r="J287">
        <v>9</v>
      </c>
      <c r="K287">
        <v>18</v>
      </c>
      <c r="L287">
        <v>39</v>
      </c>
      <c r="M287">
        <v>48</v>
      </c>
      <c r="N287">
        <v>117</v>
      </c>
      <c r="O287">
        <v>180</v>
      </c>
      <c r="P287">
        <v>3</v>
      </c>
      <c r="Q287">
        <v>0</v>
      </c>
      <c r="R287" s="8"/>
    </row>
    <row r="288" spans="1:18" x14ac:dyDescent="0.3">
      <c r="A288" t="s">
        <v>339</v>
      </c>
      <c r="B288" t="s">
        <v>0</v>
      </c>
      <c r="C288">
        <v>33</v>
      </c>
      <c r="D288">
        <v>87</v>
      </c>
      <c r="E288">
        <v>6</v>
      </c>
      <c r="F288">
        <v>21</v>
      </c>
      <c r="G288">
        <v>66</v>
      </c>
      <c r="H288">
        <v>63</v>
      </c>
      <c r="I288">
        <v>21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8"/>
    </row>
    <row r="289" spans="1:18" x14ac:dyDescent="0.3">
      <c r="A289" t="s">
        <v>340</v>
      </c>
      <c r="B289" t="s">
        <v>1</v>
      </c>
      <c r="C289">
        <v>900</v>
      </c>
      <c r="D289">
        <v>84</v>
      </c>
      <c r="E289">
        <v>60</v>
      </c>
      <c r="F289">
        <v>87</v>
      </c>
      <c r="G289">
        <v>72</v>
      </c>
      <c r="H289">
        <v>87</v>
      </c>
      <c r="I289">
        <v>66</v>
      </c>
      <c r="J289">
        <v>210</v>
      </c>
      <c r="K289">
        <v>306</v>
      </c>
      <c r="L289">
        <v>366</v>
      </c>
      <c r="M289">
        <v>282</v>
      </c>
      <c r="N289">
        <v>252</v>
      </c>
      <c r="O289">
        <v>132</v>
      </c>
      <c r="P289">
        <v>138</v>
      </c>
      <c r="Q289">
        <v>147</v>
      </c>
      <c r="R289" s="8"/>
    </row>
    <row r="290" spans="1:18" x14ac:dyDescent="0.3">
      <c r="A290" t="s">
        <v>341</v>
      </c>
      <c r="B290" t="s">
        <v>0</v>
      </c>
      <c r="C290">
        <v>159</v>
      </c>
      <c r="D290">
        <v>84</v>
      </c>
      <c r="E290">
        <v>159</v>
      </c>
      <c r="F290">
        <v>246</v>
      </c>
      <c r="G290">
        <v>177</v>
      </c>
      <c r="H290">
        <v>99</v>
      </c>
      <c r="I290">
        <v>48</v>
      </c>
      <c r="J290">
        <v>42</v>
      </c>
      <c r="K290">
        <v>3</v>
      </c>
      <c r="L290">
        <v>39</v>
      </c>
      <c r="M290">
        <v>111</v>
      </c>
      <c r="N290">
        <v>3</v>
      </c>
      <c r="O290">
        <v>54</v>
      </c>
      <c r="P290">
        <v>60</v>
      </c>
      <c r="Q290">
        <v>42</v>
      </c>
      <c r="R290" s="8"/>
    </row>
    <row r="291" spans="1:18" x14ac:dyDescent="0.3">
      <c r="A291" t="s">
        <v>342</v>
      </c>
      <c r="B291" t="s">
        <v>0</v>
      </c>
      <c r="C291">
        <v>69</v>
      </c>
      <c r="D291">
        <v>84</v>
      </c>
      <c r="E291">
        <v>63</v>
      </c>
      <c r="F291">
        <v>72</v>
      </c>
      <c r="G291">
        <v>63</v>
      </c>
      <c r="H291">
        <v>63</v>
      </c>
      <c r="I291">
        <v>99</v>
      </c>
      <c r="J291">
        <v>45</v>
      </c>
      <c r="K291">
        <v>57</v>
      </c>
      <c r="L291">
        <v>78</v>
      </c>
      <c r="M291">
        <v>63</v>
      </c>
      <c r="N291">
        <v>90</v>
      </c>
      <c r="O291">
        <v>108</v>
      </c>
      <c r="P291">
        <v>9</v>
      </c>
      <c r="Q291">
        <v>48</v>
      </c>
      <c r="R291" s="8"/>
    </row>
    <row r="292" spans="1:18" x14ac:dyDescent="0.3">
      <c r="A292" t="s">
        <v>343</v>
      </c>
      <c r="B292" t="s">
        <v>0</v>
      </c>
      <c r="C292">
        <v>99</v>
      </c>
      <c r="D292">
        <v>84</v>
      </c>
      <c r="E292">
        <v>54</v>
      </c>
      <c r="F292">
        <v>66</v>
      </c>
      <c r="G292">
        <v>63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8"/>
    </row>
    <row r="293" spans="1:18" x14ac:dyDescent="0.3">
      <c r="A293" t="s">
        <v>344</v>
      </c>
      <c r="B293" t="s">
        <v>0</v>
      </c>
      <c r="C293">
        <v>471</v>
      </c>
      <c r="D293">
        <v>84</v>
      </c>
      <c r="E293">
        <v>30</v>
      </c>
      <c r="F293">
        <v>72</v>
      </c>
      <c r="G293">
        <v>75</v>
      </c>
      <c r="H293">
        <v>75</v>
      </c>
      <c r="I293">
        <v>45</v>
      </c>
      <c r="J293">
        <v>54</v>
      </c>
      <c r="K293">
        <v>60</v>
      </c>
      <c r="L293">
        <v>168</v>
      </c>
      <c r="M293">
        <v>405</v>
      </c>
      <c r="N293">
        <v>213</v>
      </c>
      <c r="O293">
        <v>411</v>
      </c>
      <c r="P293">
        <v>111</v>
      </c>
      <c r="Q293">
        <v>3</v>
      </c>
      <c r="R293" s="8"/>
    </row>
    <row r="294" spans="1:18" x14ac:dyDescent="0.3">
      <c r="A294" t="s">
        <v>345</v>
      </c>
      <c r="B294" t="s">
        <v>0</v>
      </c>
      <c r="C294">
        <v>171</v>
      </c>
      <c r="D294">
        <v>81</v>
      </c>
      <c r="E294">
        <v>111</v>
      </c>
      <c r="F294">
        <v>30</v>
      </c>
      <c r="G294">
        <v>21</v>
      </c>
      <c r="H294">
        <v>18</v>
      </c>
      <c r="I294">
        <v>3</v>
      </c>
      <c r="J294">
        <v>18</v>
      </c>
      <c r="K294">
        <v>36</v>
      </c>
      <c r="L294">
        <v>60</v>
      </c>
      <c r="M294">
        <v>39</v>
      </c>
      <c r="N294">
        <v>21</v>
      </c>
      <c r="O294">
        <v>9</v>
      </c>
      <c r="P294">
        <v>9</v>
      </c>
      <c r="Q294">
        <v>30</v>
      </c>
      <c r="R294" s="8"/>
    </row>
    <row r="295" spans="1:18" x14ac:dyDescent="0.3">
      <c r="A295" t="s">
        <v>346</v>
      </c>
      <c r="B295" t="s">
        <v>0</v>
      </c>
      <c r="C295">
        <v>42</v>
      </c>
      <c r="D295">
        <v>78</v>
      </c>
      <c r="E295">
        <v>183</v>
      </c>
      <c r="F295">
        <v>42</v>
      </c>
      <c r="G295">
        <v>102</v>
      </c>
      <c r="H295">
        <v>48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8"/>
    </row>
    <row r="296" spans="1:18" x14ac:dyDescent="0.3">
      <c r="A296" t="s">
        <v>347</v>
      </c>
      <c r="B296" t="s">
        <v>0</v>
      </c>
      <c r="C296">
        <v>72</v>
      </c>
      <c r="D296">
        <v>78</v>
      </c>
      <c r="E296">
        <v>150</v>
      </c>
      <c r="F296">
        <v>195</v>
      </c>
      <c r="G296">
        <v>63</v>
      </c>
      <c r="H296">
        <v>90</v>
      </c>
      <c r="I296">
        <v>99</v>
      </c>
      <c r="J296">
        <v>21</v>
      </c>
      <c r="K296">
        <v>81</v>
      </c>
      <c r="L296">
        <v>48</v>
      </c>
      <c r="M296">
        <v>0</v>
      </c>
      <c r="N296">
        <v>0</v>
      </c>
      <c r="O296">
        <v>0</v>
      </c>
      <c r="P296">
        <v>0</v>
      </c>
      <c r="Q296">
        <v>0</v>
      </c>
      <c r="R296" s="8"/>
    </row>
    <row r="297" spans="1:18" x14ac:dyDescent="0.3">
      <c r="A297" t="s">
        <v>348</v>
      </c>
      <c r="B297" t="s">
        <v>0</v>
      </c>
      <c r="C297">
        <v>141</v>
      </c>
      <c r="D297">
        <v>78</v>
      </c>
      <c r="E297">
        <v>120</v>
      </c>
      <c r="F297">
        <v>36</v>
      </c>
      <c r="G297">
        <v>15</v>
      </c>
      <c r="H297">
        <v>24</v>
      </c>
      <c r="I297">
        <v>12</v>
      </c>
      <c r="J297">
        <v>12</v>
      </c>
      <c r="K297">
        <v>45</v>
      </c>
      <c r="L297">
        <v>57</v>
      </c>
      <c r="M297">
        <v>21</v>
      </c>
      <c r="N297">
        <v>0</v>
      </c>
      <c r="O297">
        <v>0</v>
      </c>
      <c r="P297">
        <v>0</v>
      </c>
      <c r="Q297">
        <v>0</v>
      </c>
      <c r="R297" s="8"/>
    </row>
    <row r="298" spans="1:18" x14ac:dyDescent="0.3">
      <c r="A298" t="s">
        <v>349</v>
      </c>
      <c r="B298" t="s">
        <v>0</v>
      </c>
      <c r="C298">
        <v>489</v>
      </c>
      <c r="D298">
        <v>78</v>
      </c>
      <c r="E298">
        <v>108</v>
      </c>
      <c r="F298">
        <v>87</v>
      </c>
      <c r="G298">
        <v>30</v>
      </c>
      <c r="H298">
        <v>48</v>
      </c>
      <c r="I298">
        <v>138</v>
      </c>
      <c r="J298">
        <v>195</v>
      </c>
      <c r="K298">
        <v>51</v>
      </c>
      <c r="L298">
        <v>69</v>
      </c>
      <c r="M298">
        <v>234</v>
      </c>
      <c r="N298">
        <v>129</v>
      </c>
      <c r="O298">
        <v>36</v>
      </c>
      <c r="P298">
        <v>66</v>
      </c>
      <c r="Q298">
        <v>3</v>
      </c>
      <c r="R298" s="8"/>
    </row>
    <row r="299" spans="1:18" x14ac:dyDescent="0.3">
      <c r="A299" t="s">
        <v>350</v>
      </c>
      <c r="B299" t="s">
        <v>0</v>
      </c>
      <c r="C299">
        <v>657</v>
      </c>
      <c r="D299">
        <v>78</v>
      </c>
      <c r="E299">
        <v>108</v>
      </c>
      <c r="F299">
        <v>72</v>
      </c>
      <c r="G299">
        <v>117</v>
      </c>
      <c r="H299">
        <v>60</v>
      </c>
      <c r="I299">
        <v>30</v>
      </c>
      <c r="J299">
        <v>24</v>
      </c>
      <c r="K299">
        <v>123</v>
      </c>
      <c r="L299">
        <v>84</v>
      </c>
      <c r="M299">
        <v>6</v>
      </c>
      <c r="N299">
        <v>15</v>
      </c>
      <c r="O299">
        <v>12</v>
      </c>
      <c r="P299">
        <v>30</v>
      </c>
      <c r="Q299">
        <v>24</v>
      </c>
      <c r="R299" s="8"/>
    </row>
    <row r="300" spans="1:18" x14ac:dyDescent="0.3">
      <c r="A300" t="s">
        <v>351</v>
      </c>
      <c r="B300" t="s">
        <v>0</v>
      </c>
      <c r="C300">
        <v>615</v>
      </c>
      <c r="D300">
        <v>78</v>
      </c>
      <c r="E300">
        <v>51</v>
      </c>
      <c r="F300">
        <v>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8"/>
    </row>
    <row r="301" spans="1:18" x14ac:dyDescent="0.3">
      <c r="A301" t="s">
        <v>352</v>
      </c>
      <c r="B301" t="s">
        <v>0</v>
      </c>
      <c r="C301">
        <v>183</v>
      </c>
      <c r="D301">
        <v>78</v>
      </c>
      <c r="E301">
        <v>36</v>
      </c>
      <c r="F301">
        <v>27</v>
      </c>
      <c r="G301">
        <v>27</v>
      </c>
      <c r="H301">
        <v>45</v>
      </c>
      <c r="I301">
        <v>12</v>
      </c>
      <c r="J301">
        <v>24</v>
      </c>
      <c r="K301">
        <v>42</v>
      </c>
      <c r="L301">
        <v>75</v>
      </c>
      <c r="M301">
        <v>27</v>
      </c>
      <c r="N301">
        <v>0</v>
      </c>
      <c r="O301">
        <v>0</v>
      </c>
      <c r="P301">
        <v>0</v>
      </c>
      <c r="Q301">
        <v>0</v>
      </c>
      <c r="R301" s="8"/>
    </row>
    <row r="302" spans="1:18" x14ac:dyDescent="0.3">
      <c r="A302" t="s">
        <v>353</v>
      </c>
      <c r="B302" t="s">
        <v>0</v>
      </c>
      <c r="C302">
        <v>90</v>
      </c>
      <c r="D302">
        <v>75</v>
      </c>
      <c r="E302">
        <v>198</v>
      </c>
      <c r="F302">
        <v>129</v>
      </c>
      <c r="G302">
        <v>78</v>
      </c>
      <c r="H302">
        <v>111</v>
      </c>
      <c r="I302">
        <v>135</v>
      </c>
      <c r="J302">
        <v>192</v>
      </c>
      <c r="K302">
        <v>30</v>
      </c>
      <c r="L302">
        <v>129</v>
      </c>
      <c r="M302">
        <v>150</v>
      </c>
      <c r="N302">
        <v>105</v>
      </c>
      <c r="O302">
        <v>27</v>
      </c>
      <c r="P302">
        <v>75</v>
      </c>
      <c r="Q302">
        <v>3</v>
      </c>
      <c r="R302" s="8"/>
    </row>
    <row r="303" spans="1:18" x14ac:dyDescent="0.3">
      <c r="A303" t="s">
        <v>354</v>
      </c>
      <c r="B303" t="s">
        <v>0</v>
      </c>
      <c r="C303">
        <v>207</v>
      </c>
      <c r="D303">
        <v>75</v>
      </c>
      <c r="E303">
        <v>87</v>
      </c>
      <c r="F303">
        <v>150</v>
      </c>
      <c r="G303">
        <v>36</v>
      </c>
      <c r="H303">
        <v>72</v>
      </c>
      <c r="I303">
        <v>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8"/>
    </row>
    <row r="304" spans="1:18" x14ac:dyDescent="0.3">
      <c r="A304" t="s">
        <v>355</v>
      </c>
      <c r="B304" t="s">
        <v>0</v>
      </c>
      <c r="C304">
        <v>180</v>
      </c>
      <c r="D304">
        <v>75</v>
      </c>
      <c r="E304">
        <v>69</v>
      </c>
      <c r="F304">
        <v>99</v>
      </c>
      <c r="G304">
        <v>33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8"/>
    </row>
    <row r="305" spans="1:18" x14ac:dyDescent="0.3">
      <c r="A305" t="s">
        <v>356</v>
      </c>
      <c r="B305" t="s">
        <v>0</v>
      </c>
      <c r="C305">
        <v>72</v>
      </c>
      <c r="D305">
        <v>75</v>
      </c>
      <c r="E305">
        <v>54</v>
      </c>
      <c r="F305">
        <v>99</v>
      </c>
      <c r="G305">
        <v>60</v>
      </c>
      <c r="H305">
        <v>57</v>
      </c>
      <c r="I305">
        <v>54</v>
      </c>
      <c r="J305">
        <v>90</v>
      </c>
      <c r="K305">
        <v>156</v>
      </c>
      <c r="L305">
        <v>114</v>
      </c>
      <c r="M305">
        <v>105</v>
      </c>
      <c r="N305">
        <v>108</v>
      </c>
      <c r="O305">
        <v>111</v>
      </c>
      <c r="P305">
        <v>63</v>
      </c>
      <c r="Q305">
        <v>126</v>
      </c>
      <c r="R305" s="8"/>
    </row>
    <row r="306" spans="1:18" x14ac:dyDescent="0.3">
      <c r="A306" t="s">
        <v>357</v>
      </c>
      <c r="B306" t="s">
        <v>0</v>
      </c>
      <c r="C306">
        <v>162</v>
      </c>
      <c r="D306">
        <v>75</v>
      </c>
      <c r="E306">
        <v>33</v>
      </c>
      <c r="F306">
        <v>18</v>
      </c>
      <c r="G306">
        <v>18</v>
      </c>
      <c r="H306">
        <v>12</v>
      </c>
      <c r="I306">
        <v>27</v>
      </c>
      <c r="J306">
        <v>45</v>
      </c>
      <c r="K306">
        <v>69</v>
      </c>
      <c r="L306">
        <v>84</v>
      </c>
      <c r="M306">
        <v>42</v>
      </c>
      <c r="N306">
        <v>15</v>
      </c>
      <c r="O306">
        <v>30</v>
      </c>
      <c r="P306">
        <v>12</v>
      </c>
      <c r="Q306">
        <v>36</v>
      </c>
      <c r="R306" s="8"/>
    </row>
    <row r="307" spans="1:18" x14ac:dyDescent="0.3">
      <c r="A307" t="s">
        <v>358</v>
      </c>
      <c r="B307" t="s">
        <v>0</v>
      </c>
      <c r="C307">
        <v>108</v>
      </c>
      <c r="D307">
        <v>75</v>
      </c>
      <c r="E307">
        <v>9</v>
      </c>
      <c r="F307">
        <v>12</v>
      </c>
      <c r="G307">
        <v>6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8"/>
    </row>
    <row r="308" spans="1:18" x14ac:dyDescent="0.3">
      <c r="A308" t="s">
        <v>359</v>
      </c>
      <c r="B308" t="s">
        <v>1</v>
      </c>
      <c r="C308">
        <v>138</v>
      </c>
      <c r="D308">
        <v>72</v>
      </c>
      <c r="E308">
        <v>171</v>
      </c>
      <c r="F308">
        <v>114</v>
      </c>
      <c r="G308">
        <v>195</v>
      </c>
      <c r="H308">
        <v>174</v>
      </c>
      <c r="I308">
        <v>111</v>
      </c>
      <c r="J308">
        <v>192</v>
      </c>
      <c r="K308">
        <v>171</v>
      </c>
      <c r="L308">
        <v>468</v>
      </c>
      <c r="M308">
        <v>165</v>
      </c>
      <c r="N308">
        <v>177</v>
      </c>
      <c r="O308">
        <v>75</v>
      </c>
      <c r="P308">
        <v>60</v>
      </c>
      <c r="Q308">
        <v>81</v>
      </c>
      <c r="R308" s="8"/>
    </row>
    <row r="309" spans="1:18" x14ac:dyDescent="0.3">
      <c r="A309" t="s">
        <v>360</v>
      </c>
      <c r="B309" t="s">
        <v>0</v>
      </c>
      <c r="C309">
        <v>183</v>
      </c>
      <c r="D309">
        <v>72</v>
      </c>
      <c r="E309">
        <v>234</v>
      </c>
      <c r="F309">
        <v>276</v>
      </c>
      <c r="G309">
        <v>387</v>
      </c>
      <c r="H309">
        <v>459</v>
      </c>
      <c r="I309">
        <v>204</v>
      </c>
      <c r="J309">
        <v>342</v>
      </c>
      <c r="K309">
        <v>270</v>
      </c>
      <c r="L309">
        <v>585</v>
      </c>
      <c r="M309">
        <v>528</v>
      </c>
      <c r="N309">
        <v>327</v>
      </c>
      <c r="O309">
        <v>195</v>
      </c>
      <c r="P309">
        <v>183</v>
      </c>
      <c r="Q309">
        <v>192</v>
      </c>
      <c r="R309" s="8"/>
    </row>
    <row r="310" spans="1:18" x14ac:dyDescent="0.3">
      <c r="A310" t="s">
        <v>361</v>
      </c>
      <c r="B310" t="s">
        <v>0</v>
      </c>
      <c r="C310">
        <v>573</v>
      </c>
      <c r="D310">
        <v>72</v>
      </c>
      <c r="E310">
        <v>156</v>
      </c>
      <c r="F310">
        <v>243</v>
      </c>
      <c r="G310">
        <v>15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8"/>
    </row>
    <row r="311" spans="1:18" x14ac:dyDescent="0.3">
      <c r="A311" t="s">
        <v>362</v>
      </c>
      <c r="B311" t="s">
        <v>0</v>
      </c>
      <c r="C311">
        <v>273</v>
      </c>
      <c r="D311">
        <v>72</v>
      </c>
      <c r="E311">
        <v>108</v>
      </c>
      <c r="F311">
        <v>84</v>
      </c>
      <c r="G311">
        <v>78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8"/>
    </row>
    <row r="312" spans="1:18" x14ac:dyDescent="0.3">
      <c r="A312" t="s">
        <v>363</v>
      </c>
      <c r="B312" t="s">
        <v>0</v>
      </c>
      <c r="C312">
        <v>213</v>
      </c>
      <c r="D312">
        <v>72</v>
      </c>
      <c r="E312">
        <v>99</v>
      </c>
      <c r="F312">
        <v>60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8"/>
    </row>
    <row r="313" spans="1:18" x14ac:dyDescent="0.3">
      <c r="A313" t="s">
        <v>364</v>
      </c>
      <c r="B313" t="s">
        <v>0</v>
      </c>
      <c r="C313">
        <v>306</v>
      </c>
      <c r="D313">
        <v>72</v>
      </c>
      <c r="E313">
        <v>96</v>
      </c>
      <c r="F313">
        <v>141</v>
      </c>
      <c r="G313">
        <v>117</v>
      </c>
      <c r="H313">
        <v>63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8"/>
    </row>
    <row r="314" spans="1:18" x14ac:dyDescent="0.3">
      <c r="A314" t="s">
        <v>365</v>
      </c>
      <c r="B314" t="s">
        <v>0</v>
      </c>
      <c r="C314">
        <v>291</v>
      </c>
      <c r="D314">
        <v>72</v>
      </c>
      <c r="E314">
        <v>93</v>
      </c>
      <c r="F314">
        <v>132</v>
      </c>
      <c r="G314">
        <v>54</v>
      </c>
      <c r="H314">
        <v>48</v>
      </c>
      <c r="I314">
        <v>12</v>
      </c>
      <c r="J314">
        <v>45</v>
      </c>
      <c r="K314">
        <v>60</v>
      </c>
      <c r="L314">
        <v>126</v>
      </c>
      <c r="M314">
        <v>66</v>
      </c>
      <c r="N314">
        <v>24</v>
      </c>
      <c r="O314">
        <v>48</v>
      </c>
      <c r="P314">
        <v>63</v>
      </c>
      <c r="Q314">
        <v>15</v>
      </c>
      <c r="R314" s="8"/>
    </row>
    <row r="315" spans="1:18" x14ac:dyDescent="0.3">
      <c r="A315" t="s">
        <v>366</v>
      </c>
      <c r="B315" t="s">
        <v>0</v>
      </c>
      <c r="C315">
        <v>132</v>
      </c>
      <c r="D315">
        <v>72</v>
      </c>
      <c r="E315">
        <v>66</v>
      </c>
      <c r="F315">
        <v>24</v>
      </c>
      <c r="G315">
        <v>3</v>
      </c>
      <c r="H315">
        <v>15</v>
      </c>
      <c r="I315">
        <v>12</v>
      </c>
      <c r="J315">
        <v>12</v>
      </c>
      <c r="K315">
        <v>36</v>
      </c>
      <c r="L315">
        <v>81</v>
      </c>
      <c r="M315">
        <v>99</v>
      </c>
      <c r="N315">
        <v>21</v>
      </c>
      <c r="O315">
        <v>27</v>
      </c>
      <c r="P315">
        <v>12</v>
      </c>
      <c r="Q315">
        <v>45</v>
      </c>
      <c r="R315" s="8"/>
    </row>
    <row r="316" spans="1:18" x14ac:dyDescent="0.3">
      <c r="A316" t="s">
        <v>367</v>
      </c>
      <c r="B316" t="s">
        <v>0</v>
      </c>
      <c r="C316">
        <v>174</v>
      </c>
      <c r="D316">
        <v>72</v>
      </c>
      <c r="E316">
        <v>63</v>
      </c>
      <c r="F316">
        <v>66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s="8"/>
    </row>
    <row r="317" spans="1:18" x14ac:dyDescent="0.3">
      <c r="A317" t="s">
        <v>368</v>
      </c>
      <c r="B317" t="s">
        <v>0</v>
      </c>
      <c r="C317">
        <v>60</v>
      </c>
      <c r="D317">
        <v>72</v>
      </c>
      <c r="E317">
        <v>60</v>
      </c>
      <c r="F317">
        <v>15</v>
      </c>
      <c r="G317">
        <v>33</v>
      </c>
      <c r="H317">
        <v>15</v>
      </c>
      <c r="I317">
        <v>6</v>
      </c>
      <c r="J317">
        <v>0</v>
      </c>
      <c r="K317">
        <v>0</v>
      </c>
      <c r="L317">
        <v>0</v>
      </c>
      <c r="M317">
        <v>6</v>
      </c>
      <c r="N317">
        <v>9</v>
      </c>
      <c r="O317">
        <v>15</v>
      </c>
      <c r="P317">
        <v>60</v>
      </c>
      <c r="Q317">
        <v>36</v>
      </c>
      <c r="R317" s="8"/>
    </row>
    <row r="318" spans="1:18" x14ac:dyDescent="0.3">
      <c r="A318" t="s">
        <v>369</v>
      </c>
      <c r="B318" t="s">
        <v>0</v>
      </c>
      <c r="C318">
        <v>114</v>
      </c>
      <c r="D318">
        <v>72</v>
      </c>
      <c r="E318">
        <v>57</v>
      </c>
      <c r="F318">
        <v>81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8"/>
    </row>
    <row r="319" spans="1:18" x14ac:dyDescent="0.3">
      <c r="A319" t="s">
        <v>370</v>
      </c>
      <c r="B319" t="s">
        <v>0</v>
      </c>
      <c r="C319">
        <v>57</v>
      </c>
      <c r="D319">
        <v>72</v>
      </c>
      <c r="E319">
        <v>45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8"/>
    </row>
    <row r="320" spans="1:18" x14ac:dyDescent="0.3">
      <c r="A320" t="s">
        <v>371</v>
      </c>
      <c r="B320" t="s">
        <v>0</v>
      </c>
      <c r="C320">
        <v>45</v>
      </c>
      <c r="D320">
        <v>69</v>
      </c>
      <c r="E320">
        <v>174</v>
      </c>
      <c r="F320">
        <v>465</v>
      </c>
      <c r="G320">
        <v>114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s="8"/>
    </row>
    <row r="321" spans="1:18" x14ac:dyDescent="0.3">
      <c r="A321" t="s">
        <v>372</v>
      </c>
      <c r="B321" t="s">
        <v>0</v>
      </c>
      <c r="C321">
        <v>261</v>
      </c>
      <c r="D321">
        <v>69</v>
      </c>
      <c r="E321">
        <v>114</v>
      </c>
      <c r="F321">
        <v>165</v>
      </c>
      <c r="G321">
        <v>165</v>
      </c>
      <c r="H321">
        <v>96</v>
      </c>
      <c r="I321">
        <v>69</v>
      </c>
      <c r="J321">
        <v>15</v>
      </c>
      <c r="K321">
        <v>24</v>
      </c>
      <c r="L321">
        <v>66</v>
      </c>
      <c r="M321">
        <v>30</v>
      </c>
      <c r="N321">
        <v>21</v>
      </c>
      <c r="O321">
        <v>39</v>
      </c>
      <c r="P321">
        <v>33</v>
      </c>
      <c r="Q321">
        <v>36</v>
      </c>
      <c r="R321" s="8"/>
    </row>
    <row r="322" spans="1:18" x14ac:dyDescent="0.3">
      <c r="A322" t="s">
        <v>373</v>
      </c>
      <c r="B322" t="s">
        <v>0</v>
      </c>
      <c r="C322">
        <v>303</v>
      </c>
      <c r="D322">
        <v>69</v>
      </c>
      <c r="E322">
        <v>93</v>
      </c>
      <c r="F322">
        <v>69</v>
      </c>
      <c r="G322">
        <v>90</v>
      </c>
      <c r="H322">
        <v>45</v>
      </c>
      <c r="I322">
        <v>69</v>
      </c>
      <c r="J322">
        <v>102</v>
      </c>
      <c r="K322">
        <v>63</v>
      </c>
      <c r="L322">
        <v>45</v>
      </c>
      <c r="M322">
        <v>27</v>
      </c>
      <c r="N322">
        <v>6</v>
      </c>
      <c r="O322">
        <v>3</v>
      </c>
      <c r="P322">
        <v>9</v>
      </c>
      <c r="Q322">
        <v>12</v>
      </c>
      <c r="R322" s="8"/>
    </row>
    <row r="323" spans="1:18" x14ac:dyDescent="0.3">
      <c r="A323" t="s">
        <v>374</v>
      </c>
      <c r="B323" t="s">
        <v>0</v>
      </c>
      <c r="C323">
        <v>222</v>
      </c>
      <c r="D323">
        <v>69</v>
      </c>
      <c r="E323">
        <v>81</v>
      </c>
      <c r="F323">
        <v>216</v>
      </c>
      <c r="G323">
        <v>198</v>
      </c>
      <c r="H323">
        <v>267</v>
      </c>
      <c r="I323">
        <v>75</v>
      </c>
      <c r="J323">
        <v>336</v>
      </c>
      <c r="K323">
        <v>18</v>
      </c>
      <c r="L323">
        <v>240</v>
      </c>
      <c r="M323">
        <v>96</v>
      </c>
      <c r="N323">
        <v>30</v>
      </c>
      <c r="O323">
        <v>54</v>
      </c>
      <c r="P323">
        <v>0</v>
      </c>
      <c r="Q323">
        <v>0</v>
      </c>
      <c r="R323" s="8"/>
    </row>
    <row r="324" spans="1:18" x14ac:dyDescent="0.3">
      <c r="A324" t="s">
        <v>375</v>
      </c>
      <c r="B324" t="s">
        <v>0</v>
      </c>
      <c r="C324">
        <v>339</v>
      </c>
      <c r="D324">
        <v>69</v>
      </c>
      <c r="E324">
        <v>3</v>
      </c>
      <c r="F324">
        <v>18</v>
      </c>
      <c r="G324">
        <v>18</v>
      </c>
      <c r="H324">
        <v>15</v>
      </c>
      <c r="I324">
        <v>0</v>
      </c>
      <c r="J324">
        <v>18</v>
      </c>
      <c r="K324">
        <v>21</v>
      </c>
      <c r="L324">
        <v>63</v>
      </c>
      <c r="M324">
        <v>60</v>
      </c>
      <c r="N324">
        <v>72</v>
      </c>
      <c r="O324">
        <v>159</v>
      </c>
      <c r="P324">
        <v>6</v>
      </c>
      <c r="Q324">
        <v>0</v>
      </c>
      <c r="R324" s="8"/>
    </row>
    <row r="325" spans="1:18" x14ac:dyDescent="0.3">
      <c r="A325" t="s">
        <v>376</v>
      </c>
      <c r="B325" t="s">
        <v>1</v>
      </c>
      <c r="C325">
        <v>231</v>
      </c>
      <c r="D325">
        <v>66</v>
      </c>
      <c r="E325">
        <v>75</v>
      </c>
      <c r="F325">
        <v>69</v>
      </c>
      <c r="G325">
        <v>45</v>
      </c>
      <c r="H325">
        <v>48</v>
      </c>
      <c r="I325">
        <v>15</v>
      </c>
      <c r="J325">
        <v>33</v>
      </c>
      <c r="K325">
        <v>69</v>
      </c>
      <c r="L325">
        <v>111</v>
      </c>
      <c r="M325">
        <v>120</v>
      </c>
      <c r="N325">
        <v>36</v>
      </c>
      <c r="O325">
        <v>93</v>
      </c>
      <c r="P325">
        <v>81</v>
      </c>
      <c r="Q325">
        <v>9</v>
      </c>
      <c r="R325" s="8"/>
    </row>
    <row r="326" spans="1:18" x14ac:dyDescent="0.3">
      <c r="A326" t="s">
        <v>377</v>
      </c>
      <c r="B326" t="s">
        <v>0</v>
      </c>
      <c r="C326">
        <v>237</v>
      </c>
      <c r="D326">
        <v>66</v>
      </c>
      <c r="E326">
        <v>192</v>
      </c>
      <c r="F326">
        <v>93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8"/>
    </row>
    <row r="327" spans="1:18" x14ac:dyDescent="0.3">
      <c r="A327" t="s">
        <v>378</v>
      </c>
      <c r="B327" t="s">
        <v>0</v>
      </c>
      <c r="C327">
        <v>303</v>
      </c>
      <c r="D327">
        <v>66</v>
      </c>
      <c r="E327">
        <v>165</v>
      </c>
      <c r="F327">
        <v>108</v>
      </c>
      <c r="G327">
        <v>102</v>
      </c>
      <c r="H327">
        <v>111</v>
      </c>
      <c r="I327">
        <v>159</v>
      </c>
      <c r="J327">
        <v>144</v>
      </c>
      <c r="K327">
        <v>15</v>
      </c>
      <c r="L327">
        <v>144</v>
      </c>
      <c r="M327">
        <v>156</v>
      </c>
      <c r="N327">
        <v>102</v>
      </c>
      <c r="O327">
        <v>33</v>
      </c>
      <c r="P327">
        <v>99</v>
      </c>
      <c r="Q327">
        <v>6</v>
      </c>
      <c r="R327" s="8"/>
    </row>
    <row r="328" spans="1:18" x14ac:dyDescent="0.3">
      <c r="A328" t="s">
        <v>379</v>
      </c>
      <c r="B328" t="s">
        <v>0</v>
      </c>
      <c r="C328">
        <v>99</v>
      </c>
      <c r="D328">
        <v>66</v>
      </c>
      <c r="E328">
        <v>108</v>
      </c>
      <c r="F328">
        <v>117</v>
      </c>
      <c r="G328">
        <v>66</v>
      </c>
      <c r="H328">
        <v>93</v>
      </c>
      <c r="I328">
        <v>60</v>
      </c>
      <c r="J328">
        <v>66</v>
      </c>
      <c r="K328">
        <v>117</v>
      </c>
      <c r="L328">
        <v>183</v>
      </c>
      <c r="M328">
        <v>222</v>
      </c>
      <c r="N328">
        <v>108</v>
      </c>
      <c r="O328">
        <v>45</v>
      </c>
      <c r="P328">
        <v>27</v>
      </c>
      <c r="Q328">
        <v>63</v>
      </c>
      <c r="R328" s="8"/>
    </row>
    <row r="329" spans="1:18" x14ac:dyDescent="0.3">
      <c r="A329" t="s">
        <v>380</v>
      </c>
      <c r="B329" t="s">
        <v>0</v>
      </c>
      <c r="C329">
        <v>306</v>
      </c>
      <c r="D329">
        <v>63</v>
      </c>
      <c r="E329">
        <v>114</v>
      </c>
      <c r="F329">
        <v>132</v>
      </c>
      <c r="G329">
        <v>45</v>
      </c>
      <c r="H329">
        <v>114</v>
      </c>
      <c r="I329">
        <v>60</v>
      </c>
      <c r="J329">
        <v>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8"/>
    </row>
    <row r="330" spans="1:18" x14ac:dyDescent="0.3">
      <c r="A330" t="s">
        <v>381</v>
      </c>
      <c r="B330" t="s">
        <v>0</v>
      </c>
      <c r="C330">
        <v>45</v>
      </c>
      <c r="D330">
        <v>63</v>
      </c>
      <c r="E330">
        <v>111</v>
      </c>
      <c r="F330">
        <v>114</v>
      </c>
      <c r="G330">
        <v>114</v>
      </c>
      <c r="H330">
        <v>174</v>
      </c>
      <c r="I330">
        <v>69</v>
      </c>
      <c r="J330">
        <v>87</v>
      </c>
      <c r="K330">
        <v>159</v>
      </c>
      <c r="L330">
        <v>201</v>
      </c>
      <c r="M330">
        <v>165</v>
      </c>
      <c r="N330">
        <v>207</v>
      </c>
      <c r="O330">
        <v>57</v>
      </c>
      <c r="P330">
        <v>30</v>
      </c>
      <c r="Q330">
        <v>63</v>
      </c>
      <c r="R330" s="8"/>
    </row>
    <row r="331" spans="1:18" x14ac:dyDescent="0.3">
      <c r="A331" t="s">
        <v>382</v>
      </c>
      <c r="B331" t="s">
        <v>0</v>
      </c>
      <c r="C331">
        <v>222</v>
      </c>
      <c r="D331">
        <v>63</v>
      </c>
      <c r="E331">
        <v>96</v>
      </c>
      <c r="F331">
        <v>78</v>
      </c>
      <c r="G331">
        <v>6</v>
      </c>
      <c r="H331">
        <v>12</v>
      </c>
      <c r="I331">
        <v>12</v>
      </c>
      <c r="J331">
        <v>12</v>
      </c>
      <c r="K331">
        <v>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8"/>
    </row>
    <row r="332" spans="1:18" x14ac:dyDescent="0.3">
      <c r="A332" t="s">
        <v>383</v>
      </c>
      <c r="B332" t="s">
        <v>0</v>
      </c>
      <c r="C332">
        <v>495</v>
      </c>
      <c r="D332">
        <v>63</v>
      </c>
      <c r="E332">
        <v>84</v>
      </c>
      <c r="F332">
        <v>69</v>
      </c>
      <c r="G332">
        <v>21</v>
      </c>
      <c r="H332">
        <v>60</v>
      </c>
      <c r="I332">
        <v>21</v>
      </c>
      <c r="J332">
        <v>153</v>
      </c>
      <c r="K332">
        <v>138</v>
      </c>
      <c r="L332">
        <v>192</v>
      </c>
      <c r="M332">
        <v>192</v>
      </c>
      <c r="N332">
        <v>153</v>
      </c>
      <c r="O332">
        <v>75</v>
      </c>
      <c r="P332">
        <v>66</v>
      </c>
      <c r="Q332">
        <v>153</v>
      </c>
      <c r="R332" s="8"/>
    </row>
    <row r="333" spans="1:18" x14ac:dyDescent="0.3">
      <c r="A333" t="s">
        <v>384</v>
      </c>
      <c r="B333" t="s">
        <v>0</v>
      </c>
      <c r="C333">
        <v>270</v>
      </c>
      <c r="D333">
        <v>63</v>
      </c>
      <c r="E333">
        <v>78</v>
      </c>
      <c r="F333">
        <v>180</v>
      </c>
      <c r="G333">
        <v>24</v>
      </c>
      <c r="H333">
        <v>57</v>
      </c>
      <c r="I333">
        <v>87</v>
      </c>
      <c r="J333">
        <v>6</v>
      </c>
      <c r="K333">
        <v>0</v>
      </c>
      <c r="L333">
        <v>3</v>
      </c>
      <c r="M333">
        <v>6</v>
      </c>
      <c r="N333">
        <v>21</v>
      </c>
      <c r="O333">
        <v>27</v>
      </c>
      <c r="P333">
        <v>36</v>
      </c>
      <c r="Q333">
        <v>60</v>
      </c>
      <c r="R333" s="8"/>
    </row>
    <row r="334" spans="1:18" x14ac:dyDescent="0.3">
      <c r="A334" t="s">
        <v>385</v>
      </c>
      <c r="B334" t="s">
        <v>0</v>
      </c>
      <c r="C334">
        <v>168</v>
      </c>
      <c r="D334">
        <v>63</v>
      </c>
      <c r="E334">
        <v>66</v>
      </c>
      <c r="F334">
        <v>81</v>
      </c>
      <c r="G334">
        <v>63</v>
      </c>
      <c r="H334">
        <v>69</v>
      </c>
      <c r="I334">
        <v>45</v>
      </c>
      <c r="J334">
        <v>93</v>
      </c>
      <c r="K334">
        <v>96</v>
      </c>
      <c r="L334">
        <v>174</v>
      </c>
      <c r="M334">
        <v>189</v>
      </c>
      <c r="N334">
        <v>63</v>
      </c>
      <c r="O334">
        <v>48</v>
      </c>
      <c r="P334">
        <v>36</v>
      </c>
      <c r="Q334">
        <v>60</v>
      </c>
      <c r="R334" s="8"/>
    </row>
    <row r="335" spans="1:18" x14ac:dyDescent="0.3">
      <c r="A335" t="s">
        <v>386</v>
      </c>
      <c r="B335" t="s">
        <v>0</v>
      </c>
      <c r="C335">
        <v>81</v>
      </c>
      <c r="D335">
        <v>63</v>
      </c>
      <c r="E335">
        <v>3</v>
      </c>
      <c r="F335">
        <v>3</v>
      </c>
      <c r="G335">
        <v>6</v>
      </c>
      <c r="H335">
        <v>3</v>
      </c>
      <c r="I335">
        <v>9</v>
      </c>
      <c r="J335">
        <v>0</v>
      </c>
      <c r="K335">
        <v>6</v>
      </c>
      <c r="L335">
        <v>30</v>
      </c>
      <c r="M335">
        <v>9</v>
      </c>
      <c r="N335">
        <v>3</v>
      </c>
      <c r="O335">
        <v>0</v>
      </c>
      <c r="P335">
        <v>0</v>
      </c>
      <c r="Q335">
        <v>0</v>
      </c>
      <c r="R335" s="8"/>
    </row>
    <row r="336" spans="1:18" x14ac:dyDescent="0.3">
      <c r="A336" t="s">
        <v>387</v>
      </c>
      <c r="B336" t="s">
        <v>1</v>
      </c>
      <c r="C336">
        <v>300</v>
      </c>
      <c r="D336">
        <v>60</v>
      </c>
      <c r="E336">
        <v>60</v>
      </c>
      <c r="F336">
        <v>75</v>
      </c>
      <c r="G336">
        <v>54</v>
      </c>
      <c r="H336">
        <v>81</v>
      </c>
      <c r="I336">
        <v>69</v>
      </c>
      <c r="J336">
        <v>57</v>
      </c>
      <c r="K336">
        <v>102</v>
      </c>
      <c r="L336">
        <v>99</v>
      </c>
      <c r="M336">
        <v>72</v>
      </c>
      <c r="N336">
        <v>54</v>
      </c>
      <c r="O336">
        <v>42</v>
      </c>
      <c r="P336">
        <v>33</v>
      </c>
      <c r="Q336">
        <v>57</v>
      </c>
      <c r="R336" s="8"/>
    </row>
    <row r="337" spans="1:18" x14ac:dyDescent="0.3">
      <c r="A337" t="s">
        <v>388</v>
      </c>
      <c r="B337" t="s">
        <v>0</v>
      </c>
      <c r="C337">
        <v>39</v>
      </c>
      <c r="D337">
        <v>60</v>
      </c>
      <c r="E337">
        <v>84</v>
      </c>
      <c r="F337">
        <v>27</v>
      </c>
      <c r="G337">
        <v>21</v>
      </c>
      <c r="H337">
        <v>27</v>
      </c>
      <c r="I337">
        <v>12</v>
      </c>
      <c r="J337">
        <v>9</v>
      </c>
      <c r="K337">
        <v>6</v>
      </c>
      <c r="L337">
        <v>0</v>
      </c>
      <c r="M337">
        <v>0</v>
      </c>
      <c r="N337">
        <v>12</v>
      </c>
      <c r="O337">
        <v>51</v>
      </c>
      <c r="P337">
        <v>147</v>
      </c>
      <c r="Q337">
        <v>54</v>
      </c>
      <c r="R337" s="8"/>
    </row>
    <row r="338" spans="1:18" x14ac:dyDescent="0.3">
      <c r="A338" t="s">
        <v>389</v>
      </c>
      <c r="B338" t="s">
        <v>0</v>
      </c>
      <c r="C338">
        <v>84</v>
      </c>
      <c r="D338">
        <v>60</v>
      </c>
      <c r="E338">
        <v>72</v>
      </c>
      <c r="F338">
        <v>66</v>
      </c>
      <c r="G338">
        <v>84</v>
      </c>
      <c r="H338">
        <v>36</v>
      </c>
      <c r="I338">
        <v>18</v>
      </c>
      <c r="J338">
        <v>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8"/>
    </row>
    <row r="339" spans="1:18" x14ac:dyDescent="0.3">
      <c r="A339" t="s">
        <v>390</v>
      </c>
      <c r="B339" t="s">
        <v>0</v>
      </c>
      <c r="C339">
        <v>102</v>
      </c>
      <c r="D339">
        <v>60</v>
      </c>
      <c r="E339">
        <v>66</v>
      </c>
      <c r="F339">
        <v>84</v>
      </c>
      <c r="G339">
        <v>93</v>
      </c>
      <c r="H339">
        <v>84</v>
      </c>
      <c r="I339">
        <v>33</v>
      </c>
      <c r="J339">
        <v>60</v>
      </c>
      <c r="K339">
        <v>93</v>
      </c>
      <c r="L339">
        <v>174</v>
      </c>
      <c r="M339">
        <v>153</v>
      </c>
      <c r="N339">
        <v>165</v>
      </c>
      <c r="O339">
        <v>171</v>
      </c>
      <c r="P339">
        <v>105</v>
      </c>
      <c r="Q339">
        <v>234</v>
      </c>
      <c r="R339" s="8"/>
    </row>
    <row r="340" spans="1:18" x14ac:dyDescent="0.3">
      <c r="A340" t="s">
        <v>391</v>
      </c>
      <c r="B340" t="s">
        <v>0</v>
      </c>
      <c r="C340">
        <v>243</v>
      </c>
      <c r="D340">
        <v>60</v>
      </c>
      <c r="E340">
        <v>54</v>
      </c>
      <c r="F340">
        <v>30</v>
      </c>
      <c r="G340">
        <v>48</v>
      </c>
      <c r="H340">
        <v>39</v>
      </c>
      <c r="I340">
        <v>6</v>
      </c>
      <c r="J340">
        <v>18</v>
      </c>
      <c r="K340">
        <v>36</v>
      </c>
      <c r="L340">
        <v>45</v>
      </c>
      <c r="M340">
        <v>30</v>
      </c>
      <c r="N340">
        <v>0</v>
      </c>
      <c r="O340">
        <v>0</v>
      </c>
      <c r="P340">
        <v>0</v>
      </c>
      <c r="Q340">
        <v>0</v>
      </c>
      <c r="R340" s="8"/>
    </row>
    <row r="341" spans="1:18" x14ac:dyDescent="0.3">
      <c r="A341" t="s">
        <v>392</v>
      </c>
      <c r="B341" t="s">
        <v>1</v>
      </c>
      <c r="C341">
        <v>1362</v>
      </c>
      <c r="D341">
        <v>57</v>
      </c>
      <c r="E341">
        <v>93</v>
      </c>
      <c r="F341">
        <v>132</v>
      </c>
      <c r="G341">
        <v>135</v>
      </c>
      <c r="H341">
        <v>93</v>
      </c>
      <c r="I341">
        <v>45</v>
      </c>
      <c r="J341">
        <v>135</v>
      </c>
      <c r="K341">
        <v>237</v>
      </c>
      <c r="L341">
        <v>285</v>
      </c>
      <c r="M341">
        <v>306</v>
      </c>
      <c r="N341">
        <v>252</v>
      </c>
      <c r="O341">
        <v>144</v>
      </c>
      <c r="P341">
        <v>93</v>
      </c>
      <c r="Q341">
        <v>42</v>
      </c>
      <c r="R341" s="8"/>
    </row>
    <row r="342" spans="1:18" x14ac:dyDescent="0.3">
      <c r="A342" t="s">
        <v>393</v>
      </c>
      <c r="B342" t="s">
        <v>0</v>
      </c>
      <c r="C342">
        <v>108</v>
      </c>
      <c r="D342">
        <v>57</v>
      </c>
      <c r="E342">
        <v>255</v>
      </c>
      <c r="F342">
        <v>234</v>
      </c>
      <c r="G342">
        <v>234</v>
      </c>
      <c r="H342">
        <v>234</v>
      </c>
      <c r="I342">
        <v>93</v>
      </c>
      <c r="J342">
        <v>63</v>
      </c>
      <c r="K342">
        <v>120</v>
      </c>
      <c r="L342">
        <v>111</v>
      </c>
      <c r="M342">
        <v>9</v>
      </c>
      <c r="N342">
        <v>15</v>
      </c>
      <c r="O342">
        <v>12</v>
      </c>
      <c r="P342">
        <v>36</v>
      </c>
      <c r="Q342">
        <v>33</v>
      </c>
      <c r="R342" s="8"/>
    </row>
    <row r="343" spans="1:18" x14ac:dyDescent="0.3">
      <c r="A343" t="s">
        <v>394</v>
      </c>
      <c r="B343" t="s">
        <v>0</v>
      </c>
      <c r="C343">
        <v>183</v>
      </c>
      <c r="D343">
        <v>57</v>
      </c>
      <c r="E343">
        <v>108</v>
      </c>
      <c r="F343">
        <v>105</v>
      </c>
      <c r="G343">
        <v>63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8"/>
    </row>
    <row r="344" spans="1:18" x14ac:dyDescent="0.3">
      <c r="A344" t="s">
        <v>395</v>
      </c>
      <c r="B344" t="s">
        <v>0</v>
      </c>
      <c r="C344">
        <v>342</v>
      </c>
      <c r="D344">
        <v>57</v>
      </c>
      <c r="E344">
        <v>90</v>
      </c>
      <c r="F344">
        <v>51</v>
      </c>
      <c r="G344">
        <v>45</v>
      </c>
      <c r="H344">
        <v>48</v>
      </c>
      <c r="I344">
        <v>33</v>
      </c>
      <c r="J344">
        <v>42</v>
      </c>
      <c r="K344">
        <v>57</v>
      </c>
      <c r="L344">
        <v>150</v>
      </c>
      <c r="M344">
        <v>48</v>
      </c>
      <c r="N344">
        <v>6</v>
      </c>
      <c r="O344">
        <v>24</v>
      </c>
      <c r="P344">
        <v>60</v>
      </c>
      <c r="Q344">
        <v>0</v>
      </c>
      <c r="R344" s="8"/>
    </row>
    <row r="345" spans="1:18" x14ac:dyDescent="0.3">
      <c r="A345" t="s">
        <v>396</v>
      </c>
      <c r="B345" t="s">
        <v>0</v>
      </c>
      <c r="C345">
        <v>75</v>
      </c>
      <c r="D345">
        <v>57</v>
      </c>
      <c r="E345">
        <v>84</v>
      </c>
      <c r="F345">
        <v>63</v>
      </c>
      <c r="G345">
        <v>78</v>
      </c>
      <c r="H345">
        <v>48</v>
      </c>
      <c r="I345">
        <v>18</v>
      </c>
      <c r="J345">
        <v>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8"/>
    </row>
    <row r="346" spans="1:18" x14ac:dyDescent="0.3">
      <c r="A346" t="s">
        <v>397</v>
      </c>
      <c r="B346" t="s">
        <v>0</v>
      </c>
      <c r="C346">
        <v>291</v>
      </c>
      <c r="D346">
        <v>57</v>
      </c>
      <c r="E346">
        <v>84</v>
      </c>
      <c r="F346">
        <v>60</v>
      </c>
      <c r="G346">
        <v>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8"/>
    </row>
    <row r="347" spans="1:18" x14ac:dyDescent="0.3">
      <c r="A347" t="s">
        <v>398</v>
      </c>
      <c r="B347" t="s">
        <v>0</v>
      </c>
      <c r="C347">
        <v>42</v>
      </c>
      <c r="D347">
        <v>57</v>
      </c>
      <c r="E347">
        <v>75</v>
      </c>
      <c r="F347">
        <v>84</v>
      </c>
      <c r="G347">
        <v>51</v>
      </c>
      <c r="H347">
        <v>72</v>
      </c>
      <c r="I347">
        <v>87</v>
      </c>
      <c r="J347">
        <v>66</v>
      </c>
      <c r="K347">
        <v>48</v>
      </c>
      <c r="L347">
        <v>75</v>
      </c>
      <c r="M347">
        <v>84</v>
      </c>
      <c r="N347">
        <v>105</v>
      </c>
      <c r="O347">
        <v>99</v>
      </c>
      <c r="P347">
        <v>21</v>
      </c>
      <c r="Q347">
        <v>36</v>
      </c>
      <c r="R347" s="8"/>
    </row>
    <row r="348" spans="1:18" x14ac:dyDescent="0.3">
      <c r="A348" t="s">
        <v>399</v>
      </c>
      <c r="B348" t="s">
        <v>0</v>
      </c>
      <c r="C348">
        <v>165</v>
      </c>
      <c r="D348">
        <v>57</v>
      </c>
      <c r="E348">
        <v>45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8"/>
    </row>
    <row r="349" spans="1:18" x14ac:dyDescent="0.3">
      <c r="A349" t="s">
        <v>400</v>
      </c>
      <c r="B349" t="s">
        <v>0</v>
      </c>
      <c r="C349">
        <v>315</v>
      </c>
      <c r="D349">
        <v>57</v>
      </c>
      <c r="E349">
        <v>36</v>
      </c>
      <c r="F349">
        <v>42</v>
      </c>
      <c r="G349">
        <v>21</v>
      </c>
      <c r="H349">
        <v>48</v>
      </c>
      <c r="I349">
        <v>18</v>
      </c>
      <c r="J349">
        <v>18</v>
      </c>
      <c r="K349">
        <v>6</v>
      </c>
      <c r="L349">
        <v>3</v>
      </c>
      <c r="M349">
        <v>60</v>
      </c>
      <c r="N349">
        <v>117</v>
      </c>
      <c r="O349">
        <v>309</v>
      </c>
      <c r="P349">
        <v>351</v>
      </c>
      <c r="Q349">
        <v>384</v>
      </c>
      <c r="R349" s="8"/>
    </row>
    <row r="350" spans="1:18" x14ac:dyDescent="0.3">
      <c r="A350" t="s">
        <v>401</v>
      </c>
      <c r="B350" t="s">
        <v>0</v>
      </c>
      <c r="C350">
        <v>1314</v>
      </c>
      <c r="D350">
        <v>57</v>
      </c>
      <c r="E350">
        <v>21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2106</v>
      </c>
      <c r="P350">
        <v>1464</v>
      </c>
      <c r="Q350">
        <v>3246</v>
      </c>
      <c r="R350" s="8"/>
    </row>
    <row r="351" spans="1:18" x14ac:dyDescent="0.3">
      <c r="A351" t="s">
        <v>402</v>
      </c>
      <c r="B351" t="s">
        <v>2</v>
      </c>
      <c r="C351">
        <v>243</v>
      </c>
      <c r="D351">
        <v>54</v>
      </c>
      <c r="E351">
        <v>162</v>
      </c>
      <c r="F351">
        <v>123</v>
      </c>
      <c r="G351">
        <v>120</v>
      </c>
      <c r="H351">
        <v>114</v>
      </c>
      <c r="I351">
        <v>84</v>
      </c>
      <c r="J351">
        <v>75</v>
      </c>
      <c r="K351">
        <v>117</v>
      </c>
      <c r="L351">
        <v>114</v>
      </c>
      <c r="M351">
        <v>72</v>
      </c>
      <c r="N351">
        <v>60</v>
      </c>
      <c r="O351">
        <v>96</v>
      </c>
      <c r="P351">
        <v>66</v>
      </c>
      <c r="Q351">
        <v>171</v>
      </c>
      <c r="R351" s="8"/>
    </row>
    <row r="352" spans="1:18" x14ac:dyDescent="0.3">
      <c r="A352" t="s">
        <v>403</v>
      </c>
      <c r="B352" t="s">
        <v>1</v>
      </c>
      <c r="C352">
        <v>99</v>
      </c>
      <c r="D352">
        <v>54</v>
      </c>
      <c r="E352">
        <v>96</v>
      </c>
      <c r="F352">
        <v>81</v>
      </c>
      <c r="G352">
        <v>39</v>
      </c>
      <c r="H352">
        <v>75</v>
      </c>
      <c r="I352">
        <v>30</v>
      </c>
      <c r="J352">
        <v>3</v>
      </c>
      <c r="K352">
        <v>9</v>
      </c>
      <c r="L352">
        <v>42</v>
      </c>
      <c r="M352">
        <v>78</v>
      </c>
      <c r="N352">
        <v>0</v>
      </c>
      <c r="O352">
        <v>0</v>
      </c>
      <c r="P352">
        <v>0</v>
      </c>
      <c r="Q352">
        <v>0</v>
      </c>
      <c r="R352" s="8"/>
    </row>
    <row r="353" spans="1:18" x14ac:dyDescent="0.3">
      <c r="A353" t="s">
        <v>404</v>
      </c>
      <c r="B353" t="s">
        <v>0</v>
      </c>
      <c r="C353">
        <v>27</v>
      </c>
      <c r="D353">
        <v>54</v>
      </c>
      <c r="E353">
        <v>174</v>
      </c>
      <c r="F353">
        <v>54</v>
      </c>
      <c r="G353">
        <v>21</v>
      </c>
      <c r="H353">
        <v>24</v>
      </c>
      <c r="I353">
        <v>30</v>
      </c>
      <c r="J353">
        <v>48</v>
      </c>
      <c r="K353">
        <v>39</v>
      </c>
      <c r="L353">
        <v>81</v>
      </c>
      <c r="M353">
        <v>87</v>
      </c>
      <c r="N353">
        <v>117</v>
      </c>
      <c r="O353">
        <v>78</v>
      </c>
      <c r="P353">
        <v>69</v>
      </c>
      <c r="Q353">
        <v>81</v>
      </c>
      <c r="R353" s="8"/>
    </row>
    <row r="354" spans="1:18" x14ac:dyDescent="0.3">
      <c r="A354" t="s">
        <v>405</v>
      </c>
      <c r="B354" t="s">
        <v>0</v>
      </c>
      <c r="C354">
        <v>576</v>
      </c>
      <c r="D354">
        <v>54</v>
      </c>
      <c r="E354">
        <v>81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8"/>
    </row>
    <row r="355" spans="1:18" x14ac:dyDescent="0.3">
      <c r="A355" t="s">
        <v>406</v>
      </c>
      <c r="B355" t="s">
        <v>0</v>
      </c>
      <c r="C355">
        <v>183</v>
      </c>
      <c r="D355">
        <v>54</v>
      </c>
      <c r="E355">
        <v>39</v>
      </c>
      <c r="F355">
        <v>42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8"/>
    </row>
    <row r="356" spans="1:18" x14ac:dyDescent="0.3">
      <c r="A356" t="s">
        <v>407</v>
      </c>
      <c r="B356" t="s">
        <v>0</v>
      </c>
      <c r="C356">
        <v>192</v>
      </c>
      <c r="D356">
        <v>54</v>
      </c>
      <c r="E356">
        <v>36</v>
      </c>
      <c r="F356">
        <v>90</v>
      </c>
      <c r="G356">
        <v>36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8"/>
    </row>
    <row r="357" spans="1:18" x14ac:dyDescent="0.3">
      <c r="A357" t="s">
        <v>408</v>
      </c>
      <c r="B357" t="s">
        <v>0</v>
      </c>
      <c r="C357">
        <v>117</v>
      </c>
      <c r="D357">
        <v>54</v>
      </c>
      <c r="E357">
        <v>33</v>
      </c>
      <c r="F357">
        <v>33</v>
      </c>
      <c r="G357">
        <v>24</v>
      </c>
      <c r="H357">
        <v>21</v>
      </c>
      <c r="I357">
        <v>18</v>
      </c>
      <c r="J357">
        <v>15</v>
      </c>
      <c r="K357">
        <v>12</v>
      </c>
      <c r="L357">
        <v>18</v>
      </c>
      <c r="M357">
        <v>6</v>
      </c>
      <c r="N357">
        <v>6</v>
      </c>
      <c r="O357">
        <v>24</v>
      </c>
      <c r="P357">
        <v>27</v>
      </c>
      <c r="Q357">
        <v>21</v>
      </c>
      <c r="R357" s="8"/>
    </row>
    <row r="358" spans="1:18" x14ac:dyDescent="0.3">
      <c r="A358" t="s">
        <v>409</v>
      </c>
      <c r="B358" t="s">
        <v>0</v>
      </c>
      <c r="C358">
        <v>252</v>
      </c>
      <c r="D358">
        <v>54</v>
      </c>
      <c r="E358">
        <v>33</v>
      </c>
      <c r="F358">
        <v>54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8"/>
    </row>
    <row r="359" spans="1:18" x14ac:dyDescent="0.3">
      <c r="A359" t="s">
        <v>410</v>
      </c>
      <c r="B359" t="s">
        <v>2</v>
      </c>
      <c r="C359">
        <v>393</v>
      </c>
      <c r="D359">
        <v>51</v>
      </c>
      <c r="E359">
        <v>177</v>
      </c>
      <c r="F359">
        <v>507</v>
      </c>
      <c r="G359">
        <v>300</v>
      </c>
      <c r="H359">
        <v>252</v>
      </c>
      <c r="I359">
        <v>222</v>
      </c>
      <c r="J359">
        <v>120</v>
      </c>
      <c r="K359">
        <v>153</v>
      </c>
      <c r="L359">
        <v>288</v>
      </c>
      <c r="M359">
        <v>186</v>
      </c>
      <c r="N359">
        <v>210</v>
      </c>
      <c r="O359">
        <v>180</v>
      </c>
      <c r="P359">
        <v>129</v>
      </c>
      <c r="Q359">
        <v>291</v>
      </c>
      <c r="R359" s="8"/>
    </row>
    <row r="360" spans="1:18" x14ac:dyDescent="0.3">
      <c r="A360" t="s">
        <v>411</v>
      </c>
      <c r="B360" t="s">
        <v>1</v>
      </c>
      <c r="C360">
        <v>750</v>
      </c>
      <c r="D360">
        <v>51</v>
      </c>
      <c r="E360">
        <v>63</v>
      </c>
      <c r="F360">
        <v>39</v>
      </c>
      <c r="G360">
        <v>45</v>
      </c>
      <c r="H360">
        <v>84</v>
      </c>
      <c r="I360">
        <v>54</v>
      </c>
      <c r="J360">
        <v>156</v>
      </c>
      <c r="K360">
        <v>192</v>
      </c>
      <c r="L360">
        <v>252</v>
      </c>
      <c r="M360">
        <v>258</v>
      </c>
      <c r="N360">
        <v>159</v>
      </c>
      <c r="O360">
        <v>156</v>
      </c>
      <c r="P360">
        <v>132</v>
      </c>
      <c r="Q360">
        <v>96</v>
      </c>
      <c r="R360" s="8"/>
    </row>
    <row r="361" spans="1:18" x14ac:dyDescent="0.3">
      <c r="A361" t="s">
        <v>412</v>
      </c>
      <c r="B361" t="s">
        <v>0</v>
      </c>
      <c r="C361">
        <v>228</v>
      </c>
      <c r="D361">
        <v>51</v>
      </c>
      <c r="E361">
        <v>120</v>
      </c>
      <c r="F361">
        <v>171</v>
      </c>
      <c r="G361">
        <v>180</v>
      </c>
      <c r="H361">
        <v>102</v>
      </c>
      <c r="I361">
        <v>42</v>
      </c>
      <c r="J361">
        <v>48</v>
      </c>
      <c r="K361">
        <v>3</v>
      </c>
      <c r="L361">
        <v>21</v>
      </c>
      <c r="M361">
        <v>117</v>
      </c>
      <c r="N361">
        <v>9</v>
      </c>
      <c r="O361">
        <v>21</v>
      </c>
      <c r="P361">
        <v>66</v>
      </c>
      <c r="Q361">
        <v>33</v>
      </c>
      <c r="R361" s="8"/>
    </row>
    <row r="362" spans="1:18" x14ac:dyDescent="0.3">
      <c r="A362" t="s">
        <v>413</v>
      </c>
      <c r="B362" t="s">
        <v>0</v>
      </c>
      <c r="C362">
        <v>228</v>
      </c>
      <c r="D362">
        <v>51</v>
      </c>
      <c r="E362">
        <v>99</v>
      </c>
      <c r="F362">
        <v>78</v>
      </c>
      <c r="G362">
        <v>33</v>
      </c>
      <c r="H362">
        <v>6</v>
      </c>
      <c r="I362">
        <v>51</v>
      </c>
      <c r="J362">
        <v>57</v>
      </c>
      <c r="K362">
        <v>36</v>
      </c>
      <c r="L362">
        <v>15</v>
      </c>
      <c r="M362">
        <v>63</v>
      </c>
      <c r="N362">
        <v>78</v>
      </c>
      <c r="O362">
        <v>138</v>
      </c>
      <c r="P362">
        <v>138</v>
      </c>
      <c r="Q362">
        <v>42</v>
      </c>
      <c r="R362" s="8"/>
    </row>
    <row r="363" spans="1:18" x14ac:dyDescent="0.3">
      <c r="A363" t="s">
        <v>414</v>
      </c>
      <c r="B363" t="s">
        <v>0</v>
      </c>
      <c r="C363">
        <v>96</v>
      </c>
      <c r="D363">
        <v>51</v>
      </c>
      <c r="E363">
        <v>87</v>
      </c>
      <c r="F363">
        <v>117</v>
      </c>
      <c r="G363">
        <v>63</v>
      </c>
      <c r="H363">
        <v>54</v>
      </c>
      <c r="I363">
        <v>21</v>
      </c>
      <c r="J363">
        <v>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8"/>
    </row>
    <row r="364" spans="1:18" x14ac:dyDescent="0.3">
      <c r="A364" t="s">
        <v>415</v>
      </c>
      <c r="B364" t="s">
        <v>0</v>
      </c>
      <c r="C364">
        <v>456</v>
      </c>
      <c r="D364">
        <v>51</v>
      </c>
      <c r="E364">
        <v>63</v>
      </c>
      <c r="F364">
        <v>90</v>
      </c>
      <c r="G364">
        <v>45</v>
      </c>
      <c r="H364">
        <v>60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8"/>
    </row>
    <row r="365" spans="1:18" x14ac:dyDescent="0.3">
      <c r="A365" t="s">
        <v>416</v>
      </c>
      <c r="B365" t="s">
        <v>0</v>
      </c>
      <c r="C365">
        <v>243</v>
      </c>
      <c r="D365">
        <v>51</v>
      </c>
      <c r="E365">
        <v>42</v>
      </c>
      <c r="F365">
        <v>57</v>
      </c>
      <c r="G365">
        <v>18</v>
      </c>
      <c r="H365">
        <v>27</v>
      </c>
      <c r="I365">
        <v>12</v>
      </c>
      <c r="J365">
        <v>18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8"/>
    </row>
    <row r="366" spans="1:18" x14ac:dyDescent="0.3">
      <c r="A366" t="s">
        <v>417</v>
      </c>
      <c r="B366" t="s">
        <v>0</v>
      </c>
      <c r="C366">
        <v>123</v>
      </c>
      <c r="D366">
        <v>51</v>
      </c>
      <c r="E366">
        <v>42</v>
      </c>
      <c r="F366">
        <v>33</v>
      </c>
      <c r="G366">
        <v>18</v>
      </c>
      <c r="H366">
        <v>12</v>
      </c>
      <c r="I366">
        <v>15</v>
      </c>
      <c r="J366">
        <v>18</v>
      </c>
      <c r="K366">
        <v>6</v>
      </c>
      <c r="L366">
        <v>39</v>
      </c>
      <c r="M366">
        <v>117</v>
      </c>
      <c r="N366">
        <v>105</v>
      </c>
      <c r="O366">
        <v>102</v>
      </c>
      <c r="P366">
        <v>114</v>
      </c>
      <c r="Q366">
        <v>96</v>
      </c>
      <c r="R366" s="8"/>
    </row>
    <row r="367" spans="1:18" x14ac:dyDescent="0.3">
      <c r="A367" t="s">
        <v>418</v>
      </c>
      <c r="B367" t="s">
        <v>0</v>
      </c>
      <c r="C367">
        <v>195</v>
      </c>
      <c r="D367">
        <v>51</v>
      </c>
      <c r="E367">
        <v>18</v>
      </c>
      <c r="F367">
        <v>129</v>
      </c>
      <c r="G367">
        <v>57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8"/>
    </row>
    <row r="368" spans="1:18" x14ac:dyDescent="0.3">
      <c r="A368" t="s">
        <v>419</v>
      </c>
      <c r="B368" t="s">
        <v>0</v>
      </c>
      <c r="C368">
        <v>69</v>
      </c>
      <c r="D368">
        <v>51</v>
      </c>
      <c r="E368">
        <v>6</v>
      </c>
      <c r="F368">
        <v>36</v>
      </c>
      <c r="G368">
        <v>30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8"/>
    </row>
    <row r="369" spans="1:18" x14ac:dyDescent="0.3">
      <c r="A369" t="s">
        <v>420</v>
      </c>
      <c r="B369" t="s">
        <v>3</v>
      </c>
      <c r="C369">
        <v>39</v>
      </c>
      <c r="D369">
        <v>51</v>
      </c>
      <c r="E369">
        <v>48</v>
      </c>
      <c r="F369">
        <v>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8"/>
    </row>
    <row r="370" spans="1:18" x14ac:dyDescent="0.3">
      <c r="A370" t="s">
        <v>421</v>
      </c>
      <c r="B370" t="s">
        <v>0</v>
      </c>
      <c r="C370">
        <v>309</v>
      </c>
      <c r="D370">
        <v>48</v>
      </c>
      <c r="E370">
        <v>117</v>
      </c>
      <c r="F370">
        <v>51</v>
      </c>
      <c r="G370">
        <v>60</v>
      </c>
      <c r="H370">
        <v>24</v>
      </c>
      <c r="I370">
        <v>9</v>
      </c>
      <c r="J370">
        <v>90</v>
      </c>
      <c r="K370">
        <v>78</v>
      </c>
      <c r="L370">
        <v>69</v>
      </c>
      <c r="M370">
        <v>75</v>
      </c>
      <c r="N370">
        <v>87</v>
      </c>
      <c r="O370">
        <v>114</v>
      </c>
      <c r="P370">
        <v>138</v>
      </c>
      <c r="Q370">
        <v>105</v>
      </c>
      <c r="R370" s="8"/>
    </row>
    <row r="371" spans="1:18" x14ac:dyDescent="0.3">
      <c r="A371" t="s">
        <v>422</v>
      </c>
      <c r="B371" t="s">
        <v>0</v>
      </c>
      <c r="C371">
        <v>807</v>
      </c>
      <c r="D371">
        <v>48</v>
      </c>
      <c r="E371">
        <v>105</v>
      </c>
      <c r="F371">
        <v>42</v>
      </c>
      <c r="G371">
        <v>45</v>
      </c>
      <c r="H371">
        <v>117</v>
      </c>
      <c r="I371">
        <v>99</v>
      </c>
      <c r="J371">
        <v>66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8"/>
    </row>
    <row r="372" spans="1:18" x14ac:dyDescent="0.3">
      <c r="A372" t="s">
        <v>423</v>
      </c>
      <c r="B372" t="s">
        <v>0</v>
      </c>
      <c r="C372">
        <v>108</v>
      </c>
      <c r="D372">
        <v>48</v>
      </c>
      <c r="E372">
        <v>99</v>
      </c>
      <c r="F372">
        <v>144</v>
      </c>
      <c r="G372">
        <v>51</v>
      </c>
      <c r="H372">
        <v>57</v>
      </c>
      <c r="I372">
        <v>0</v>
      </c>
      <c r="J372">
        <v>24</v>
      </c>
      <c r="K372">
        <v>144</v>
      </c>
      <c r="L372">
        <v>147</v>
      </c>
      <c r="M372">
        <v>132</v>
      </c>
      <c r="N372">
        <v>84</v>
      </c>
      <c r="O372">
        <v>36</v>
      </c>
      <c r="P372">
        <v>66</v>
      </c>
      <c r="Q372">
        <v>15</v>
      </c>
      <c r="R372" s="8"/>
    </row>
    <row r="373" spans="1:18" x14ac:dyDescent="0.3">
      <c r="A373" t="s">
        <v>424</v>
      </c>
      <c r="B373" t="s">
        <v>0</v>
      </c>
      <c r="C373">
        <v>81</v>
      </c>
      <c r="D373">
        <v>48</v>
      </c>
      <c r="E373">
        <v>69</v>
      </c>
      <c r="F373">
        <v>99</v>
      </c>
      <c r="G373">
        <v>117</v>
      </c>
      <c r="H373">
        <v>105</v>
      </c>
      <c r="I373">
        <v>75</v>
      </c>
      <c r="J373">
        <v>72</v>
      </c>
      <c r="K373">
        <v>45</v>
      </c>
      <c r="L373">
        <v>168</v>
      </c>
      <c r="M373">
        <v>183</v>
      </c>
      <c r="N373">
        <v>81</v>
      </c>
      <c r="O373">
        <v>66</v>
      </c>
      <c r="P373">
        <v>54</v>
      </c>
      <c r="Q373">
        <v>51</v>
      </c>
      <c r="R373" s="8"/>
    </row>
    <row r="374" spans="1:18" x14ac:dyDescent="0.3">
      <c r="A374" t="s">
        <v>425</v>
      </c>
      <c r="B374" t="s">
        <v>0</v>
      </c>
      <c r="C374">
        <v>186</v>
      </c>
      <c r="D374">
        <v>48</v>
      </c>
      <c r="E374">
        <v>60</v>
      </c>
      <c r="F374">
        <v>96</v>
      </c>
      <c r="G374">
        <v>84</v>
      </c>
      <c r="H374">
        <v>27</v>
      </c>
      <c r="I374">
        <v>126</v>
      </c>
      <c r="J374">
        <v>0</v>
      </c>
      <c r="K374">
        <v>0</v>
      </c>
      <c r="L374">
        <v>0</v>
      </c>
      <c r="M374">
        <v>15</v>
      </c>
      <c r="N374">
        <v>30</v>
      </c>
      <c r="O374">
        <v>27</v>
      </c>
      <c r="P374">
        <v>45</v>
      </c>
      <c r="Q374">
        <v>48</v>
      </c>
      <c r="R374" s="8"/>
    </row>
    <row r="375" spans="1:18" x14ac:dyDescent="0.3">
      <c r="A375" t="s">
        <v>426</v>
      </c>
      <c r="B375" t="s">
        <v>0</v>
      </c>
      <c r="C375">
        <v>219</v>
      </c>
      <c r="D375">
        <v>48</v>
      </c>
      <c r="E375">
        <v>57</v>
      </c>
      <c r="F375">
        <v>147</v>
      </c>
      <c r="G375">
        <v>75</v>
      </c>
      <c r="H375">
        <v>81</v>
      </c>
      <c r="I375">
        <v>57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8"/>
    </row>
    <row r="376" spans="1:18" x14ac:dyDescent="0.3">
      <c r="A376" t="s">
        <v>427</v>
      </c>
      <c r="B376" t="s">
        <v>0</v>
      </c>
      <c r="C376">
        <v>873</v>
      </c>
      <c r="D376">
        <v>48</v>
      </c>
      <c r="E376">
        <v>51</v>
      </c>
      <c r="F376">
        <v>48</v>
      </c>
      <c r="G376">
        <v>51</v>
      </c>
      <c r="H376">
        <v>63</v>
      </c>
      <c r="I376">
        <v>30</v>
      </c>
      <c r="J376">
        <v>102</v>
      </c>
      <c r="K376">
        <v>120</v>
      </c>
      <c r="L376">
        <v>228</v>
      </c>
      <c r="M376">
        <v>165</v>
      </c>
      <c r="N376">
        <v>99</v>
      </c>
      <c r="O376">
        <v>45</v>
      </c>
      <c r="P376">
        <v>48</v>
      </c>
      <c r="Q376">
        <v>249</v>
      </c>
      <c r="R376" s="8"/>
    </row>
    <row r="377" spans="1:18" x14ac:dyDescent="0.3">
      <c r="A377" t="s">
        <v>428</v>
      </c>
      <c r="B377" t="s">
        <v>0</v>
      </c>
      <c r="C377">
        <v>111</v>
      </c>
      <c r="D377">
        <v>48</v>
      </c>
      <c r="E377">
        <v>39</v>
      </c>
      <c r="F377">
        <v>6</v>
      </c>
      <c r="G377">
        <v>3</v>
      </c>
      <c r="H377">
        <v>9</v>
      </c>
      <c r="I377">
        <v>15</v>
      </c>
      <c r="J377">
        <v>54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8"/>
    </row>
    <row r="378" spans="1:18" x14ac:dyDescent="0.3">
      <c r="A378" t="s">
        <v>429</v>
      </c>
      <c r="B378" t="s">
        <v>0</v>
      </c>
      <c r="C378">
        <v>48</v>
      </c>
      <c r="D378">
        <v>48</v>
      </c>
      <c r="E378">
        <v>15</v>
      </c>
      <c r="F378">
        <v>39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8"/>
    </row>
    <row r="379" spans="1:18" x14ac:dyDescent="0.3">
      <c r="A379" t="s">
        <v>430</v>
      </c>
      <c r="B379" t="s">
        <v>0</v>
      </c>
      <c r="C379">
        <v>72</v>
      </c>
      <c r="D379">
        <v>48</v>
      </c>
      <c r="E379">
        <v>12</v>
      </c>
      <c r="F379">
        <v>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8"/>
    </row>
    <row r="380" spans="1:18" x14ac:dyDescent="0.3">
      <c r="A380" t="s">
        <v>431</v>
      </c>
      <c r="B380" t="s">
        <v>0</v>
      </c>
      <c r="C380">
        <v>231</v>
      </c>
      <c r="D380">
        <v>45</v>
      </c>
      <c r="E380">
        <v>72</v>
      </c>
      <c r="F380">
        <v>36</v>
      </c>
      <c r="G380">
        <v>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8"/>
    </row>
    <row r="381" spans="1:18" x14ac:dyDescent="0.3">
      <c r="A381" t="s">
        <v>432</v>
      </c>
      <c r="B381" t="s">
        <v>0</v>
      </c>
      <c r="C381">
        <v>102</v>
      </c>
      <c r="D381">
        <v>45</v>
      </c>
      <c r="E381">
        <v>51</v>
      </c>
      <c r="F381">
        <v>42</v>
      </c>
      <c r="G381">
        <v>21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8"/>
    </row>
    <row r="382" spans="1:18" x14ac:dyDescent="0.3">
      <c r="A382" t="s">
        <v>433</v>
      </c>
      <c r="B382" t="s">
        <v>0</v>
      </c>
      <c r="C382">
        <v>288</v>
      </c>
      <c r="D382">
        <v>45</v>
      </c>
      <c r="E382">
        <v>45</v>
      </c>
      <c r="F382">
        <v>93</v>
      </c>
      <c r="G382">
        <v>90</v>
      </c>
      <c r="H382">
        <v>66</v>
      </c>
      <c r="I382">
        <v>54</v>
      </c>
      <c r="J382">
        <v>15</v>
      </c>
      <c r="K382">
        <v>0</v>
      </c>
      <c r="L382">
        <v>6</v>
      </c>
      <c r="M382">
        <v>12</v>
      </c>
      <c r="N382">
        <v>18</v>
      </c>
      <c r="O382">
        <v>27</v>
      </c>
      <c r="P382">
        <v>42</v>
      </c>
      <c r="Q382">
        <v>36</v>
      </c>
      <c r="R382" s="8"/>
    </row>
    <row r="383" spans="1:18" x14ac:dyDescent="0.3">
      <c r="A383" t="s">
        <v>434</v>
      </c>
      <c r="B383" t="s">
        <v>1</v>
      </c>
      <c r="C383">
        <v>438</v>
      </c>
      <c r="D383">
        <v>42</v>
      </c>
      <c r="E383">
        <v>75</v>
      </c>
      <c r="F383">
        <v>45</v>
      </c>
      <c r="G383">
        <v>42</v>
      </c>
      <c r="H383">
        <v>75</v>
      </c>
      <c r="I383">
        <v>15</v>
      </c>
      <c r="J383">
        <v>24</v>
      </c>
      <c r="K383">
        <v>18</v>
      </c>
      <c r="L383">
        <v>30</v>
      </c>
      <c r="M383">
        <v>27</v>
      </c>
      <c r="N383">
        <v>3</v>
      </c>
      <c r="O383">
        <v>0</v>
      </c>
      <c r="P383">
        <v>0</v>
      </c>
      <c r="Q383">
        <v>0</v>
      </c>
      <c r="R383" s="8"/>
    </row>
    <row r="384" spans="1:18" x14ac:dyDescent="0.3">
      <c r="A384" t="s">
        <v>435</v>
      </c>
      <c r="B384" t="s">
        <v>0</v>
      </c>
      <c r="C384">
        <v>207</v>
      </c>
      <c r="D384">
        <v>42</v>
      </c>
      <c r="E384">
        <v>108</v>
      </c>
      <c r="F384">
        <v>141</v>
      </c>
      <c r="G384">
        <v>42</v>
      </c>
      <c r="H384">
        <v>30</v>
      </c>
      <c r="I384">
        <v>9</v>
      </c>
      <c r="J384">
        <v>57</v>
      </c>
      <c r="K384">
        <v>84</v>
      </c>
      <c r="L384">
        <v>78</v>
      </c>
      <c r="M384">
        <v>99</v>
      </c>
      <c r="N384">
        <v>102</v>
      </c>
      <c r="O384">
        <v>87</v>
      </c>
      <c r="P384">
        <v>183</v>
      </c>
      <c r="Q384">
        <v>195</v>
      </c>
      <c r="R384" s="8"/>
    </row>
    <row r="385" spans="1:18" x14ac:dyDescent="0.3">
      <c r="A385" t="s">
        <v>436</v>
      </c>
      <c r="B385" t="s">
        <v>0</v>
      </c>
      <c r="C385">
        <v>174</v>
      </c>
      <c r="D385">
        <v>42</v>
      </c>
      <c r="E385">
        <v>102</v>
      </c>
      <c r="F385">
        <v>84</v>
      </c>
      <c r="G385">
        <v>60</v>
      </c>
      <c r="H385">
        <v>45</v>
      </c>
      <c r="I385">
        <v>24</v>
      </c>
      <c r="J385">
        <v>18</v>
      </c>
      <c r="K385">
        <v>66</v>
      </c>
      <c r="L385">
        <v>69</v>
      </c>
      <c r="M385">
        <v>48</v>
      </c>
      <c r="N385">
        <v>39</v>
      </c>
      <c r="O385">
        <v>15</v>
      </c>
      <c r="P385">
        <v>27</v>
      </c>
      <c r="Q385">
        <v>30</v>
      </c>
      <c r="R385" s="8"/>
    </row>
    <row r="386" spans="1:18" x14ac:dyDescent="0.3">
      <c r="A386" t="s">
        <v>437</v>
      </c>
      <c r="B386" t="s">
        <v>0</v>
      </c>
      <c r="C386">
        <v>147</v>
      </c>
      <c r="D386">
        <v>42</v>
      </c>
      <c r="E386">
        <v>48</v>
      </c>
      <c r="F386">
        <v>81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8"/>
    </row>
    <row r="387" spans="1:18" x14ac:dyDescent="0.3">
      <c r="A387" t="s">
        <v>438</v>
      </c>
      <c r="B387" t="s">
        <v>0</v>
      </c>
      <c r="C387">
        <v>102</v>
      </c>
      <c r="D387">
        <v>42</v>
      </c>
      <c r="E387">
        <v>9</v>
      </c>
      <c r="F387">
        <v>3</v>
      </c>
      <c r="G387">
        <v>6</v>
      </c>
      <c r="H387">
        <v>12</v>
      </c>
      <c r="I387">
        <v>24</v>
      </c>
      <c r="J387">
        <v>39</v>
      </c>
      <c r="K387">
        <v>69</v>
      </c>
      <c r="L387">
        <v>99</v>
      </c>
      <c r="M387">
        <v>33</v>
      </c>
      <c r="N387">
        <v>12</v>
      </c>
      <c r="O387">
        <v>39</v>
      </c>
      <c r="P387">
        <v>0</v>
      </c>
      <c r="Q387">
        <v>0</v>
      </c>
      <c r="R387" s="8"/>
    </row>
    <row r="388" spans="1:18" x14ac:dyDescent="0.3">
      <c r="A388" t="s">
        <v>439</v>
      </c>
      <c r="B388" t="s">
        <v>0</v>
      </c>
      <c r="C388">
        <v>48</v>
      </c>
      <c r="D388">
        <v>42</v>
      </c>
      <c r="E388">
        <v>0</v>
      </c>
      <c r="F388">
        <v>21</v>
      </c>
      <c r="G388">
        <v>33</v>
      </c>
      <c r="H388">
        <v>18</v>
      </c>
      <c r="I388">
        <v>9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8"/>
    </row>
    <row r="389" spans="1:18" x14ac:dyDescent="0.3">
      <c r="A389" t="s">
        <v>440</v>
      </c>
      <c r="B389" t="s">
        <v>0</v>
      </c>
      <c r="C389">
        <v>198</v>
      </c>
      <c r="D389">
        <v>39</v>
      </c>
      <c r="E389">
        <v>105</v>
      </c>
      <c r="F389">
        <v>177</v>
      </c>
      <c r="G389">
        <v>63</v>
      </c>
      <c r="H389">
        <v>60</v>
      </c>
      <c r="I389">
        <v>63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8"/>
    </row>
    <row r="390" spans="1:18" x14ac:dyDescent="0.3">
      <c r="A390" t="s">
        <v>441</v>
      </c>
      <c r="B390" t="s">
        <v>0</v>
      </c>
      <c r="C390">
        <v>36</v>
      </c>
      <c r="D390">
        <v>39</v>
      </c>
      <c r="E390">
        <v>87</v>
      </c>
      <c r="F390">
        <v>525</v>
      </c>
      <c r="G390">
        <v>147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8"/>
    </row>
    <row r="391" spans="1:18" x14ac:dyDescent="0.3">
      <c r="A391" t="s">
        <v>442</v>
      </c>
      <c r="B391" t="s">
        <v>0</v>
      </c>
      <c r="C391">
        <v>78</v>
      </c>
      <c r="D391">
        <v>39</v>
      </c>
      <c r="E391">
        <v>72</v>
      </c>
      <c r="F391">
        <v>66</v>
      </c>
      <c r="G391">
        <v>78</v>
      </c>
      <c r="H391">
        <v>54</v>
      </c>
      <c r="I391">
        <v>66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8"/>
    </row>
    <row r="392" spans="1:18" x14ac:dyDescent="0.3">
      <c r="A392" t="s">
        <v>443</v>
      </c>
      <c r="B392" t="s">
        <v>0</v>
      </c>
      <c r="C392">
        <v>285</v>
      </c>
      <c r="D392">
        <v>39</v>
      </c>
      <c r="E392">
        <v>69</v>
      </c>
      <c r="F392">
        <v>87</v>
      </c>
      <c r="G392">
        <v>48</v>
      </c>
      <c r="H392">
        <v>48</v>
      </c>
      <c r="I392">
        <v>21</v>
      </c>
      <c r="J392">
        <v>60</v>
      </c>
      <c r="K392">
        <v>165</v>
      </c>
      <c r="L392">
        <v>114</v>
      </c>
      <c r="M392">
        <v>69</v>
      </c>
      <c r="N392">
        <v>45</v>
      </c>
      <c r="O392">
        <v>51</v>
      </c>
      <c r="P392">
        <v>39</v>
      </c>
      <c r="Q392">
        <v>45</v>
      </c>
      <c r="R392" s="8"/>
    </row>
    <row r="393" spans="1:18" x14ac:dyDescent="0.3">
      <c r="A393" t="s">
        <v>444</v>
      </c>
      <c r="B393" t="s">
        <v>0</v>
      </c>
      <c r="C393">
        <v>201</v>
      </c>
      <c r="D393">
        <v>39</v>
      </c>
      <c r="E393">
        <v>27</v>
      </c>
      <c r="F393">
        <v>60</v>
      </c>
      <c r="G393">
        <v>57</v>
      </c>
      <c r="H393">
        <v>75</v>
      </c>
      <c r="I393">
        <v>75</v>
      </c>
      <c r="J393">
        <v>60</v>
      </c>
      <c r="K393">
        <v>81</v>
      </c>
      <c r="L393">
        <v>114</v>
      </c>
      <c r="M393">
        <v>81</v>
      </c>
      <c r="N393">
        <v>72</v>
      </c>
      <c r="O393">
        <v>51</v>
      </c>
      <c r="P393">
        <v>60</v>
      </c>
      <c r="Q393">
        <v>63</v>
      </c>
      <c r="R393" s="8"/>
    </row>
    <row r="394" spans="1:18" x14ac:dyDescent="0.3">
      <c r="A394" t="s">
        <v>445</v>
      </c>
      <c r="B394" t="s">
        <v>1</v>
      </c>
      <c r="C394">
        <v>432</v>
      </c>
      <c r="D394">
        <v>36</v>
      </c>
      <c r="E394">
        <v>66</v>
      </c>
      <c r="F394">
        <v>81</v>
      </c>
      <c r="G394">
        <v>39</v>
      </c>
      <c r="H394">
        <v>36</v>
      </c>
      <c r="I394">
        <v>45</v>
      </c>
      <c r="J394">
        <v>105</v>
      </c>
      <c r="K394">
        <v>111</v>
      </c>
      <c r="L394">
        <v>135</v>
      </c>
      <c r="M394">
        <v>135</v>
      </c>
      <c r="N394">
        <v>129</v>
      </c>
      <c r="O394">
        <v>60</v>
      </c>
      <c r="P394">
        <v>96</v>
      </c>
      <c r="Q394">
        <v>108</v>
      </c>
      <c r="R394" s="8"/>
    </row>
    <row r="395" spans="1:18" x14ac:dyDescent="0.3">
      <c r="A395" t="s">
        <v>446</v>
      </c>
      <c r="B395" t="s">
        <v>1</v>
      </c>
      <c r="C395">
        <v>60</v>
      </c>
      <c r="D395">
        <v>36</v>
      </c>
      <c r="E395">
        <v>24</v>
      </c>
      <c r="F395">
        <v>24</v>
      </c>
      <c r="G395">
        <v>21</v>
      </c>
      <c r="H395">
        <v>54</v>
      </c>
      <c r="I395">
        <v>0</v>
      </c>
      <c r="J395">
        <v>9</v>
      </c>
      <c r="K395">
        <v>30</v>
      </c>
      <c r="L395">
        <v>108</v>
      </c>
      <c r="M395">
        <v>72</v>
      </c>
      <c r="N395">
        <v>18</v>
      </c>
      <c r="O395">
        <v>51</v>
      </c>
      <c r="P395">
        <v>45</v>
      </c>
      <c r="Q395">
        <v>192</v>
      </c>
      <c r="R395" s="8"/>
    </row>
    <row r="396" spans="1:18" x14ac:dyDescent="0.3">
      <c r="A396" t="s">
        <v>447</v>
      </c>
      <c r="B396" t="s">
        <v>1</v>
      </c>
      <c r="C396">
        <v>225</v>
      </c>
      <c r="D396">
        <v>36</v>
      </c>
      <c r="E396">
        <v>18</v>
      </c>
      <c r="F396">
        <v>48</v>
      </c>
      <c r="G396">
        <v>18</v>
      </c>
      <c r="H396">
        <v>18</v>
      </c>
      <c r="I396">
        <v>30</v>
      </c>
      <c r="J396">
        <v>15</v>
      </c>
      <c r="K396">
        <v>27</v>
      </c>
      <c r="L396">
        <v>33</v>
      </c>
      <c r="M396">
        <v>42</v>
      </c>
      <c r="N396">
        <v>0</v>
      </c>
      <c r="O396">
        <v>0</v>
      </c>
      <c r="P396">
        <v>0</v>
      </c>
      <c r="Q396">
        <v>0</v>
      </c>
      <c r="R396" s="8"/>
    </row>
    <row r="397" spans="1:18" x14ac:dyDescent="0.3">
      <c r="A397" t="s">
        <v>448</v>
      </c>
      <c r="B397" t="s">
        <v>0</v>
      </c>
      <c r="C397">
        <v>699</v>
      </c>
      <c r="D397">
        <v>36</v>
      </c>
      <c r="E397">
        <v>81</v>
      </c>
      <c r="F397">
        <v>63</v>
      </c>
      <c r="G397">
        <v>57</v>
      </c>
      <c r="H397">
        <v>108</v>
      </c>
      <c r="I397">
        <v>75</v>
      </c>
      <c r="J397">
        <v>45</v>
      </c>
      <c r="K397">
        <v>147</v>
      </c>
      <c r="L397">
        <v>195</v>
      </c>
      <c r="M397">
        <v>222</v>
      </c>
      <c r="N397">
        <v>243</v>
      </c>
      <c r="O397">
        <v>156</v>
      </c>
      <c r="P397">
        <v>78</v>
      </c>
      <c r="Q397">
        <v>261</v>
      </c>
      <c r="R397" s="8"/>
    </row>
    <row r="398" spans="1:18" x14ac:dyDescent="0.3">
      <c r="A398" t="s">
        <v>449</v>
      </c>
      <c r="B398" t="s">
        <v>0</v>
      </c>
      <c r="C398">
        <v>159</v>
      </c>
      <c r="D398">
        <v>36</v>
      </c>
      <c r="E398">
        <v>72</v>
      </c>
      <c r="F398">
        <v>102</v>
      </c>
      <c r="G398">
        <v>54</v>
      </c>
      <c r="H398">
        <v>48</v>
      </c>
      <c r="I398">
        <v>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8"/>
    </row>
    <row r="399" spans="1:18" x14ac:dyDescent="0.3">
      <c r="A399" t="s">
        <v>450</v>
      </c>
      <c r="B399" t="s">
        <v>0</v>
      </c>
      <c r="C399">
        <v>87</v>
      </c>
      <c r="D399">
        <v>36</v>
      </c>
      <c r="E399">
        <v>15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8"/>
    </row>
    <row r="400" spans="1:18" x14ac:dyDescent="0.3">
      <c r="A400" t="s">
        <v>451</v>
      </c>
      <c r="B400" t="s">
        <v>0</v>
      </c>
      <c r="C400">
        <v>96</v>
      </c>
      <c r="D400">
        <v>36</v>
      </c>
      <c r="E400">
        <v>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8"/>
    </row>
    <row r="401" spans="1:18" x14ac:dyDescent="0.3">
      <c r="A401" t="s">
        <v>452</v>
      </c>
      <c r="B401" t="s">
        <v>0</v>
      </c>
      <c r="C401">
        <v>75</v>
      </c>
      <c r="D401">
        <v>33</v>
      </c>
      <c r="E401">
        <v>114</v>
      </c>
      <c r="F401">
        <v>147</v>
      </c>
      <c r="G401">
        <v>219</v>
      </c>
      <c r="H401">
        <v>246</v>
      </c>
      <c r="I401">
        <v>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8"/>
    </row>
    <row r="402" spans="1:18" x14ac:dyDescent="0.3">
      <c r="A402" t="s">
        <v>453</v>
      </c>
      <c r="B402" t="s">
        <v>0</v>
      </c>
      <c r="C402">
        <v>183</v>
      </c>
      <c r="D402">
        <v>33</v>
      </c>
      <c r="E402">
        <v>48</v>
      </c>
      <c r="F402">
        <v>24</v>
      </c>
      <c r="G402">
        <v>27</v>
      </c>
      <c r="H402">
        <v>30</v>
      </c>
      <c r="I402">
        <v>18</v>
      </c>
      <c r="J402">
        <v>24</v>
      </c>
      <c r="K402">
        <v>36</v>
      </c>
      <c r="L402">
        <v>57</v>
      </c>
      <c r="M402">
        <v>33</v>
      </c>
      <c r="N402">
        <v>0</v>
      </c>
      <c r="O402">
        <v>0</v>
      </c>
      <c r="P402">
        <v>0</v>
      </c>
      <c r="Q402">
        <v>0</v>
      </c>
      <c r="R402" s="8"/>
    </row>
    <row r="403" spans="1:18" x14ac:dyDescent="0.3">
      <c r="A403" t="s">
        <v>454</v>
      </c>
      <c r="B403" t="s">
        <v>0</v>
      </c>
      <c r="C403">
        <v>156</v>
      </c>
      <c r="D403">
        <v>33</v>
      </c>
      <c r="E403">
        <v>33</v>
      </c>
      <c r="F403">
        <v>21</v>
      </c>
      <c r="G403">
        <v>6</v>
      </c>
      <c r="H403">
        <v>3</v>
      </c>
      <c r="I403">
        <v>12</v>
      </c>
      <c r="J403">
        <v>12</v>
      </c>
      <c r="K403">
        <v>39</v>
      </c>
      <c r="L403">
        <v>84</v>
      </c>
      <c r="M403">
        <v>93</v>
      </c>
      <c r="N403">
        <v>12</v>
      </c>
      <c r="O403">
        <v>51</v>
      </c>
      <c r="P403">
        <v>33</v>
      </c>
      <c r="Q403">
        <v>30</v>
      </c>
      <c r="R403" s="8"/>
    </row>
    <row r="404" spans="1:18" x14ac:dyDescent="0.3">
      <c r="A404" t="s">
        <v>455</v>
      </c>
      <c r="B404" t="s">
        <v>0</v>
      </c>
      <c r="C404">
        <v>246</v>
      </c>
      <c r="D404">
        <v>33</v>
      </c>
      <c r="E404">
        <v>33</v>
      </c>
      <c r="F404">
        <v>90</v>
      </c>
      <c r="G404">
        <v>33</v>
      </c>
      <c r="H404">
        <v>21</v>
      </c>
      <c r="I404">
        <v>24</v>
      </c>
      <c r="J404">
        <v>30</v>
      </c>
      <c r="K404">
        <v>21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8"/>
    </row>
    <row r="405" spans="1:18" x14ac:dyDescent="0.3">
      <c r="A405" t="s">
        <v>456</v>
      </c>
      <c r="B405" t="s">
        <v>0</v>
      </c>
      <c r="C405">
        <v>138</v>
      </c>
      <c r="D405">
        <v>33</v>
      </c>
      <c r="E405">
        <v>24</v>
      </c>
      <c r="F405">
        <v>6</v>
      </c>
      <c r="G405">
        <v>6</v>
      </c>
      <c r="H405">
        <v>9</v>
      </c>
      <c r="I405">
        <v>12</v>
      </c>
      <c r="J405">
        <v>33</v>
      </c>
      <c r="K405">
        <v>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8"/>
    </row>
    <row r="406" spans="1:18" x14ac:dyDescent="0.3">
      <c r="A406" t="s">
        <v>457</v>
      </c>
      <c r="B406" t="s">
        <v>0</v>
      </c>
      <c r="C406">
        <v>81</v>
      </c>
      <c r="D406">
        <v>33</v>
      </c>
      <c r="E406">
        <v>24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8"/>
    </row>
    <row r="407" spans="1:18" x14ac:dyDescent="0.3">
      <c r="A407" t="s">
        <v>458</v>
      </c>
      <c r="B407" t="s">
        <v>0</v>
      </c>
      <c r="C407">
        <v>45</v>
      </c>
      <c r="D407">
        <v>33</v>
      </c>
      <c r="E407">
        <v>21</v>
      </c>
      <c r="F407">
        <v>24</v>
      </c>
      <c r="G407">
        <v>15</v>
      </c>
      <c r="H407">
        <v>24</v>
      </c>
      <c r="I407">
        <v>9</v>
      </c>
      <c r="J407">
        <v>3</v>
      </c>
      <c r="K407">
        <v>9</v>
      </c>
      <c r="L407">
        <v>6</v>
      </c>
      <c r="M407">
        <v>3</v>
      </c>
      <c r="N407">
        <v>24</v>
      </c>
      <c r="O407">
        <v>6</v>
      </c>
      <c r="P407">
        <v>21</v>
      </c>
      <c r="Q407">
        <v>24</v>
      </c>
      <c r="R407" s="8"/>
    </row>
    <row r="408" spans="1:18" x14ac:dyDescent="0.3">
      <c r="A408" t="s">
        <v>459</v>
      </c>
      <c r="B408" t="s">
        <v>0</v>
      </c>
      <c r="C408">
        <v>81</v>
      </c>
      <c r="D408">
        <v>33</v>
      </c>
      <c r="E408">
        <v>18</v>
      </c>
      <c r="F408">
        <v>0</v>
      </c>
      <c r="G408">
        <v>3</v>
      </c>
      <c r="H408">
        <v>24</v>
      </c>
      <c r="I408">
        <v>9</v>
      </c>
      <c r="J408">
        <v>15</v>
      </c>
      <c r="K408">
        <v>3</v>
      </c>
      <c r="L408">
        <v>12</v>
      </c>
      <c r="M408">
        <v>36</v>
      </c>
      <c r="N408">
        <v>0</v>
      </c>
      <c r="O408">
        <v>0</v>
      </c>
      <c r="P408">
        <v>0</v>
      </c>
      <c r="Q408">
        <v>0</v>
      </c>
      <c r="R408" s="8"/>
    </row>
    <row r="409" spans="1:18" x14ac:dyDescent="0.3">
      <c r="A409" t="s">
        <v>460</v>
      </c>
      <c r="B409" t="s">
        <v>0</v>
      </c>
      <c r="C409">
        <v>135</v>
      </c>
      <c r="D409">
        <v>33</v>
      </c>
      <c r="E409">
        <v>12</v>
      </c>
      <c r="F409">
        <v>9</v>
      </c>
      <c r="G409">
        <v>6</v>
      </c>
      <c r="H409">
        <v>9</v>
      </c>
      <c r="I409">
        <v>12</v>
      </c>
      <c r="J409">
        <v>21</v>
      </c>
      <c r="K409">
        <v>6</v>
      </c>
      <c r="L409">
        <v>27</v>
      </c>
      <c r="M409">
        <v>21</v>
      </c>
      <c r="N409">
        <v>12</v>
      </c>
      <c r="O409">
        <v>120</v>
      </c>
      <c r="P409">
        <v>3</v>
      </c>
      <c r="Q409">
        <v>12</v>
      </c>
      <c r="R409" s="8"/>
    </row>
    <row r="410" spans="1:18" x14ac:dyDescent="0.3">
      <c r="A410" t="s">
        <v>461</v>
      </c>
      <c r="B410" t="s">
        <v>0</v>
      </c>
      <c r="C410">
        <v>195</v>
      </c>
      <c r="D410">
        <v>33</v>
      </c>
      <c r="E410">
        <v>6</v>
      </c>
      <c r="F410">
        <v>45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8"/>
    </row>
    <row r="411" spans="1:18" x14ac:dyDescent="0.3">
      <c r="A411" t="s">
        <v>462</v>
      </c>
      <c r="B411" t="s">
        <v>1</v>
      </c>
      <c r="C411">
        <v>144</v>
      </c>
      <c r="D411">
        <v>30</v>
      </c>
      <c r="E411">
        <v>129</v>
      </c>
      <c r="F411">
        <v>51</v>
      </c>
      <c r="G411">
        <v>27</v>
      </c>
      <c r="H411">
        <v>42</v>
      </c>
      <c r="I411">
        <v>36</v>
      </c>
      <c r="J411">
        <v>57</v>
      </c>
      <c r="K411">
        <v>69</v>
      </c>
      <c r="L411">
        <v>24</v>
      </c>
      <c r="M411">
        <v>21</v>
      </c>
      <c r="N411">
        <v>21</v>
      </c>
      <c r="O411">
        <v>9</v>
      </c>
      <c r="P411">
        <v>0</v>
      </c>
      <c r="Q411">
        <v>0</v>
      </c>
      <c r="R411" s="8"/>
    </row>
    <row r="412" spans="1:18" x14ac:dyDescent="0.3">
      <c r="A412" t="s">
        <v>463</v>
      </c>
      <c r="B412" t="s">
        <v>1</v>
      </c>
      <c r="C412">
        <v>93</v>
      </c>
      <c r="D412">
        <v>30</v>
      </c>
      <c r="E412">
        <v>51</v>
      </c>
      <c r="F412">
        <v>42</v>
      </c>
      <c r="G412">
        <v>36</v>
      </c>
      <c r="H412">
        <v>69</v>
      </c>
      <c r="I412">
        <v>39</v>
      </c>
      <c r="J412">
        <v>57</v>
      </c>
      <c r="K412">
        <v>75</v>
      </c>
      <c r="L412">
        <v>150</v>
      </c>
      <c r="M412">
        <v>174</v>
      </c>
      <c r="N412">
        <v>150</v>
      </c>
      <c r="O412">
        <v>87</v>
      </c>
      <c r="P412">
        <v>63</v>
      </c>
      <c r="Q412">
        <v>3</v>
      </c>
      <c r="R412" s="8"/>
    </row>
    <row r="413" spans="1:18" x14ac:dyDescent="0.3">
      <c r="A413" t="s">
        <v>464</v>
      </c>
      <c r="B413" t="s">
        <v>0</v>
      </c>
      <c r="C413">
        <v>54</v>
      </c>
      <c r="D413">
        <v>30</v>
      </c>
      <c r="E413">
        <v>87</v>
      </c>
      <c r="F413">
        <v>195</v>
      </c>
      <c r="G413">
        <v>255</v>
      </c>
      <c r="H413">
        <v>156</v>
      </c>
      <c r="I413">
        <v>117</v>
      </c>
      <c r="J413">
        <v>240</v>
      </c>
      <c r="K413">
        <v>153</v>
      </c>
      <c r="L413">
        <v>282</v>
      </c>
      <c r="M413">
        <v>237</v>
      </c>
      <c r="N413">
        <v>384</v>
      </c>
      <c r="O413">
        <v>219</v>
      </c>
      <c r="P413">
        <v>99</v>
      </c>
      <c r="Q413">
        <v>243</v>
      </c>
      <c r="R413" s="8"/>
    </row>
    <row r="414" spans="1:18" x14ac:dyDescent="0.3">
      <c r="A414" t="s">
        <v>465</v>
      </c>
      <c r="B414" t="s">
        <v>0</v>
      </c>
      <c r="C414">
        <v>450</v>
      </c>
      <c r="D414">
        <v>30</v>
      </c>
      <c r="E414">
        <v>84</v>
      </c>
      <c r="F414">
        <v>60</v>
      </c>
      <c r="G414">
        <v>54</v>
      </c>
      <c r="H414">
        <v>42</v>
      </c>
      <c r="I414">
        <v>42</v>
      </c>
      <c r="J414">
        <v>36</v>
      </c>
      <c r="K414">
        <v>75</v>
      </c>
      <c r="L414">
        <v>120</v>
      </c>
      <c r="M414">
        <v>72</v>
      </c>
      <c r="N414">
        <v>6</v>
      </c>
      <c r="O414">
        <v>15</v>
      </c>
      <c r="P414">
        <v>27</v>
      </c>
      <c r="Q414">
        <v>0</v>
      </c>
      <c r="R414" s="8"/>
    </row>
    <row r="415" spans="1:18" x14ac:dyDescent="0.3">
      <c r="A415" t="s">
        <v>466</v>
      </c>
      <c r="B415" t="s">
        <v>0</v>
      </c>
      <c r="C415">
        <v>132</v>
      </c>
      <c r="D415">
        <v>30</v>
      </c>
      <c r="E415">
        <v>84</v>
      </c>
      <c r="F415">
        <v>33</v>
      </c>
      <c r="G415">
        <v>21</v>
      </c>
      <c r="H415">
        <v>48</v>
      </c>
      <c r="I415">
        <v>18</v>
      </c>
      <c r="J415">
        <v>111</v>
      </c>
      <c r="K415">
        <v>69</v>
      </c>
      <c r="L415">
        <v>303</v>
      </c>
      <c r="M415">
        <v>90</v>
      </c>
      <c r="N415">
        <v>87</v>
      </c>
      <c r="O415">
        <v>63</v>
      </c>
      <c r="P415">
        <v>99</v>
      </c>
      <c r="Q415">
        <v>51</v>
      </c>
      <c r="R415" s="8"/>
    </row>
    <row r="416" spans="1:18" x14ac:dyDescent="0.3">
      <c r="A416" t="s">
        <v>467</v>
      </c>
      <c r="B416" t="s">
        <v>0</v>
      </c>
      <c r="C416">
        <v>207</v>
      </c>
      <c r="D416">
        <v>30</v>
      </c>
      <c r="E416">
        <v>54</v>
      </c>
      <c r="F416">
        <v>72</v>
      </c>
      <c r="G416">
        <v>24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8"/>
    </row>
    <row r="417" spans="1:18" x14ac:dyDescent="0.3">
      <c r="A417" t="s">
        <v>468</v>
      </c>
      <c r="B417" t="s">
        <v>0</v>
      </c>
      <c r="C417">
        <v>162</v>
      </c>
      <c r="D417">
        <v>30</v>
      </c>
      <c r="E417">
        <v>39</v>
      </c>
      <c r="F417">
        <v>60</v>
      </c>
      <c r="G417">
        <v>45</v>
      </c>
      <c r="H417">
        <v>51</v>
      </c>
      <c r="I417">
        <v>48</v>
      </c>
      <c r="J417">
        <v>120</v>
      </c>
      <c r="K417">
        <v>240</v>
      </c>
      <c r="L417">
        <v>426</v>
      </c>
      <c r="M417">
        <v>315</v>
      </c>
      <c r="N417">
        <v>204</v>
      </c>
      <c r="O417">
        <v>204</v>
      </c>
      <c r="P417">
        <v>42</v>
      </c>
      <c r="Q417">
        <v>111</v>
      </c>
      <c r="R417" s="8"/>
    </row>
    <row r="418" spans="1:18" x14ac:dyDescent="0.3">
      <c r="A418" t="s">
        <v>469</v>
      </c>
      <c r="B418" t="s">
        <v>0</v>
      </c>
      <c r="C418">
        <v>189</v>
      </c>
      <c r="D418">
        <v>30</v>
      </c>
      <c r="E418">
        <v>39</v>
      </c>
      <c r="F418">
        <v>39</v>
      </c>
      <c r="G418">
        <v>63</v>
      </c>
      <c r="H418">
        <v>54</v>
      </c>
      <c r="I418">
        <v>33</v>
      </c>
      <c r="J418">
        <v>90</v>
      </c>
      <c r="K418">
        <v>36</v>
      </c>
      <c r="L418">
        <v>159</v>
      </c>
      <c r="M418">
        <v>33</v>
      </c>
      <c r="N418">
        <v>6</v>
      </c>
      <c r="O418">
        <v>69</v>
      </c>
      <c r="P418">
        <v>48</v>
      </c>
      <c r="Q418">
        <v>36</v>
      </c>
      <c r="R418" s="8"/>
    </row>
    <row r="419" spans="1:18" x14ac:dyDescent="0.3">
      <c r="A419" t="s">
        <v>470</v>
      </c>
      <c r="B419" t="s">
        <v>0</v>
      </c>
      <c r="C419">
        <v>108</v>
      </c>
      <c r="D419">
        <v>30</v>
      </c>
      <c r="E419">
        <v>39</v>
      </c>
      <c r="F419">
        <v>27</v>
      </c>
      <c r="G419">
        <v>6</v>
      </c>
      <c r="H419">
        <v>15</v>
      </c>
      <c r="I419">
        <v>9</v>
      </c>
      <c r="J419">
        <v>33</v>
      </c>
      <c r="K419">
        <v>15</v>
      </c>
      <c r="L419">
        <v>27</v>
      </c>
      <c r="M419">
        <v>0</v>
      </c>
      <c r="N419">
        <v>0</v>
      </c>
      <c r="O419">
        <v>0</v>
      </c>
      <c r="P419">
        <v>0</v>
      </c>
      <c r="Q419">
        <v>9</v>
      </c>
      <c r="R419" s="8"/>
    </row>
    <row r="420" spans="1:18" x14ac:dyDescent="0.3">
      <c r="A420" t="s">
        <v>471</v>
      </c>
      <c r="B420" t="s">
        <v>0</v>
      </c>
      <c r="C420">
        <v>36</v>
      </c>
      <c r="D420">
        <v>30</v>
      </c>
      <c r="E420">
        <v>36</v>
      </c>
      <c r="F420">
        <v>39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6</v>
      </c>
      <c r="M420">
        <v>24</v>
      </c>
      <c r="N420">
        <v>30</v>
      </c>
      <c r="O420">
        <v>18</v>
      </c>
      <c r="P420">
        <v>39</v>
      </c>
      <c r="Q420">
        <v>9</v>
      </c>
      <c r="R420" s="8"/>
    </row>
    <row r="421" spans="1:18" x14ac:dyDescent="0.3">
      <c r="A421" t="s">
        <v>472</v>
      </c>
      <c r="B421" t="s">
        <v>0</v>
      </c>
      <c r="C421">
        <v>381</v>
      </c>
      <c r="D421">
        <v>30</v>
      </c>
      <c r="E421">
        <v>27</v>
      </c>
      <c r="F421">
        <v>18</v>
      </c>
      <c r="G421">
        <v>6</v>
      </c>
      <c r="H421">
        <v>27</v>
      </c>
      <c r="I421">
        <v>75</v>
      </c>
      <c r="J421">
        <v>42</v>
      </c>
      <c r="K421">
        <v>108</v>
      </c>
      <c r="L421">
        <v>282</v>
      </c>
      <c r="M421">
        <v>252</v>
      </c>
      <c r="N421">
        <v>138</v>
      </c>
      <c r="O421">
        <v>0</v>
      </c>
      <c r="P421">
        <v>0</v>
      </c>
      <c r="Q421">
        <v>0</v>
      </c>
      <c r="R421" s="8"/>
    </row>
    <row r="422" spans="1:18" x14ac:dyDescent="0.3">
      <c r="A422" t="s">
        <v>473</v>
      </c>
      <c r="B422" t="s">
        <v>0</v>
      </c>
      <c r="C422">
        <v>57</v>
      </c>
      <c r="D422">
        <v>30</v>
      </c>
      <c r="E422">
        <v>27</v>
      </c>
      <c r="F422">
        <v>24</v>
      </c>
      <c r="G422">
        <v>36</v>
      </c>
      <c r="H422">
        <v>48</v>
      </c>
      <c r="I422">
        <v>21</v>
      </c>
      <c r="J422">
        <v>42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8"/>
    </row>
    <row r="423" spans="1:18" x14ac:dyDescent="0.3">
      <c r="A423" t="s">
        <v>474</v>
      </c>
      <c r="B423" t="s">
        <v>0</v>
      </c>
      <c r="C423">
        <v>75</v>
      </c>
      <c r="D423">
        <v>30</v>
      </c>
      <c r="E423">
        <v>21</v>
      </c>
      <c r="F423">
        <v>30</v>
      </c>
      <c r="G423">
        <v>33</v>
      </c>
      <c r="H423">
        <v>18</v>
      </c>
      <c r="I423">
        <v>3</v>
      </c>
      <c r="J423">
        <v>3</v>
      </c>
      <c r="K423">
        <v>42</v>
      </c>
      <c r="L423">
        <v>45</v>
      </c>
      <c r="M423">
        <v>27</v>
      </c>
      <c r="N423">
        <v>21</v>
      </c>
      <c r="O423">
        <v>9</v>
      </c>
      <c r="P423">
        <v>30</v>
      </c>
      <c r="Q423">
        <v>0</v>
      </c>
      <c r="R423" s="8"/>
    </row>
    <row r="424" spans="1:18" x14ac:dyDescent="0.3">
      <c r="A424" t="s">
        <v>475</v>
      </c>
      <c r="B424" t="s">
        <v>0</v>
      </c>
      <c r="C424">
        <v>156</v>
      </c>
      <c r="D424">
        <v>30</v>
      </c>
      <c r="E424">
        <v>18</v>
      </c>
      <c r="F424">
        <v>12</v>
      </c>
      <c r="G424">
        <v>9</v>
      </c>
      <c r="H424">
        <v>3</v>
      </c>
      <c r="I424">
        <v>0</v>
      </c>
      <c r="J424">
        <v>36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8"/>
    </row>
    <row r="425" spans="1:18" x14ac:dyDescent="0.3">
      <c r="A425" t="s">
        <v>476</v>
      </c>
      <c r="B425" t="s">
        <v>0</v>
      </c>
      <c r="C425">
        <v>66</v>
      </c>
      <c r="D425">
        <v>30</v>
      </c>
      <c r="E425">
        <v>12</v>
      </c>
      <c r="F425">
        <v>24</v>
      </c>
      <c r="G425">
        <v>15</v>
      </c>
      <c r="H425">
        <v>27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8"/>
    </row>
    <row r="426" spans="1:18" x14ac:dyDescent="0.3">
      <c r="A426" t="s">
        <v>477</v>
      </c>
      <c r="B426" t="s">
        <v>0</v>
      </c>
      <c r="C426">
        <v>96</v>
      </c>
      <c r="D426">
        <v>30</v>
      </c>
      <c r="E426">
        <v>6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8"/>
    </row>
    <row r="427" spans="1:18" x14ac:dyDescent="0.3">
      <c r="A427" t="s">
        <v>478</v>
      </c>
      <c r="B427" t="s">
        <v>3</v>
      </c>
      <c r="C427">
        <v>84</v>
      </c>
      <c r="D427">
        <v>30</v>
      </c>
      <c r="E427">
        <v>9</v>
      </c>
      <c r="F427">
        <v>27</v>
      </c>
      <c r="G427">
        <v>18</v>
      </c>
      <c r="H427">
        <v>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8"/>
    </row>
    <row r="428" spans="1:18" x14ac:dyDescent="0.3">
      <c r="A428" t="s">
        <v>479</v>
      </c>
      <c r="B428" t="s">
        <v>0</v>
      </c>
      <c r="C428">
        <v>45</v>
      </c>
      <c r="D428">
        <v>27</v>
      </c>
      <c r="E428">
        <v>63</v>
      </c>
      <c r="F428">
        <v>51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8"/>
    </row>
    <row r="429" spans="1:18" x14ac:dyDescent="0.3">
      <c r="A429" t="s">
        <v>480</v>
      </c>
      <c r="B429" t="s">
        <v>0</v>
      </c>
      <c r="C429">
        <v>54</v>
      </c>
      <c r="D429">
        <v>27</v>
      </c>
      <c r="E429">
        <v>60</v>
      </c>
      <c r="F429">
        <v>36</v>
      </c>
      <c r="G429">
        <v>3</v>
      </c>
      <c r="H429">
        <v>6</v>
      </c>
      <c r="I429">
        <v>9</v>
      </c>
      <c r="J429">
        <v>12</v>
      </c>
      <c r="K429">
        <v>18</v>
      </c>
      <c r="L429">
        <v>39</v>
      </c>
      <c r="M429">
        <v>6</v>
      </c>
      <c r="N429">
        <v>0</v>
      </c>
      <c r="O429">
        <v>3</v>
      </c>
      <c r="P429">
        <v>0</v>
      </c>
      <c r="Q429">
        <v>15</v>
      </c>
      <c r="R429" s="8"/>
    </row>
    <row r="430" spans="1:18" x14ac:dyDescent="0.3">
      <c r="A430" t="s">
        <v>481</v>
      </c>
      <c r="B430" t="s">
        <v>0</v>
      </c>
      <c r="C430">
        <v>570</v>
      </c>
      <c r="D430">
        <v>27</v>
      </c>
      <c r="E430">
        <v>39</v>
      </c>
      <c r="F430">
        <v>54</v>
      </c>
      <c r="G430">
        <v>27</v>
      </c>
      <c r="H430">
        <v>36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8"/>
    </row>
    <row r="431" spans="1:18" x14ac:dyDescent="0.3">
      <c r="A431" t="s">
        <v>482</v>
      </c>
      <c r="B431" t="s">
        <v>0</v>
      </c>
      <c r="C431">
        <v>111</v>
      </c>
      <c r="D431">
        <v>27</v>
      </c>
      <c r="E431">
        <v>39</v>
      </c>
      <c r="F431">
        <v>72</v>
      </c>
      <c r="G431">
        <v>117</v>
      </c>
      <c r="H431">
        <v>45</v>
      </c>
      <c r="I431">
        <v>90</v>
      </c>
      <c r="J431">
        <v>105</v>
      </c>
      <c r="K431">
        <v>96</v>
      </c>
      <c r="L431">
        <v>144</v>
      </c>
      <c r="M431">
        <v>141</v>
      </c>
      <c r="N431">
        <v>201</v>
      </c>
      <c r="O431">
        <v>225</v>
      </c>
      <c r="P431">
        <v>114</v>
      </c>
      <c r="Q431">
        <v>225</v>
      </c>
      <c r="R431" s="8"/>
    </row>
    <row r="432" spans="1:18" x14ac:dyDescent="0.3">
      <c r="A432" t="s">
        <v>483</v>
      </c>
      <c r="B432" t="s">
        <v>0</v>
      </c>
      <c r="C432">
        <v>87</v>
      </c>
      <c r="D432">
        <v>27</v>
      </c>
      <c r="E432">
        <v>36</v>
      </c>
      <c r="F432">
        <v>21</v>
      </c>
      <c r="G432">
        <v>12</v>
      </c>
      <c r="H432">
        <v>12</v>
      </c>
      <c r="I432">
        <v>3</v>
      </c>
      <c r="J432">
        <v>12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8"/>
    </row>
    <row r="433" spans="1:18" x14ac:dyDescent="0.3">
      <c r="A433" t="s">
        <v>484</v>
      </c>
      <c r="B433" t="s">
        <v>0</v>
      </c>
      <c r="C433">
        <v>57</v>
      </c>
      <c r="D433">
        <v>27</v>
      </c>
      <c r="E433">
        <v>27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8"/>
    </row>
    <row r="434" spans="1:18" x14ac:dyDescent="0.3">
      <c r="A434" t="s">
        <v>485</v>
      </c>
      <c r="B434" t="s">
        <v>0</v>
      </c>
      <c r="C434">
        <v>171</v>
      </c>
      <c r="D434">
        <v>27</v>
      </c>
      <c r="E434">
        <v>15</v>
      </c>
      <c r="F434">
        <v>33</v>
      </c>
      <c r="G434">
        <v>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8"/>
    </row>
    <row r="435" spans="1:18" x14ac:dyDescent="0.3">
      <c r="A435" t="s">
        <v>486</v>
      </c>
      <c r="B435" t="s">
        <v>0</v>
      </c>
      <c r="C435">
        <v>132</v>
      </c>
      <c r="D435">
        <v>27</v>
      </c>
      <c r="E435">
        <v>12</v>
      </c>
      <c r="F435">
        <v>66</v>
      </c>
      <c r="G435">
        <v>54</v>
      </c>
      <c r="H435">
        <v>45</v>
      </c>
      <c r="I435">
        <v>48</v>
      </c>
      <c r="J435">
        <v>72</v>
      </c>
      <c r="K435">
        <v>42</v>
      </c>
      <c r="L435">
        <v>33</v>
      </c>
      <c r="M435">
        <v>54</v>
      </c>
      <c r="N435">
        <v>45</v>
      </c>
      <c r="O435">
        <v>0</v>
      </c>
      <c r="P435">
        <v>0</v>
      </c>
      <c r="Q435">
        <v>0</v>
      </c>
      <c r="R435" s="8"/>
    </row>
    <row r="436" spans="1:18" x14ac:dyDescent="0.3">
      <c r="A436" t="s">
        <v>487</v>
      </c>
      <c r="B436" t="s">
        <v>0</v>
      </c>
      <c r="C436">
        <v>1050</v>
      </c>
      <c r="D436">
        <v>27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8"/>
    </row>
    <row r="437" spans="1:18" x14ac:dyDescent="0.3">
      <c r="A437" t="s">
        <v>488</v>
      </c>
      <c r="B437" t="s">
        <v>1</v>
      </c>
      <c r="C437">
        <v>213</v>
      </c>
      <c r="D437">
        <v>24</v>
      </c>
      <c r="E437">
        <v>27</v>
      </c>
      <c r="F437">
        <v>54</v>
      </c>
      <c r="G437">
        <v>42</v>
      </c>
      <c r="H437">
        <v>33</v>
      </c>
      <c r="I437">
        <v>27</v>
      </c>
      <c r="J437">
        <v>18</v>
      </c>
      <c r="K437">
        <v>24</v>
      </c>
      <c r="L437">
        <v>27</v>
      </c>
      <c r="M437">
        <v>15</v>
      </c>
      <c r="N437">
        <v>0</v>
      </c>
      <c r="O437">
        <v>0</v>
      </c>
      <c r="P437">
        <v>0</v>
      </c>
      <c r="Q437">
        <v>0</v>
      </c>
      <c r="R437" s="8"/>
    </row>
    <row r="438" spans="1:18" x14ac:dyDescent="0.3">
      <c r="A438" t="s">
        <v>489</v>
      </c>
      <c r="B438" t="s">
        <v>0</v>
      </c>
      <c r="C438">
        <v>285</v>
      </c>
      <c r="D438">
        <v>24</v>
      </c>
      <c r="E438">
        <v>93</v>
      </c>
      <c r="F438">
        <v>42</v>
      </c>
      <c r="G438">
        <v>30</v>
      </c>
      <c r="H438">
        <v>27</v>
      </c>
      <c r="I438">
        <v>33</v>
      </c>
      <c r="J438">
        <v>27</v>
      </c>
      <c r="K438">
        <v>36</v>
      </c>
      <c r="L438">
        <v>24</v>
      </c>
      <c r="M438">
        <v>24</v>
      </c>
      <c r="N438">
        <v>24</v>
      </c>
      <c r="O438">
        <v>27</v>
      </c>
      <c r="P438">
        <v>27</v>
      </c>
      <c r="Q438">
        <v>18</v>
      </c>
      <c r="R438" s="8"/>
    </row>
    <row r="439" spans="1:18" x14ac:dyDescent="0.3">
      <c r="A439" t="s">
        <v>490</v>
      </c>
      <c r="B439" t="s">
        <v>0</v>
      </c>
      <c r="C439">
        <v>75</v>
      </c>
      <c r="D439">
        <v>24</v>
      </c>
      <c r="E439">
        <v>93</v>
      </c>
      <c r="F439">
        <v>144</v>
      </c>
      <c r="G439">
        <v>84</v>
      </c>
      <c r="H439">
        <v>120</v>
      </c>
      <c r="I439">
        <v>24</v>
      </c>
      <c r="J439">
        <v>21</v>
      </c>
      <c r="K439">
        <v>51</v>
      </c>
      <c r="L439">
        <v>66</v>
      </c>
      <c r="M439">
        <v>33</v>
      </c>
      <c r="N439">
        <v>102</v>
      </c>
      <c r="O439">
        <v>39</v>
      </c>
      <c r="P439">
        <v>90</v>
      </c>
      <c r="Q439">
        <v>30</v>
      </c>
      <c r="R439" s="8"/>
    </row>
    <row r="440" spans="1:18" x14ac:dyDescent="0.3">
      <c r="A440" t="s">
        <v>491</v>
      </c>
      <c r="B440" t="s">
        <v>0</v>
      </c>
      <c r="C440">
        <v>69</v>
      </c>
      <c r="D440">
        <v>24</v>
      </c>
      <c r="E440">
        <v>75</v>
      </c>
      <c r="F440">
        <v>99</v>
      </c>
      <c r="G440">
        <v>303</v>
      </c>
      <c r="H440">
        <v>270</v>
      </c>
      <c r="I440">
        <v>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8"/>
    </row>
    <row r="441" spans="1:18" x14ac:dyDescent="0.3">
      <c r="A441" t="s">
        <v>492</v>
      </c>
      <c r="B441" t="s">
        <v>0</v>
      </c>
      <c r="C441">
        <v>39</v>
      </c>
      <c r="D441">
        <v>24</v>
      </c>
      <c r="E441">
        <v>66</v>
      </c>
      <c r="F441">
        <v>87</v>
      </c>
      <c r="G441">
        <v>33</v>
      </c>
      <c r="H441">
        <v>66</v>
      </c>
      <c r="I441">
        <v>60</v>
      </c>
      <c r="J441">
        <v>51</v>
      </c>
      <c r="K441">
        <v>51</v>
      </c>
      <c r="L441">
        <v>54</v>
      </c>
      <c r="M441">
        <v>141</v>
      </c>
      <c r="N441">
        <v>75</v>
      </c>
      <c r="O441">
        <v>72</v>
      </c>
      <c r="P441">
        <v>72</v>
      </c>
      <c r="Q441">
        <v>183</v>
      </c>
      <c r="R441" s="8"/>
    </row>
    <row r="442" spans="1:18" x14ac:dyDescent="0.3">
      <c r="A442" t="s">
        <v>493</v>
      </c>
      <c r="B442" t="s">
        <v>0</v>
      </c>
      <c r="C442">
        <v>237</v>
      </c>
      <c r="D442">
        <v>24</v>
      </c>
      <c r="E442">
        <v>66</v>
      </c>
      <c r="F442">
        <v>39</v>
      </c>
      <c r="G442">
        <v>21</v>
      </c>
      <c r="H442">
        <v>51</v>
      </c>
      <c r="I442">
        <v>54</v>
      </c>
      <c r="J442">
        <v>36</v>
      </c>
      <c r="K442">
        <v>87</v>
      </c>
      <c r="L442">
        <v>48</v>
      </c>
      <c r="M442">
        <v>99</v>
      </c>
      <c r="N442">
        <v>57</v>
      </c>
      <c r="O442">
        <v>39</v>
      </c>
      <c r="P442">
        <v>33</v>
      </c>
      <c r="Q442">
        <v>81</v>
      </c>
      <c r="R442" s="8"/>
    </row>
    <row r="443" spans="1:18" x14ac:dyDescent="0.3">
      <c r="A443" t="s">
        <v>494</v>
      </c>
      <c r="B443" t="s">
        <v>0</v>
      </c>
      <c r="C443">
        <v>246</v>
      </c>
      <c r="D443">
        <v>24</v>
      </c>
      <c r="E443">
        <v>39</v>
      </c>
      <c r="F443">
        <v>33</v>
      </c>
      <c r="G443">
        <v>51</v>
      </c>
      <c r="H443">
        <v>90</v>
      </c>
      <c r="I443">
        <v>18</v>
      </c>
      <c r="J443">
        <v>66</v>
      </c>
      <c r="K443">
        <v>234</v>
      </c>
      <c r="L443">
        <v>42</v>
      </c>
      <c r="M443">
        <v>0</v>
      </c>
      <c r="N443">
        <v>0</v>
      </c>
      <c r="O443">
        <v>0</v>
      </c>
      <c r="P443">
        <v>0</v>
      </c>
      <c r="Q443">
        <v>0</v>
      </c>
      <c r="R443" s="8"/>
    </row>
    <row r="444" spans="1:18" x14ac:dyDescent="0.3">
      <c r="A444" t="s">
        <v>495</v>
      </c>
      <c r="B444" t="s">
        <v>0</v>
      </c>
      <c r="C444">
        <v>336</v>
      </c>
      <c r="D444">
        <v>24</v>
      </c>
      <c r="E444">
        <v>27</v>
      </c>
      <c r="F444">
        <v>57</v>
      </c>
      <c r="G444">
        <v>15</v>
      </c>
      <c r="H444">
        <v>39</v>
      </c>
      <c r="I444">
        <v>51</v>
      </c>
      <c r="J444">
        <v>63</v>
      </c>
      <c r="K444">
        <v>72</v>
      </c>
      <c r="L444">
        <v>96</v>
      </c>
      <c r="M444">
        <v>42</v>
      </c>
      <c r="N444">
        <v>0</v>
      </c>
      <c r="O444">
        <v>21</v>
      </c>
      <c r="P444">
        <v>24</v>
      </c>
      <c r="Q444">
        <v>0</v>
      </c>
      <c r="R444" s="8"/>
    </row>
    <row r="445" spans="1:18" x14ac:dyDescent="0.3">
      <c r="A445" t="s">
        <v>496</v>
      </c>
      <c r="B445" t="s">
        <v>0</v>
      </c>
      <c r="C445">
        <v>102</v>
      </c>
      <c r="D445">
        <v>24</v>
      </c>
      <c r="E445">
        <v>24</v>
      </c>
      <c r="F445">
        <v>27</v>
      </c>
      <c r="G445">
        <v>6</v>
      </c>
      <c r="H445">
        <v>6</v>
      </c>
      <c r="I445">
        <v>0</v>
      </c>
      <c r="J445">
        <v>24</v>
      </c>
      <c r="K445">
        <v>27</v>
      </c>
      <c r="L445">
        <v>48</v>
      </c>
      <c r="M445">
        <v>36</v>
      </c>
      <c r="N445">
        <v>51</v>
      </c>
      <c r="O445">
        <v>21</v>
      </c>
      <c r="P445">
        <v>33</v>
      </c>
      <c r="Q445">
        <v>39</v>
      </c>
      <c r="R445" s="8"/>
    </row>
    <row r="446" spans="1:18" x14ac:dyDescent="0.3">
      <c r="A446" t="s">
        <v>497</v>
      </c>
      <c r="B446" t="s">
        <v>0</v>
      </c>
      <c r="C446">
        <v>171</v>
      </c>
      <c r="D446">
        <v>24</v>
      </c>
      <c r="E446">
        <v>21</v>
      </c>
      <c r="F446">
        <v>108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8"/>
    </row>
    <row r="447" spans="1:18" x14ac:dyDescent="0.3">
      <c r="A447" t="s">
        <v>498</v>
      </c>
      <c r="B447" t="s">
        <v>0</v>
      </c>
      <c r="C447">
        <v>63</v>
      </c>
      <c r="D447">
        <v>24</v>
      </c>
      <c r="E447">
        <v>12</v>
      </c>
      <c r="F447">
        <v>33</v>
      </c>
      <c r="G447">
        <v>6</v>
      </c>
      <c r="H447">
        <v>0</v>
      </c>
      <c r="I447">
        <v>0</v>
      </c>
      <c r="J447">
        <v>0</v>
      </c>
      <c r="K447">
        <v>0</v>
      </c>
      <c r="L447">
        <v>6</v>
      </c>
      <c r="M447">
        <v>12</v>
      </c>
      <c r="N447">
        <v>48</v>
      </c>
      <c r="O447">
        <v>9</v>
      </c>
      <c r="P447">
        <v>36</v>
      </c>
      <c r="Q447">
        <v>15</v>
      </c>
      <c r="R447" s="8"/>
    </row>
    <row r="448" spans="1:18" x14ac:dyDescent="0.3">
      <c r="A448" t="s">
        <v>499</v>
      </c>
      <c r="B448" t="s">
        <v>3</v>
      </c>
      <c r="C448">
        <v>48</v>
      </c>
      <c r="D448">
        <v>24</v>
      </c>
      <c r="E448">
        <v>84</v>
      </c>
      <c r="F448">
        <v>87</v>
      </c>
      <c r="G448">
        <v>72</v>
      </c>
      <c r="H448">
        <v>48</v>
      </c>
      <c r="I448">
        <v>63</v>
      </c>
      <c r="J448">
        <v>102</v>
      </c>
      <c r="K448">
        <v>27</v>
      </c>
      <c r="L448">
        <v>57</v>
      </c>
      <c r="M448">
        <v>87</v>
      </c>
      <c r="N448">
        <v>108</v>
      </c>
      <c r="O448">
        <v>66</v>
      </c>
      <c r="P448">
        <v>66</v>
      </c>
      <c r="Q448">
        <v>135</v>
      </c>
      <c r="R448" s="8"/>
    </row>
    <row r="449" spans="1:18" x14ac:dyDescent="0.3">
      <c r="A449" t="s">
        <v>500</v>
      </c>
      <c r="B449" t="s">
        <v>0</v>
      </c>
      <c r="C449">
        <v>201</v>
      </c>
      <c r="D449">
        <v>21</v>
      </c>
      <c r="E449">
        <v>69</v>
      </c>
      <c r="F449">
        <v>9</v>
      </c>
      <c r="G449">
        <v>12</v>
      </c>
      <c r="H449">
        <v>45</v>
      </c>
      <c r="I449">
        <v>24</v>
      </c>
      <c r="J449">
        <v>75</v>
      </c>
      <c r="K449">
        <v>87</v>
      </c>
      <c r="L449">
        <v>252</v>
      </c>
      <c r="M449">
        <v>93</v>
      </c>
      <c r="N449">
        <v>63</v>
      </c>
      <c r="O449">
        <v>96</v>
      </c>
      <c r="P449">
        <v>117</v>
      </c>
      <c r="Q449">
        <v>42</v>
      </c>
      <c r="R449" s="8"/>
    </row>
    <row r="450" spans="1:18" x14ac:dyDescent="0.3">
      <c r="A450" t="s">
        <v>501</v>
      </c>
      <c r="B450" t="s">
        <v>0</v>
      </c>
      <c r="C450">
        <v>192</v>
      </c>
      <c r="D450">
        <v>21</v>
      </c>
      <c r="E450">
        <v>45</v>
      </c>
      <c r="F450">
        <v>117</v>
      </c>
      <c r="G450">
        <v>54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8"/>
    </row>
    <row r="451" spans="1:18" x14ac:dyDescent="0.3">
      <c r="A451" t="s">
        <v>502</v>
      </c>
      <c r="B451" t="s">
        <v>0</v>
      </c>
      <c r="C451">
        <v>432</v>
      </c>
      <c r="D451">
        <v>21</v>
      </c>
      <c r="E451">
        <v>42</v>
      </c>
      <c r="F451">
        <v>27</v>
      </c>
      <c r="G451">
        <v>21</v>
      </c>
      <c r="H451">
        <v>51</v>
      </c>
      <c r="I451">
        <v>21</v>
      </c>
      <c r="J451">
        <v>3</v>
      </c>
      <c r="K451">
        <v>24</v>
      </c>
      <c r="L451">
        <v>27</v>
      </c>
      <c r="M451">
        <v>42</v>
      </c>
      <c r="N451">
        <v>0</v>
      </c>
      <c r="O451">
        <v>0</v>
      </c>
      <c r="P451">
        <v>0</v>
      </c>
      <c r="Q451">
        <v>0</v>
      </c>
      <c r="R451" s="8"/>
    </row>
    <row r="452" spans="1:18" x14ac:dyDescent="0.3">
      <c r="A452" t="s">
        <v>503</v>
      </c>
      <c r="B452" t="s">
        <v>0</v>
      </c>
      <c r="C452">
        <v>27</v>
      </c>
      <c r="D452">
        <v>21</v>
      </c>
      <c r="E452">
        <v>39</v>
      </c>
      <c r="F452">
        <v>72</v>
      </c>
      <c r="G452">
        <v>48</v>
      </c>
      <c r="H452">
        <v>45</v>
      </c>
      <c r="I452">
        <v>57</v>
      </c>
      <c r="J452">
        <v>51</v>
      </c>
      <c r="K452">
        <v>66</v>
      </c>
      <c r="L452">
        <v>60</v>
      </c>
      <c r="M452">
        <v>84</v>
      </c>
      <c r="N452">
        <v>51</v>
      </c>
      <c r="O452">
        <v>51</v>
      </c>
      <c r="P452">
        <v>78</v>
      </c>
      <c r="Q452">
        <v>99</v>
      </c>
      <c r="R452" s="8"/>
    </row>
    <row r="453" spans="1:18" x14ac:dyDescent="0.3">
      <c r="A453" t="s">
        <v>504</v>
      </c>
      <c r="B453" t="s">
        <v>0</v>
      </c>
      <c r="C453">
        <v>66</v>
      </c>
      <c r="D453">
        <v>21</v>
      </c>
      <c r="E453">
        <v>39</v>
      </c>
      <c r="F453">
        <v>39</v>
      </c>
      <c r="G453">
        <v>27</v>
      </c>
      <c r="H453">
        <v>27</v>
      </c>
      <c r="I453">
        <v>24</v>
      </c>
      <c r="J453">
        <v>33</v>
      </c>
      <c r="K453">
        <v>33</v>
      </c>
      <c r="L453">
        <v>150</v>
      </c>
      <c r="M453">
        <v>57</v>
      </c>
      <c r="N453">
        <v>57</v>
      </c>
      <c r="O453">
        <v>69</v>
      </c>
      <c r="P453">
        <v>60</v>
      </c>
      <c r="Q453">
        <v>90</v>
      </c>
      <c r="R453" s="8"/>
    </row>
    <row r="454" spans="1:18" x14ac:dyDescent="0.3">
      <c r="A454" t="s">
        <v>505</v>
      </c>
      <c r="B454" t="s">
        <v>0</v>
      </c>
      <c r="C454">
        <v>42</v>
      </c>
      <c r="D454">
        <v>21</v>
      </c>
      <c r="E454">
        <v>30</v>
      </c>
      <c r="F454">
        <v>18</v>
      </c>
      <c r="G454">
        <v>3</v>
      </c>
      <c r="H454">
        <v>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8"/>
    </row>
    <row r="455" spans="1:18" x14ac:dyDescent="0.3">
      <c r="A455" t="s">
        <v>506</v>
      </c>
      <c r="B455" t="s">
        <v>0</v>
      </c>
      <c r="C455">
        <v>156</v>
      </c>
      <c r="D455">
        <v>21</v>
      </c>
      <c r="E455">
        <v>27</v>
      </c>
      <c r="F455">
        <v>12</v>
      </c>
      <c r="G455">
        <v>15</v>
      </c>
      <c r="H455">
        <v>12</v>
      </c>
      <c r="I455">
        <v>12</v>
      </c>
      <c r="J455">
        <v>24</v>
      </c>
      <c r="K455">
        <v>48</v>
      </c>
      <c r="L455">
        <v>57</v>
      </c>
      <c r="M455">
        <v>33</v>
      </c>
      <c r="N455">
        <v>33</v>
      </c>
      <c r="O455">
        <v>15</v>
      </c>
      <c r="P455">
        <v>3</v>
      </c>
      <c r="Q455">
        <v>18</v>
      </c>
      <c r="R455" s="8"/>
    </row>
    <row r="456" spans="1:18" x14ac:dyDescent="0.3">
      <c r="A456" t="s">
        <v>507</v>
      </c>
      <c r="B456" t="s">
        <v>0</v>
      </c>
      <c r="C456">
        <v>174</v>
      </c>
      <c r="D456">
        <v>21</v>
      </c>
      <c r="E456">
        <v>6</v>
      </c>
      <c r="F456">
        <v>0</v>
      </c>
      <c r="G456">
        <v>9</v>
      </c>
      <c r="H456">
        <v>24</v>
      </c>
      <c r="I456">
        <v>9</v>
      </c>
      <c r="J456">
        <v>24</v>
      </c>
      <c r="K456">
        <v>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8"/>
    </row>
    <row r="457" spans="1:18" x14ac:dyDescent="0.3">
      <c r="A457" t="s">
        <v>508</v>
      </c>
      <c r="B457" t="s">
        <v>3</v>
      </c>
      <c r="C457">
        <v>90</v>
      </c>
      <c r="D457">
        <v>21</v>
      </c>
      <c r="E457">
        <v>24</v>
      </c>
      <c r="F457">
        <v>84</v>
      </c>
      <c r="G457">
        <v>42</v>
      </c>
      <c r="H457">
        <v>27</v>
      </c>
      <c r="I457">
        <v>33</v>
      </c>
      <c r="J457">
        <v>48</v>
      </c>
      <c r="K457">
        <v>33</v>
      </c>
      <c r="L457">
        <v>27</v>
      </c>
      <c r="M457">
        <v>45</v>
      </c>
      <c r="N457">
        <v>30</v>
      </c>
      <c r="O457">
        <v>36</v>
      </c>
      <c r="P457">
        <v>15</v>
      </c>
      <c r="Q457">
        <v>15</v>
      </c>
      <c r="R457" s="8"/>
    </row>
    <row r="458" spans="1:18" x14ac:dyDescent="0.3">
      <c r="A458" t="s">
        <v>509</v>
      </c>
      <c r="B458" t="s">
        <v>0</v>
      </c>
      <c r="C458">
        <v>285</v>
      </c>
      <c r="D458">
        <v>18</v>
      </c>
      <c r="E458">
        <v>105</v>
      </c>
      <c r="F458">
        <v>81</v>
      </c>
      <c r="G458">
        <v>72</v>
      </c>
      <c r="H458">
        <v>66</v>
      </c>
      <c r="I458">
        <v>60</v>
      </c>
      <c r="J458">
        <v>3</v>
      </c>
      <c r="K458">
        <v>9</v>
      </c>
      <c r="L458">
        <v>12</v>
      </c>
      <c r="M458">
        <v>0</v>
      </c>
      <c r="N458">
        <v>39</v>
      </c>
      <c r="O458">
        <v>9</v>
      </c>
      <c r="P458">
        <v>30</v>
      </c>
      <c r="Q458">
        <v>36</v>
      </c>
      <c r="R458" s="8"/>
    </row>
    <row r="459" spans="1:18" x14ac:dyDescent="0.3">
      <c r="A459" t="s">
        <v>510</v>
      </c>
      <c r="B459" t="s">
        <v>0</v>
      </c>
      <c r="C459">
        <v>234</v>
      </c>
      <c r="D459">
        <v>18</v>
      </c>
      <c r="E459">
        <v>90</v>
      </c>
      <c r="F459">
        <v>57</v>
      </c>
      <c r="G459">
        <v>57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s="8"/>
    </row>
    <row r="460" spans="1:18" x14ac:dyDescent="0.3">
      <c r="A460" t="s">
        <v>511</v>
      </c>
      <c r="B460" t="s">
        <v>0</v>
      </c>
      <c r="C460">
        <v>45</v>
      </c>
      <c r="D460">
        <v>18</v>
      </c>
      <c r="E460">
        <v>57</v>
      </c>
      <c r="F460">
        <v>45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s="8"/>
    </row>
    <row r="461" spans="1:18" x14ac:dyDescent="0.3">
      <c r="A461" t="s">
        <v>512</v>
      </c>
      <c r="B461" t="s">
        <v>0</v>
      </c>
      <c r="C461">
        <v>45</v>
      </c>
      <c r="D461">
        <v>18</v>
      </c>
      <c r="E461">
        <v>51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8"/>
    </row>
    <row r="462" spans="1:18" x14ac:dyDescent="0.3">
      <c r="A462" t="s">
        <v>513</v>
      </c>
      <c r="B462" t="s">
        <v>0</v>
      </c>
      <c r="C462">
        <v>153</v>
      </c>
      <c r="D462">
        <v>18</v>
      </c>
      <c r="E462">
        <v>42</v>
      </c>
      <c r="F462">
        <v>60</v>
      </c>
      <c r="G462">
        <v>48</v>
      </c>
      <c r="H462">
        <v>45</v>
      </c>
      <c r="I462">
        <v>54</v>
      </c>
      <c r="J462">
        <v>75</v>
      </c>
      <c r="K462">
        <v>120</v>
      </c>
      <c r="L462">
        <v>54</v>
      </c>
      <c r="M462">
        <v>12</v>
      </c>
      <c r="N462">
        <v>6</v>
      </c>
      <c r="O462">
        <v>21</v>
      </c>
      <c r="P462">
        <v>21</v>
      </c>
      <c r="Q462">
        <v>42</v>
      </c>
      <c r="R462" s="8"/>
    </row>
    <row r="463" spans="1:18" x14ac:dyDescent="0.3">
      <c r="A463" t="s">
        <v>514</v>
      </c>
      <c r="B463" t="s">
        <v>0</v>
      </c>
      <c r="C463">
        <v>54</v>
      </c>
      <c r="D463">
        <v>18</v>
      </c>
      <c r="E463">
        <v>39</v>
      </c>
      <c r="F463">
        <v>21</v>
      </c>
      <c r="G463">
        <v>21</v>
      </c>
      <c r="H463">
        <v>15</v>
      </c>
      <c r="I463">
        <v>27</v>
      </c>
      <c r="J463">
        <v>30</v>
      </c>
      <c r="K463">
        <v>48</v>
      </c>
      <c r="L463">
        <v>33</v>
      </c>
      <c r="M463">
        <v>3</v>
      </c>
      <c r="N463">
        <v>3</v>
      </c>
      <c r="O463">
        <v>27</v>
      </c>
      <c r="P463">
        <v>24</v>
      </c>
      <c r="Q463">
        <v>84</v>
      </c>
      <c r="R463" s="8"/>
    </row>
    <row r="464" spans="1:18" x14ac:dyDescent="0.3">
      <c r="A464" t="s">
        <v>515</v>
      </c>
      <c r="B464" t="s">
        <v>0</v>
      </c>
      <c r="C464">
        <v>192</v>
      </c>
      <c r="D464">
        <v>18</v>
      </c>
      <c r="E464">
        <v>39</v>
      </c>
      <c r="F464">
        <v>69</v>
      </c>
      <c r="G464">
        <v>51</v>
      </c>
      <c r="H464">
        <v>42</v>
      </c>
      <c r="I464">
        <v>21</v>
      </c>
      <c r="J464">
        <v>15</v>
      </c>
      <c r="K464">
        <v>33</v>
      </c>
      <c r="L464">
        <v>42</v>
      </c>
      <c r="M464">
        <v>12</v>
      </c>
      <c r="N464">
        <v>15</v>
      </c>
      <c r="O464">
        <v>39</v>
      </c>
      <c r="P464">
        <v>21</v>
      </c>
      <c r="Q464">
        <v>39</v>
      </c>
      <c r="R464" s="8"/>
    </row>
    <row r="465" spans="1:18" x14ac:dyDescent="0.3">
      <c r="A465" t="s">
        <v>516</v>
      </c>
      <c r="B465" t="s">
        <v>0</v>
      </c>
      <c r="C465">
        <v>171</v>
      </c>
      <c r="D465">
        <v>18</v>
      </c>
      <c r="E465">
        <v>30</v>
      </c>
      <c r="F465">
        <v>78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8"/>
    </row>
    <row r="466" spans="1:18" x14ac:dyDescent="0.3">
      <c r="A466" t="s">
        <v>517</v>
      </c>
      <c r="B466" t="s">
        <v>0</v>
      </c>
      <c r="C466">
        <v>36</v>
      </c>
      <c r="D466">
        <v>18</v>
      </c>
      <c r="E466">
        <v>27</v>
      </c>
      <c r="F466">
        <v>42</v>
      </c>
      <c r="G466">
        <v>39</v>
      </c>
      <c r="H466">
        <v>54</v>
      </c>
      <c r="I466">
        <v>9</v>
      </c>
      <c r="J466">
        <v>51</v>
      </c>
      <c r="K466">
        <v>63</v>
      </c>
      <c r="L466">
        <v>126</v>
      </c>
      <c r="M466">
        <v>102</v>
      </c>
      <c r="N466">
        <v>81</v>
      </c>
      <c r="O466">
        <v>51</v>
      </c>
      <c r="P466">
        <v>27</v>
      </c>
      <c r="Q466">
        <v>51</v>
      </c>
      <c r="R466" s="8"/>
    </row>
    <row r="467" spans="1:18" x14ac:dyDescent="0.3">
      <c r="A467" t="s">
        <v>518</v>
      </c>
      <c r="B467" t="s">
        <v>0</v>
      </c>
      <c r="C467">
        <v>123</v>
      </c>
      <c r="D467">
        <v>18</v>
      </c>
      <c r="E467">
        <v>24</v>
      </c>
      <c r="F467">
        <v>15</v>
      </c>
      <c r="G467">
        <v>6</v>
      </c>
      <c r="H467">
        <v>9</v>
      </c>
      <c r="I467">
        <v>6</v>
      </c>
      <c r="J467">
        <v>6</v>
      </c>
      <c r="K467">
        <v>30</v>
      </c>
      <c r="L467">
        <v>9</v>
      </c>
      <c r="M467">
        <v>24</v>
      </c>
      <c r="N467">
        <v>15</v>
      </c>
      <c r="O467">
        <v>60</v>
      </c>
      <c r="P467">
        <v>30</v>
      </c>
      <c r="Q467">
        <v>27</v>
      </c>
      <c r="R467" s="8"/>
    </row>
    <row r="468" spans="1:18" x14ac:dyDescent="0.3">
      <c r="A468" t="s">
        <v>519</v>
      </c>
      <c r="B468" t="s">
        <v>0</v>
      </c>
      <c r="C468">
        <v>207</v>
      </c>
      <c r="D468">
        <v>18</v>
      </c>
      <c r="E468">
        <v>21</v>
      </c>
      <c r="F468">
        <v>18</v>
      </c>
      <c r="G468">
        <v>12</v>
      </c>
      <c r="H468">
        <v>21</v>
      </c>
      <c r="I468">
        <v>36</v>
      </c>
      <c r="J468">
        <v>45</v>
      </c>
      <c r="K468">
        <v>39</v>
      </c>
      <c r="L468">
        <v>33</v>
      </c>
      <c r="M468">
        <v>24</v>
      </c>
      <c r="N468">
        <v>18</v>
      </c>
      <c r="O468">
        <v>24</v>
      </c>
      <c r="P468">
        <v>24</v>
      </c>
      <c r="Q468">
        <v>21</v>
      </c>
      <c r="R468" s="8"/>
    </row>
    <row r="469" spans="1:18" x14ac:dyDescent="0.3">
      <c r="A469" t="s">
        <v>520</v>
      </c>
      <c r="B469" t="s">
        <v>0</v>
      </c>
      <c r="C469">
        <v>327</v>
      </c>
      <c r="D469">
        <v>18</v>
      </c>
      <c r="E469">
        <v>18</v>
      </c>
      <c r="F469">
        <v>21</v>
      </c>
      <c r="G469">
        <v>6</v>
      </c>
      <c r="H469">
        <v>9</v>
      </c>
      <c r="I469">
        <v>12</v>
      </c>
      <c r="J469">
        <v>21</v>
      </c>
      <c r="K469">
        <v>45</v>
      </c>
      <c r="L469">
        <v>54</v>
      </c>
      <c r="M469">
        <v>27</v>
      </c>
      <c r="N469">
        <v>54</v>
      </c>
      <c r="O469">
        <v>114</v>
      </c>
      <c r="P469">
        <v>108</v>
      </c>
      <c r="Q469">
        <v>111</v>
      </c>
      <c r="R469" s="8"/>
    </row>
    <row r="470" spans="1:18" x14ac:dyDescent="0.3">
      <c r="A470" t="s">
        <v>521</v>
      </c>
      <c r="B470" t="s">
        <v>0</v>
      </c>
      <c r="C470">
        <v>177</v>
      </c>
      <c r="D470">
        <v>18</v>
      </c>
      <c r="E470">
        <v>3</v>
      </c>
      <c r="F470">
        <v>3</v>
      </c>
      <c r="G470">
        <v>9</v>
      </c>
      <c r="H470">
        <v>0</v>
      </c>
      <c r="I470">
        <v>6</v>
      </c>
      <c r="J470">
        <v>24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8"/>
    </row>
    <row r="471" spans="1:18" x14ac:dyDescent="0.3">
      <c r="A471" t="s">
        <v>522</v>
      </c>
      <c r="B471" t="s">
        <v>0</v>
      </c>
      <c r="C471">
        <v>84</v>
      </c>
      <c r="D471">
        <v>18</v>
      </c>
      <c r="E471">
        <v>0</v>
      </c>
      <c r="F471">
        <v>0</v>
      </c>
      <c r="G471">
        <v>3</v>
      </c>
      <c r="H471">
        <v>0</v>
      </c>
      <c r="I471">
        <v>0</v>
      </c>
      <c r="J471">
        <v>3</v>
      </c>
      <c r="K471">
        <v>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8"/>
    </row>
    <row r="472" spans="1:18" x14ac:dyDescent="0.3">
      <c r="A472" t="s">
        <v>523</v>
      </c>
      <c r="B472" t="s">
        <v>1</v>
      </c>
      <c r="C472">
        <v>54</v>
      </c>
      <c r="D472">
        <v>15</v>
      </c>
      <c r="E472">
        <v>33</v>
      </c>
      <c r="F472">
        <v>93</v>
      </c>
      <c r="G472">
        <v>33</v>
      </c>
      <c r="H472">
        <v>54</v>
      </c>
      <c r="I472">
        <v>15</v>
      </c>
      <c r="J472">
        <v>69</v>
      </c>
      <c r="K472">
        <v>66</v>
      </c>
      <c r="L472">
        <v>93</v>
      </c>
      <c r="M472">
        <v>57</v>
      </c>
      <c r="N472">
        <v>39</v>
      </c>
      <c r="O472">
        <v>21</v>
      </c>
      <c r="P472">
        <v>33</v>
      </c>
      <c r="Q472">
        <v>78</v>
      </c>
      <c r="R472" s="8"/>
    </row>
    <row r="473" spans="1:18" x14ac:dyDescent="0.3">
      <c r="A473" t="s">
        <v>524</v>
      </c>
      <c r="B473" t="s">
        <v>0</v>
      </c>
      <c r="C473">
        <v>84</v>
      </c>
      <c r="D473">
        <v>15</v>
      </c>
      <c r="E473">
        <v>42</v>
      </c>
      <c r="F473">
        <v>54</v>
      </c>
      <c r="G473">
        <v>36</v>
      </c>
      <c r="H473">
        <v>93</v>
      </c>
      <c r="I473">
        <v>75</v>
      </c>
      <c r="J473">
        <v>114</v>
      </c>
      <c r="K473">
        <v>216</v>
      </c>
      <c r="L473">
        <v>252</v>
      </c>
      <c r="M473">
        <v>207</v>
      </c>
      <c r="N473">
        <v>189</v>
      </c>
      <c r="O473">
        <v>93</v>
      </c>
      <c r="P473">
        <v>42</v>
      </c>
      <c r="Q473">
        <v>66</v>
      </c>
      <c r="R473" s="8"/>
    </row>
    <row r="474" spans="1:18" x14ac:dyDescent="0.3">
      <c r="A474" t="s">
        <v>525</v>
      </c>
      <c r="B474" t="s">
        <v>0</v>
      </c>
      <c r="C474">
        <v>210</v>
      </c>
      <c r="D474">
        <v>15</v>
      </c>
      <c r="E474">
        <v>36</v>
      </c>
      <c r="F474">
        <v>33</v>
      </c>
      <c r="G474">
        <v>45</v>
      </c>
      <c r="H474">
        <v>21</v>
      </c>
      <c r="I474">
        <v>27</v>
      </c>
      <c r="J474">
        <v>33</v>
      </c>
      <c r="K474">
        <v>30</v>
      </c>
      <c r="L474">
        <v>69</v>
      </c>
      <c r="M474">
        <v>63</v>
      </c>
      <c r="N474">
        <v>63</v>
      </c>
      <c r="O474">
        <v>3</v>
      </c>
      <c r="P474">
        <v>0</v>
      </c>
      <c r="Q474">
        <v>0</v>
      </c>
      <c r="R474" s="8"/>
    </row>
    <row r="475" spans="1:18" x14ac:dyDescent="0.3">
      <c r="A475" t="s">
        <v>526</v>
      </c>
      <c r="B475" t="s">
        <v>0</v>
      </c>
      <c r="C475">
        <v>33</v>
      </c>
      <c r="D475">
        <v>15</v>
      </c>
      <c r="E475">
        <v>33</v>
      </c>
      <c r="F475">
        <v>120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8"/>
    </row>
    <row r="476" spans="1:18" x14ac:dyDescent="0.3">
      <c r="A476" t="s">
        <v>527</v>
      </c>
      <c r="B476" t="s">
        <v>0</v>
      </c>
      <c r="C476">
        <v>177</v>
      </c>
      <c r="D476">
        <v>15</v>
      </c>
      <c r="E476">
        <v>30</v>
      </c>
      <c r="F476">
        <v>24</v>
      </c>
      <c r="G476">
        <v>36</v>
      </c>
      <c r="H476">
        <v>30</v>
      </c>
      <c r="I476">
        <v>27</v>
      </c>
      <c r="J476">
        <v>42</v>
      </c>
      <c r="K476">
        <v>39</v>
      </c>
      <c r="L476">
        <v>33</v>
      </c>
      <c r="M476">
        <v>39</v>
      </c>
      <c r="N476">
        <v>69</v>
      </c>
      <c r="O476">
        <v>18</v>
      </c>
      <c r="P476">
        <v>18</v>
      </c>
      <c r="Q476">
        <v>36</v>
      </c>
      <c r="R476" s="8"/>
    </row>
    <row r="477" spans="1:18" x14ac:dyDescent="0.3">
      <c r="A477" t="s">
        <v>528</v>
      </c>
      <c r="B477" t="s">
        <v>0</v>
      </c>
      <c r="C477">
        <v>555</v>
      </c>
      <c r="D477">
        <v>15</v>
      </c>
      <c r="E477">
        <v>27</v>
      </c>
      <c r="F477">
        <v>21</v>
      </c>
      <c r="G477">
        <v>27</v>
      </c>
      <c r="H477">
        <v>33</v>
      </c>
      <c r="I477">
        <v>36</v>
      </c>
      <c r="J477">
        <v>36</v>
      </c>
      <c r="K477">
        <v>27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8"/>
    </row>
    <row r="478" spans="1:18" x14ac:dyDescent="0.3">
      <c r="A478" t="s">
        <v>529</v>
      </c>
      <c r="B478" t="s">
        <v>0</v>
      </c>
      <c r="C478">
        <v>192</v>
      </c>
      <c r="D478">
        <v>15</v>
      </c>
      <c r="E478">
        <v>24</v>
      </c>
      <c r="F478">
        <v>12</v>
      </c>
      <c r="G478">
        <v>45</v>
      </c>
      <c r="H478">
        <v>24</v>
      </c>
      <c r="I478">
        <v>12</v>
      </c>
      <c r="J478">
        <v>27</v>
      </c>
      <c r="K478">
        <v>39</v>
      </c>
      <c r="L478">
        <v>24</v>
      </c>
      <c r="M478">
        <v>33</v>
      </c>
      <c r="N478">
        <v>51</v>
      </c>
      <c r="O478">
        <v>0</v>
      </c>
      <c r="P478">
        <v>0</v>
      </c>
      <c r="Q478">
        <v>0</v>
      </c>
      <c r="R478" s="8"/>
    </row>
    <row r="479" spans="1:18" x14ac:dyDescent="0.3">
      <c r="A479" t="s">
        <v>530</v>
      </c>
      <c r="B479" t="s">
        <v>0</v>
      </c>
      <c r="C479">
        <v>57</v>
      </c>
      <c r="D479">
        <v>15</v>
      </c>
      <c r="E479">
        <v>21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8"/>
    </row>
    <row r="480" spans="1:18" x14ac:dyDescent="0.3">
      <c r="A480" t="s">
        <v>531</v>
      </c>
      <c r="B480" t="s">
        <v>0</v>
      </c>
      <c r="C480">
        <v>57</v>
      </c>
      <c r="D480">
        <v>15</v>
      </c>
      <c r="E480">
        <v>21</v>
      </c>
      <c r="F480">
        <v>45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8"/>
    </row>
    <row r="481" spans="1:18" x14ac:dyDescent="0.3">
      <c r="A481" t="s">
        <v>532</v>
      </c>
      <c r="B481" t="s">
        <v>0</v>
      </c>
      <c r="C481">
        <v>42</v>
      </c>
      <c r="D481">
        <v>15</v>
      </c>
      <c r="E481">
        <v>15</v>
      </c>
      <c r="F481">
        <v>54</v>
      </c>
      <c r="G481">
        <v>36</v>
      </c>
      <c r="H481">
        <v>48</v>
      </c>
      <c r="I481">
        <v>30</v>
      </c>
      <c r="J481">
        <v>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8"/>
    </row>
    <row r="482" spans="1:18" x14ac:dyDescent="0.3">
      <c r="A482" t="s">
        <v>533</v>
      </c>
      <c r="B482" t="s">
        <v>0</v>
      </c>
      <c r="C482">
        <v>648</v>
      </c>
      <c r="D482">
        <v>15</v>
      </c>
      <c r="E482">
        <v>15</v>
      </c>
      <c r="F482">
        <v>15</v>
      </c>
      <c r="G482">
        <v>18</v>
      </c>
      <c r="H482">
        <v>36</v>
      </c>
      <c r="I482">
        <v>30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8"/>
    </row>
    <row r="483" spans="1:18" x14ac:dyDescent="0.3">
      <c r="A483" t="s">
        <v>534</v>
      </c>
      <c r="B483" t="s">
        <v>0</v>
      </c>
      <c r="C483">
        <v>42</v>
      </c>
      <c r="D483">
        <v>15</v>
      </c>
      <c r="E483">
        <v>15</v>
      </c>
      <c r="F483">
        <v>3</v>
      </c>
      <c r="G483">
        <v>30</v>
      </c>
      <c r="H483">
        <v>48</v>
      </c>
      <c r="I483">
        <v>48</v>
      </c>
      <c r="J483">
        <v>3</v>
      </c>
      <c r="K483">
        <v>36</v>
      </c>
      <c r="L483">
        <v>54</v>
      </c>
      <c r="M483">
        <v>78</v>
      </c>
      <c r="N483">
        <v>21</v>
      </c>
      <c r="O483">
        <v>12</v>
      </c>
      <c r="P483">
        <v>63</v>
      </c>
      <c r="Q483">
        <v>3</v>
      </c>
      <c r="R483" s="8"/>
    </row>
    <row r="484" spans="1:18" x14ac:dyDescent="0.3">
      <c r="A484" t="s">
        <v>535</v>
      </c>
      <c r="B484" t="s">
        <v>0</v>
      </c>
      <c r="C484">
        <v>96</v>
      </c>
      <c r="D484">
        <v>15</v>
      </c>
      <c r="E484">
        <v>12</v>
      </c>
      <c r="F484">
        <v>63</v>
      </c>
      <c r="G484">
        <v>33</v>
      </c>
      <c r="H484">
        <v>33</v>
      </c>
      <c r="I484">
        <v>33</v>
      </c>
      <c r="J484">
        <v>54</v>
      </c>
      <c r="K484">
        <v>75</v>
      </c>
      <c r="L484">
        <v>51</v>
      </c>
      <c r="M484">
        <v>30</v>
      </c>
      <c r="N484">
        <v>39</v>
      </c>
      <c r="O484">
        <v>33</v>
      </c>
      <c r="P484">
        <v>45</v>
      </c>
      <c r="Q484">
        <v>72</v>
      </c>
      <c r="R484" s="8"/>
    </row>
    <row r="485" spans="1:18" x14ac:dyDescent="0.3">
      <c r="A485" t="s">
        <v>536</v>
      </c>
      <c r="B485" t="s">
        <v>0</v>
      </c>
      <c r="C485">
        <v>36</v>
      </c>
      <c r="D485">
        <v>15</v>
      </c>
      <c r="E485">
        <v>12</v>
      </c>
      <c r="F485">
        <v>3</v>
      </c>
      <c r="G485">
        <v>6</v>
      </c>
      <c r="H485">
        <v>3</v>
      </c>
      <c r="I485">
        <v>3</v>
      </c>
      <c r="J485">
        <v>15</v>
      </c>
      <c r="K485">
        <v>21</v>
      </c>
      <c r="L485">
        <v>15</v>
      </c>
      <c r="M485">
        <v>6</v>
      </c>
      <c r="N485">
        <v>0</v>
      </c>
      <c r="O485">
        <v>0</v>
      </c>
      <c r="P485">
        <v>0</v>
      </c>
      <c r="Q485">
        <v>0</v>
      </c>
      <c r="R485" s="8"/>
    </row>
    <row r="486" spans="1:18" x14ac:dyDescent="0.3">
      <c r="A486" t="s">
        <v>537</v>
      </c>
      <c r="B486" t="s">
        <v>0</v>
      </c>
      <c r="C486">
        <v>36</v>
      </c>
      <c r="D486">
        <v>15</v>
      </c>
      <c r="E486">
        <v>12</v>
      </c>
      <c r="F486">
        <v>12</v>
      </c>
      <c r="G486">
        <v>0</v>
      </c>
      <c r="H486">
        <v>0</v>
      </c>
      <c r="I486">
        <v>3</v>
      </c>
      <c r="J486">
        <v>6</v>
      </c>
      <c r="K486">
        <v>6</v>
      </c>
      <c r="L486">
        <v>21</v>
      </c>
      <c r="M486">
        <v>9</v>
      </c>
      <c r="N486">
        <v>0</v>
      </c>
      <c r="O486">
        <v>0</v>
      </c>
      <c r="P486">
        <v>0</v>
      </c>
      <c r="Q486">
        <v>0</v>
      </c>
      <c r="R486" s="8"/>
    </row>
    <row r="487" spans="1:18" x14ac:dyDescent="0.3">
      <c r="A487" t="s">
        <v>538</v>
      </c>
      <c r="B487" t="s">
        <v>0</v>
      </c>
      <c r="C487">
        <v>36</v>
      </c>
      <c r="D487">
        <v>15</v>
      </c>
      <c r="E487">
        <v>6</v>
      </c>
      <c r="F487">
        <v>12</v>
      </c>
      <c r="G487">
        <v>12</v>
      </c>
      <c r="H487">
        <v>15</v>
      </c>
      <c r="I487">
        <v>6</v>
      </c>
      <c r="J487">
        <v>3</v>
      </c>
      <c r="K487">
        <v>6</v>
      </c>
      <c r="L487">
        <v>3</v>
      </c>
      <c r="M487">
        <v>6</v>
      </c>
      <c r="N487">
        <v>3</v>
      </c>
      <c r="O487">
        <v>0</v>
      </c>
      <c r="P487">
        <v>0</v>
      </c>
      <c r="Q487">
        <v>9</v>
      </c>
      <c r="R487" s="8"/>
    </row>
    <row r="488" spans="1:18" x14ac:dyDescent="0.3">
      <c r="A488" t="s">
        <v>539</v>
      </c>
      <c r="B488" t="s">
        <v>0</v>
      </c>
      <c r="C488">
        <v>84</v>
      </c>
      <c r="D488">
        <v>15</v>
      </c>
      <c r="E488">
        <v>3</v>
      </c>
      <c r="F488">
        <v>3</v>
      </c>
      <c r="G488">
        <v>12</v>
      </c>
      <c r="H488">
        <v>9</v>
      </c>
      <c r="I488">
        <v>0</v>
      </c>
      <c r="J488">
        <v>3</v>
      </c>
      <c r="K488">
        <v>3</v>
      </c>
      <c r="L488">
        <v>3</v>
      </c>
      <c r="M488">
        <v>6</v>
      </c>
      <c r="N488">
        <v>33</v>
      </c>
      <c r="O488">
        <v>12</v>
      </c>
      <c r="P488">
        <v>0</v>
      </c>
      <c r="Q488">
        <v>0</v>
      </c>
      <c r="R488" s="8"/>
    </row>
    <row r="489" spans="1:18" x14ac:dyDescent="0.3">
      <c r="A489" t="s">
        <v>540</v>
      </c>
      <c r="B489" t="s">
        <v>3</v>
      </c>
      <c r="C489">
        <v>45</v>
      </c>
      <c r="D489">
        <v>15</v>
      </c>
      <c r="E489">
        <v>87</v>
      </c>
      <c r="F489">
        <v>117</v>
      </c>
      <c r="G489">
        <v>90</v>
      </c>
      <c r="H489">
        <v>105</v>
      </c>
      <c r="I489">
        <v>99</v>
      </c>
      <c r="J489">
        <v>108</v>
      </c>
      <c r="K489">
        <v>87</v>
      </c>
      <c r="L489">
        <v>120</v>
      </c>
      <c r="M489">
        <v>99</v>
      </c>
      <c r="N489">
        <v>96</v>
      </c>
      <c r="O489">
        <v>63</v>
      </c>
      <c r="P489">
        <v>93</v>
      </c>
      <c r="Q489">
        <v>81</v>
      </c>
      <c r="R489" s="8"/>
    </row>
    <row r="490" spans="1:18" x14ac:dyDescent="0.3">
      <c r="A490" t="s">
        <v>541</v>
      </c>
      <c r="B490" t="s">
        <v>0</v>
      </c>
      <c r="C490">
        <v>324</v>
      </c>
      <c r="D490">
        <v>12</v>
      </c>
      <c r="E490">
        <v>87</v>
      </c>
      <c r="F490">
        <v>96</v>
      </c>
      <c r="G490">
        <v>39</v>
      </c>
      <c r="H490">
        <v>15</v>
      </c>
      <c r="I490">
        <v>6</v>
      </c>
      <c r="J490">
        <v>54</v>
      </c>
      <c r="K490">
        <v>69</v>
      </c>
      <c r="L490">
        <v>48</v>
      </c>
      <c r="M490">
        <v>51</v>
      </c>
      <c r="N490">
        <v>48</v>
      </c>
      <c r="O490">
        <v>63</v>
      </c>
      <c r="P490">
        <v>84</v>
      </c>
      <c r="Q490">
        <v>60</v>
      </c>
      <c r="R490" s="8"/>
    </row>
    <row r="491" spans="1:18" x14ac:dyDescent="0.3">
      <c r="A491" t="s">
        <v>542</v>
      </c>
      <c r="B491" t="s">
        <v>0</v>
      </c>
      <c r="C491">
        <v>141</v>
      </c>
      <c r="D491">
        <v>12</v>
      </c>
      <c r="E491">
        <v>60</v>
      </c>
      <c r="F491">
        <v>27</v>
      </c>
      <c r="G491">
        <v>9</v>
      </c>
      <c r="H491">
        <v>39</v>
      </c>
      <c r="I491">
        <v>18</v>
      </c>
      <c r="J491">
        <v>51</v>
      </c>
      <c r="K491">
        <v>75</v>
      </c>
      <c r="L491">
        <v>336</v>
      </c>
      <c r="M491">
        <v>81</v>
      </c>
      <c r="N491">
        <v>54</v>
      </c>
      <c r="O491">
        <v>51</v>
      </c>
      <c r="P491">
        <v>66</v>
      </c>
      <c r="Q491">
        <v>48</v>
      </c>
      <c r="R491" s="8"/>
    </row>
    <row r="492" spans="1:18" x14ac:dyDescent="0.3">
      <c r="A492" t="s">
        <v>543</v>
      </c>
      <c r="B492" t="s">
        <v>0</v>
      </c>
      <c r="C492">
        <v>153</v>
      </c>
      <c r="D492">
        <v>12</v>
      </c>
      <c r="E492">
        <v>51</v>
      </c>
      <c r="F492">
        <v>30</v>
      </c>
      <c r="G492">
        <v>57</v>
      </c>
      <c r="H492">
        <v>30</v>
      </c>
      <c r="I492">
        <v>33</v>
      </c>
      <c r="J492">
        <v>66</v>
      </c>
      <c r="K492">
        <v>105</v>
      </c>
      <c r="L492">
        <v>339</v>
      </c>
      <c r="M492">
        <v>255</v>
      </c>
      <c r="N492">
        <v>177</v>
      </c>
      <c r="O492">
        <v>177</v>
      </c>
      <c r="P492">
        <v>57</v>
      </c>
      <c r="Q492">
        <v>69</v>
      </c>
      <c r="R492" s="8"/>
    </row>
    <row r="493" spans="1:18" x14ac:dyDescent="0.3">
      <c r="A493" t="s">
        <v>544</v>
      </c>
      <c r="B493" t="s">
        <v>0</v>
      </c>
      <c r="C493">
        <v>120</v>
      </c>
      <c r="D493">
        <v>12</v>
      </c>
      <c r="E493">
        <v>39</v>
      </c>
      <c r="F493">
        <v>27</v>
      </c>
      <c r="G493">
        <v>51</v>
      </c>
      <c r="H493">
        <v>45</v>
      </c>
      <c r="I493">
        <v>21</v>
      </c>
      <c r="J493">
        <v>48</v>
      </c>
      <c r="K493">
        <v>39</v>
      </c>
      <c r="L493">
        <v>87</v>
      </c>
      <c r="M493">
        <v>33</v>
      </c>
      <c r="N493">
        <v>18</v>
      </c>
      <c r="O493">
        <v>45</v>
      </c>
      <c r="P493">
        <v>18</v>
      </c>
      <c r="Q493">
        <v>33</v>
      </c>
      <c r="R493" s="8"/>
    </row>
    <row r="494" spans="1:18" x14ac:dyDescent="0.3">
      <c r="A494" t="s">
        <v>545</v>
      </c>
      <c r="B494" t="s">
        <v>0</v>
      </c>
      <c r="C494">
        <v>123</v>
      </c>
      <c r="D494">
        <v>12</v>
      </c>
      <c r="E494">
        <v>33</v>
      </c>
      <c r="F494">
        <v>30</v>
      </c>
      <c r="G494">
        <v>36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8"/>
    </row>
    <row r="495" spans="1:18" x14ac:dyDescent="0.3">
      <c r="A495" t="s">
        <v>546</v>
      </c>
      <c r="B495" t="s">
        <v>0</v>
      </c>
      <c r="C495">
        <v>48</v>
      </c>
      <c r="D495">
        <v>12</v>
      </c>
      <c r="E495">
        <v>30</v>
      </c>
      <c r="F495">
        <v>18</v>
      </c>
      <c r="G495">
        <v>21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8"/>
    </row>
    <row r="496" spans="1:18" x14ac:dyDescent="0.3">
      <c r="A496" t="s">
        <v>547</v>
      </c>
      <c r="B496" t="s">
        <v>0</v>
      </c>
      <c r="C496">
        <v>369</v>
      </c>
      <c r="D496">
        <v>12</v>
      </c>
      <c r="E496">
        <v>30</v>
      </c>
      <c r="F496">
        <v>27</v>
      </c>
      <c r="G496">
        <v>21</v>
      </c>
      <c r="H496">
        <v>60</v>
      </c>
      <c r="I496">
        <v>12</v>
      </c>
      <c r="J496">
        <v>15</v>
      </c>
      <c r="K496">
        <v>105</v>
      </c>
      <c r="L496">
        <v>66</v>
      </c>
      <c r="M496">
        <v>12</v>
      </c>
      <c r="N496">
        <v>0</v>
      </c>
      <c r="O496">
        <v>0</v>
      </c>
      <c r="P496">
        <v>0</v>
      </c>
      <c r="Q496">
        <v>0</v>
      </c>
      <c r="R496" s="8"/>
    </row>
    <row r="497" spans="1:18" x14ac:dyDescent="0.3">
      <c r="A497" t="s">
        <v>548</v>
      </c>
      <c r="B497" t="s">
        <v>0</v>
      </c>
      <c r="C497">
        <v>57</v>
      </c>
      <c r="D497">
        <v>12</v>
      </c>
      <c r="E497">
        <v>27</v>
      </c>
      <c r="F497">
        <v>42</v>
      </c>
      <c r="G497">
        <v>36</v>
      </c>
      <c r="H497">
        <v>12</v>
      </c>
      <c r="I497">
        <v>21</v>
      </c>
      <c r="J497">
        <v>27</v>
      </c>
      <c r="K497">
        <v>90</v>
      </c>
      <c r="L497">
        <v>81</v>
      </c>
      <c r="M497">
        <v>108</v>
      </c>
      <c r="N497">
        <v>84</v>
      </c>
      <c r="O497">
        <v>42</v>
      </c>
      <c r="P497">
        <v>33</v>
      </c>
      <c r="Q497">
        <v>99</v>
      </c>
      <c r="R497" s="8"/>
    </row>
    <row r="498" spans="1:18" x14ac:dyDescent="0.3">
      <c r="A498" t="s">
        <v>549</v>
      </c>
      <c r="B498" t="s">
        <v>0</v>
      </c>
      <c r="C498">
        <v>81</v>
      </c>
      <c r="D498">
        <v>12</v>
      </c>
      <c r="E498">
        <v>27</v>
      </c>
      <c r="F498">
        <v>42</v>
      </c>
      <c r="G498">
        <v>57</v>
      </c>
      <c r="H498">
        <v>87</v>
      </c>
      <c r="I498">
        <v>96</v>
      </c>
      <c r="J498">
        <v>126</v>
      </c>
      <c r="K498">
        <v>126</v>
      </c>
      <c r="L498">
        <v>33</v>
      </c>
      <c r="M498">
        <v>96</v>
      </c>
      <c r="N498">
        <v>126</v>
      </c>
      <c r="O498">
        <v>135</v>
      </c>
      <c r="P498">
        <v>105</v>
      </c>
      <c r="Q498">
        <v>27</v>
      </c>
      <c r="R498" s="8"/>
    </row>
    <row r="499" spans="1:18" x14ac:dyDescent="0.3">
      <c r="A499" t="s">
        <v>550</v>
      </c>
      <c r="B499" t="s">
        <v>0</v>
      </c>
      <c r="C499">
        <v>144</v>
      </c>
      <c r="D499">
        <v>12</v>
      </c>
      <c r="E499">
        <v>27</v>
      </c>
      <c r="F499">
        <v>36</v>
      </c>
      <c r="G499">
        <v>165</v>
      </c>
      <c r="H499">
        <v>144</v>
      </c>
      <c r="I499">
        <v>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8"/>
    </row>
    <row r="500" spans="1:18" x14ac:dyDescent="0.3">
      <c r="A500" t="s">
        <v>551</v>
      </c>
      <c r="B500" t="s">
        <v>0</v>
      </c>
      <c r="C500">
        <v>195</v>
      </c>
      <c r="D500">
        <v>12</v>
      </c>
      <c r="E500">
        <v>15</v>
      </c>
      <c r="F500">
        <v>54</v>
      </c>
      <c r="G500">
        <v>24</v>
      </c>
      <c r="H500">
        <v>27</v>
      </c>
      <c r="I500">
        <v>9</v>
      </c>
      <c r="J500">
        <v>27</v>
      </c>
      <c r="K500">
        <v>24</v>
      </c>
      <c r="L500">
        <v>39</v>
      </c>
      <c r="M500">
        <v>33</v>
      </c>
      <c r="N500">
        <v>72</v>
      </c>
      <c r="O500">
        <v>0</v>
      </c>
      <c r="P500">
        <v>0</v>
      </c>
      <c r="Q500">
        <v>0</v>
      </c>
      <c r="R500" s="8"/>
    </row>
    <row r="501" spans="1:18" x14ac:dyDescent="0.3">
      <c r="A501" t="s">
        <v>552</v>
      </c>
      <c r="B501" t="s">
        <v>0</v>
      </c>
      <c r="C501">
        <v>42</v>
      </c>
      <c r="D501">
        <v>12</v>
      </c>
      <c r="E501">
        <v>15</v>
      </c>
      <c r="F501">
        <v>42</v>
      </c>
      <c r="G501">
        <v>30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8"/>
    </row>
    <row r="502" spans="1:18" x14ac:dyDescent="0.3">
      <c r="A502" t="s">
        <v>553</v>
      </c>
      <c r="B502" t="s">
        <v>0</v>
      </c>
      <c r="C502">
        <v>111</v>
      </c>
      <c r="D502">
        <v>12</v>
      </c>
      <c r="E502">
        <v>12</v>
      </c>
      <c r="F502">
        <v>3</v>
      </c>
      <c r="G502">
        <v>6</v>
      </c>
      <c r="H502">
        <v>6</v>
      </c>
      <c r="I502">
        <v>0</v>
      </c>
      <c r="J502">
        <v>9</v>
      </c>
      <c r="K502">
        <v>39</v>
      </c>
      <c r="L502">
        <v>36</v>
      </c>
      <c r="M502">
        <v>9</v>
      </c>
      <c r="N502">
        <v>0</v>
      </c>
      <c r="O502">
        <v>0</v>
      </c>
      <c r="P502">
        <v>0</v>
      </c>
      <c r="Q502">
        <v>0</v>
      </c>
      <c r="R502" s="8"/>
    </row>
    <row r="503" spans="1:18" x14ac:dyDescent="0.3">
      <c r="A503" t="s">
        <v>554</v>
      </c>
      <c r="B503" t="s">
        <v>0</v>
      </c>
      <c r="C503">
        <v>150</v>
      </c>
      <c r="D503">
        <v>12</v>
      </c>
      <c r="E503">
        <v>12</v>
      </c>
      <c r="F503">
        <v>6</v>
      </c>
      <c r="G503">
        <v>12</v>
      </c>
      <c r="H503">
        <v>21</v>
      </c>
      <c r="I503">
        <v>48</v>
      </c>
      <c r="J503">
        <v>12</v>
      </c>
      <c r="K503">
        <v>78</v>
      </c>
      <c r="L503">
        <v>51</v>
      </c>
      <c r="M503">
        <v>54</v>
      </c>
      <c r="N503">
        <v>24</v>
      </c>
      <c r="O503">
        <v>48</v>
      </c>
      <c r="P503">
        <v>18</v>
      </c>
      <c r="Q503">
        <v>39</v>
      </c>
      <c r="R503" s="8"/>
    </row>
    <row r="504" spans="1:18" x14ac:dyDescent="0.3">
      <c r="A504" t="s">
        <v>555</v>
      </c>
      <c r="B504" t="s">
        <v>0</v>
      </c>
      <c r="C504">
        <v>129</v>
      </c>
      <c r="D504">
        <v>12</v>
      </c>
      <c r="E504">
        <v>12</v>
      </c>
      <c r="F504">
        <v>33</v>
      </c>
      <c r="G504">
        <v>30</v>
      </c>
      <c r="H504">
        <v>15</v>
      </c>
      <c r="I504">
        <v>24</v>
      </c>
      <c r="J504">
        <v>36</v>
      </c>
      <c r="K504">
        <v>60</v>
      </c>
      <c r="L504">
        <v>18</v>
      </c>
      <c r="M504">
        <v>27</v>
      </c>
      <c r="N504">
        <v>12</v>
      </c>
      <c r="O504">
        <v>9</v>
      </c>
      <c r="P504">
        <v>27</v>
      </c>
      <c r="Q504">
        <v>18</v>
      </c>
      <c r="R504" s="8"/>
    </row>
    <row r="505" spans="1:18" x14ac:dyDescent="0.3">
      <c r="A505" t="s">
        <v>556</v>
      </c>
      <c r="B505" t="s">
        <v>0</v>
      </c>
      <c r="C505">
        <v>327</v>
      </c>
      <c r="D505">
        <v>12</v>
      </c>
      <c r="E505">
        <v>9</v>
      </c>
      <c r="F505">
        <v>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8"/>
    </row>
    <row r="506" spans="1:18" x14ac:dyDescent="0.3">
      <c r="A506" t="s">
        <v>557</v>
      </c>
      <c r="B506" t="s">
        <v>0</v>
      </c>
      <c r="C506">
        <v>27</v>
      </c>
      <c r="D506">
        <v>12</v>
      </c>
      <c r="E506">
        <v>6</v>
      </c>
      <c r="F506">
        <v>0</v>
      </c>
      <c r="G506">
        <v>0</v>
      </c>
      <c r="H506">
        <v>3</v>
      </c>
      <c r="I506">
        <v>24</v>
      </c>
      <c r="J506">
        <v>3</v>
      </c>
      <c r="K506">
        <v>12</v>
      </c>
      <c r="L506">
        <v>12</v>
      </c>
      <c r="M506">
        <v>21</v>
      </c>
      <c r="N506">
        <v>24</v>
      </c>
      <c r="O506">
        <v>15</v>
      </c>
      <c r="P506">
        <v>12</v>
      </c>
      <c r="Q506">
        <v>9</v>
      </c>
      <c r="R506" s="8"/>
    </row>
    <row r="507" spans="1:18" x14ac:dyDescent="0.3">
      <c r="A507" t="s">
        <v>558</v>
      </c>
      <c r="B507" t="s">
        <v>0</v>
      </c>
      <c r="C507">
        <v>231</v>
      </c>
      <c r="D507">
        <v>12</v>
      </c>
      <c r="E507">
        <v>6</v>
      </c>
      <c r="F507">
        <v>6</v>
      </c>
      <c r="G507">
        <v>9</v>
      </c>
      <c r="H507">
        <v>3</v>
      </c>
      <c r="I507">
        <v>0</v>
      </c>
      <c r="J507">
        <v>33</v>
      </c>
      <c r="K507">
        <v>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8"/>
    </row>
    <row r="508" spans="1:18" x14ac:dyDescent="0.3">
      <c r="A508" t="s">
        <v>559</v>
      </c>
      <c r="B508" t="s">
        <v>0</v>
      </c>
      <c r="C508">
        <v>51</v>
      </c>
      <c r="D508">
        <v>12</v>
      </c>
      <c r="E508">
        <v>3</v>
      </c>
      <c r="F508">
        <v>36</v>
      </c>
      <c r="G508">
        <v>18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8"/>
    </row>
    <row r="509" spans="1:18" x14ac:dyDescent="0.3">
      <c r="A509" t="s">
        <v>560</v>
      </c>
      <c r="B509" t="s">
        <v>0</v>
      </c>
      <c r="C509">
        <v>1059</v>
      </c>
      <c r="D509">
        <v>12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8"/>
    </row>
    <row r="510" spans="1:18" x14ac:dyDescent="0.3">
      <c r="A510" t="s">
        <v>561</v>
      </c>
      <c r="B510" t="s">
        <v>0</v>
      </c>
      <c r="C510">
        <v>153</v>
      </c>
      <c r="D510">
        <v>9</v>
      </c>
      <c r="E510">
        <v>60</v>
      </c>
      <c r="F510">
        <v>48</v>
      </c>
      <c r="G510">
        <v>51</v>
      </c>
      <c r="H510">
        <v>33</v>
      </c>
      <c r="I510">
        <v>21</v>
      </c>
      <c r="J510">
        <v>39</v>
      </c>
      <c r="K510">
        <v>33</v>
      </c>
      <c r="L510">
        <v>30</v>
      </c>
      <c r="M510">
        <v>30</v>
      </c>
      <c r="N510">
        <v>30</v>
      </c>
      <c r="O510">
        <v>0</v>
      </c>
      <c r="P510">
        <v>0</v>
      </c>
      <c r="Q510">
        <v>0</v>
      </c>
      <c r="R510" s="8"/>
    </row>
    <row r="511" spans="1:18" x14ac:dyDescent="0.3">
      <c r="A511" t="s">
        <v>562</v>
      </c>
      <c r="B511" t="s">
        <v>0</v>
      </c>
      <c r="C511">
        <v>24</v>
      </c>
      <c r="D511">
        <v>9</v>
      </c>
      <c r="E511">
        <v>51</v>
      </c>
      <c r="F511">
        <v>36</v>
      </c>
      <c r="G511">
        <v>51</v>
      </c>
      <c r="H511">
        <v>63</v>
      </c>
      <c r="I511">
        <v>51</v>
      </c>
      <c r="J511">
        <v>69</v>
      </c>
      <c r="K511">
        <v>63</v>
      </c>
      <c r="L511">
        <v>72</v>
      </c>
      <c r="M511">
        <v>39</v>
      </c>
      <c r="N511">
        <v>63</v>
      </c>
      <c r="O511">
        <v>90</v>
      </c>
      <c r="P511">
        <v>24</v>
      </c>
      <c r="Q511">
        <v>33</v>
      </c>
      <c r="R511" s="8"/>
    </row>
    <row r="512" spans="1:18" x14ac:dyDescent="0.3">
      <c r="A512" t="s">
        <v>563</v>
      </c>
      <c r="B512" t="s">
        <v>0</v>
      </c>
      <c r="C512">
        <v>42</v>
      </c>
      <c r="D512">
        <v>9</v>
      </c>
      <c r="E512">
        <v>39</v>
      </c>
      <c r="F512">
        <v>75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8"/>
    </row>
    <row r="513" spans="1:18" x14ac:dyDescent="0.3">
      <c r="A513" t="s">
        <v>564</v>
      </c>
      <c r="B513" t="s">
        <v>0</v>
      </c>
      <c r="C513">
        <v>78</v>
      </c>
      <c r="D513">
        <v>9</v>
      </c>
      <c r="E513">
        <v>30</v>
      </c>
      <c r="F513">
        <v>45</v>
      </c>
      <c r="G513">
        <v>42</v>
      </c>
      <c r="H513">
        <v>45</v>
      </c>
      <c r="I513">
        <v>78</v>
      </c>
      <c r="J513">
        <v>63</v>
      </c>
      <c r="K513">
        <v>54</v>
      </c>
      <c r="L513">
        <v>18</v>
      </c>
      <c r="M513">
        <v>24</v>
      </c>
      <c r="N513">
        <v>60</v>
      </c>
      <c r="O513">
        <v>3</v>
      </c>
      <c r="P513">
        <v>0</v>
      </c>
      <c r="Q513">
        <v>0</v>
      </c>
      <c r="R513" s="8"/>
    </row>
    <row r="514" spans="1:18" x14ac:dyDescent="0.3">
      <c r="A514" t="s">
        <v>565</v>
      </c>
      <c r="B514" t="s">
        <v>0</v>
      </c>
      <c r="C514">
        <v>126</v>
      </c>
      <c r="D514">
        <v>9</v>
      </c>
      <c r="E514">
        <v>30</v>
      </c>
      <c r="F514">
        <v>30</v>
      </c>
      <c r="G514">
        <v>21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8"/>
    </row>
    <row r="515" spans="1:18" x14ac:dyDescent="0.3">
      <c r="A515" t="s">
        <v>566</v>
      </c>
      <c r="B515" t="s">
        <v>0</v>
      </c>
      <c r="C515">
        <v>186</v>
      </c>
      <c r="D515">
        <v>9</v>
      </c>
      <c r="E515">
        <v>18</v>
      </c>
      <c r="F515">
        <v>54</v>
      </c>
      <c r="G515">
        <v>27</v>
      </c>
      <c r="H515">
        <v>45</v>
      </c>
      <c r="I515">
        <v>63</v>
      </c>
      <c r="J515">
        <v>78</v>
      </c>
      <c r="K515">
        <v>99</v>
      </c>
      <c r="L515">
        <v>33</v>
      </c>
      <c r="M515">
        <v>9</v>
      </c>
      <c r="N515">
        <v>3</v>
      </c>
      <c r="O515">
        <v>9</v>
      </c>
      <c r="P515">
        <v>18</v>
      </c>
      <c r="Q515">
        <v>45</v>
      </c>
      <c r="R515" s="8"/>
    </row>
    <row r="516" spans="1:18" x14ac:dyDescent="0.3">
      <c r="A516" t="s">
        <v>567</v>
      </c>
      <c r="B516" t="s">
        <v>0</v>
      </c>
      <c r="C516">
        <v>48</v>
      </c>
      <c r="D516">
        <v>9</v>
      </c>
      <c r="E516">
        <v>15</v>
      </c>
      <c r="F516">
        <v>15</v>
      </c>
      <c r="G516">
        <v>6</v>
      </c>
      <c r="H516">
        <v>21</v>
      </c>
      <c r="I516">
        <v>0</v>
      </c>
      <c r="J516">
        <v>12</v>
      </c>
      <c r="K516">
        <v>24</v>
      </c>
      <c r="L516">
        <v>30</v>
      </c>
      <c r="M516">
        <v>36</v>
      </c>
      <c r="N516">
        <v>33</v>
      </c>
      <c r="O516">
        <v>18</v>
      </c>
      <c r="P516">
        <v>15</v>
      </c>
      <c r="Q516">
        <v>24</v>
      </c>
      <c r="R516" s="8"/>
    </row>
    <row r="517" spans="1:18" x14ac:dyDescent="0.3">
      <c r="A517" t="s">
        <v>568</v>
      </c>
      <c r="B517" t="s">
        <v>0</v>
      </c>
      <c r="C517">
        <v>159</v>
      </c>
      <c r="D517">
        <v>9</v>
      </c>
      <c r="E517">
        <v>12</v>
      </c>
      <c r="F517">
        <v>3</v>
      </c>
      <c r="G517">
        <v>12</v>
      </c>
      <c r="H517">
        <v>3</v>
      </c>
      <c r="I517">
        <v>6</v>
      </c>
      <c r="J517">
        <v>9</v>
      </c>
      <c r="K517">
        <v>0</v>
      </c>
      <c r="L517">
        <v>6</v>
      </c>
      <c r="M517">
        <v>15</v>
      </c>
      <c r="N517">
        <v>27</v>
      </c>
      <c r="O517">
        <v>9</v>
      </c>
      <c r="P517">
        <v>0</v>
      </c>
      <c r="Q517">
        <v>0</v>
      </c>
      <c r="R517" s="8"/>
    </row>
    <row r="518" spans="1:18" x14ac:dyDescent="0.3">
      <c r="A518" t="s">
        <v>569</v>
      </c>
      <c r="B518" t="s">
        <v>0</v>
      </c>
      <c r="C518">
        <v>45</v>
      </c>
      <c r="D518">
        <v>9</v>
      </c>
      <c r="E518">
        <v>12</v>
      </c>
      <c r="F518">
        <v>24</v>
      </c>
      <c r="G518">
        <v>24</v>
      </c>
      <c r="H518">
        <v>96</v>
      </c>
      <c r="I518">
        <v>153</v>
      </c>
      <c r="J518">
        <v>180</v>
      </c>
      <c r="K518">
        <v>99</v>
      </c>
      <c r="L518">
        <v>90</v>
      </c>
      <c r="M518">
        <v>33</v>
      </c>
      <c r="N518">
        <v>12</v>
      </c>
      <c r="O518">
        <v>3</v>
      </c>
      <c r="P518">
        <v>0</v>
      </c>
      <c r="Q518">
        <v>0</v>
      </c>
      <c r="R518" s="8"/>
    </row>
    <row r="519" spans="1:18" x14ac:dyDescent="0.3">
      <c r="A519" t="s">
        <v>570</v>
      </c>
      <c r="B519" t="s">
        <v>0</v>
      </c>
      <c r="C519">
        <v>87</v>
      </c>
      <c r="D519">
        <v>9</v>
      </c>
      <c r="E519">
        <v>9</v>
      </c>
      <c r="F519">
        <v>9</v>
      </c>
      <c r="G519">
        <v>18</v>
      </c>
      <c r="H519">
        <v>12</v>
      </c>
      <c r="I519">
        <v>12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8"/>
    </row>
    <row r="520" spans="1:18" x14ac:dyDescent="0.3">
      <c r="A520" t="s">
        <v>571</v>
      </c>
      <c r="B520" t="s">
        <v>0</v>
      </c>
      <c r="C520">
        <v>186</v>
      </c>
      <c r="D520">
        <v>9</v>
      </c>
      <c r="E520">
        <v>9</v>
      </c>
      <c r="F520">
        <v>6</v>
      </c>
      <c r="G520">
        <v>21</v>
      </c>
      <c r="H520">
        <v>39</v>
      </c>
      <c r="I520">
        <v>15</v>
      </c>
      <c r="J520">
        <v>45</v>
      </c>
      <c r="K520">
        <v>27</v>
      </c>
      <c r="L520">
        <v>24</v>
      </c>
      <c r="M520">
        <v>15</v>
      </c>
      <c r="N520">
        <v>39</v>
      </c>
      <c r="O520">
        <v>81</v>
      </c>
      <c r="P520">
        <v>102</v>
      </c>
      <c r="Q520">
        <v>51</v>
      </c>
      <c r="R520" s="8"/>
    </row>
    <row r="521" spans="1:18" x14ac:dyDescent="0.3">
      <c r="A521" t="s">
        <v>572</v>
      </c>
      <c r="B521" t="s">
        <v>0</v>
      </c>
      <c r="C521">
        <v>60</v>
      </c>
      <c r="D521">
        <v>9</v>
      </c>
      <c r="E521">
        <v>9</v>
      </c>
      <c r="F521">
        <v>21</v>
      </c>
      <c r="G521">
        <v>9</v>
      </c>
      <c r="H521">
        <v>33</v>
      </c>
      <c r="I521">
        <v>24</v>
      </c>
      <c r="J521">
        <v>96</v>
      </c>
      <c r="K521">
        <v>30</v>
      </c>
      <c r="L521">
        <v>51</v>
      </c>
      <c r="M521">
        <v>63</v>
      </c>
      <c r="N521">
        <v>69</v>
      </c>
      <c r="O521">
        <v>42</v>
      </c>
      <c r="P521">
        <v>21</v>
      </c>
      <c r="Q521">
        <v>27</v>
      </c>
      <c r="R521" s="8"/>
    </row>
    <row r="522" spans="1:18" x14ac:dyDescent="0.3">
      <c r="A522" t="s">
        <v>573</v>
      </c>
      <c r="B522" t="s">
        <v>0</v>
      </c>
      <c r="C522">
        <v>207</v>
      </c>
      <c r="D522">
        <v>9</v>
      </c>
      <c r="E522">
        <v>9</v>
      </c>
      <c r="F522">
        <v>27</v>
      </c>
      <c r="G522">
        <v>12</v>
      </c>
      <c r="H522">
        <v>18</v>
      </c>
      <c r="I522">
        <v>3</v>
      </c>
      <c r="J522">
        <v>9</v>
      </c>
      <c r="K522">
        <v>21</v>
      </c>
      <c r="L522">
        <v>27</v>
      </c>
      <c r="M522">
        <v>6</v>
      </c>
      <c r="N522">
        <v>9</v>
      </c>
      <c r="O522">
        <v>18</v>
      </c>
      <c r="P522">
        <v>3</v>
      </c>
      <c r="Q522">
        <v>24</v>
      </c>
      <c r="R522" s="8"/>
    </row>
    <row r="523" spans="1:18" x14ac:dyDescent="0.3">
      <c r="A523" t="s">
        <v>574</v>
      </c>
      <c r="B523" t="s">
        <v>0</v>
      </c>
      <c r="C523">
        <v>42</v>
      </c>
      <c r="D523">
        <v>9</v>
      </c>
      <c r="E523">
        <v>9</v>
      </c>
      <c r="F523">
        <v>12</v>
      </c>
      <c r="G523">
        <v>18</v>
      </c>
      <c r="H523">
        <v>0</v>
      </c>
      <c r="I523">
        <v>3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8"/>
    </row>
    <row r="524" spans="1:18" x14ac:dyDescent="0.3">
      <c r="A524" t="s">
        <v>575</v>
      </c>
      <c r="B524" t="s">
        <v>0</v>
      </c>
      <c r="C524">
        <v>99</v>
      </c>
      <c r="D524">
        <v>9</v>
      </c>
      <c r="E524">
        <v>6</v>
      </c>
      <c r="F524">
        <v>6</v>
      </c>
      <c r="G524">
        <v>0</v>
      </c>
      <c r="H524">
        <v>24</v>
      </c>
      <c r="I524">
        <v>6</v>
      </c>
      <c r="J524">
        <v>24</v>
      </c>
      <c r="K524">
        <v>27</v>
      </c>
      <c r="L524">
        <v>30</v>
      </c>
      <c r="M524">
        <v>24</v>
      </c>
      <c r="N524">
        <v>0</v>
      </c>
      <c r="O524">
        <v>0</v>
      </c>
      <c r="P524">
        <v>0</v>
      </c>
      <c r="Q524">
        <v>0</v>
      </c>
      <c r="R524" s="8"/>
    </row>
    <row r="525" spans="1:18" x14ac:dyDescent="0.3">
      <c r="A525" t="s">
        <v>576</v>
      </c>
      <c r="B525" t="s">
        <v>0</v>
      </c>
      <c r="C525">
        <v>36</v>
      </c>
      <c r="D525">
        <v>9</v>
      </c>
      <c r="E525">
        <v>6</v>
      </c>
      <c r="F525">
        <v>15</v>
      </c>
      <c r="G525">
        <v>15</v>
      </c>
      <c r="H525">
        <v>27</v>
      </c>
      <c r="I525">
        <v>36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8"/>
    </row>
    <row r="526" spans="1:18" x14ac:dyDescent="0.3">
      <c r="A526" t="s">
        <v>577</v>
      </c>
      <c r="B526" t="s">
        <v>0</v>
      </c>
      <c r="C526">
        <v>327</v>
      </c>
      <c r="D526">
        <v>9</v>
      </c>
      <c r="E526">
        <v>6</v>
      </c>
      <c r="F526">
        <v>6</v>
      </c>
      <c r="G526">
        <v>33</v>
      </c>
      <c r="H526">
        <v>48</v>
      </c>
      <c r="I526">
        <v>18</v>
      </c>
      <c r="J526">
        <v>15</v>
      </c>
      <c r="K526">
        <v>57</v>
      </c>
      <c r="L526">
        <v>18</v>
      </c>
      <c r="M526">
        <v>9</v>
      </c>
      <c r="N526">
        <v>3</v>
      </c>
      <c r="O526">
        <v>15</v>
      </c>
      <c r="P526">
        <v>9</v>
      </c>
      <c r="Q526">
        <v>15</v>
      </c>
      <c r="R526" s="8"/>
    </row>
    <row r="527" spans="1:18" x14ac:dyDescent="0.3">
      <c r="A527" t="s">
        <v>578</v>
      </c>
      <c r="B527" t="s">
        <v>0</v>
      </c>
      <c r="C527">
        <v>144</v>
      </c>
      <c r="D527">
        <v>9</v>
      </c>
      <c r="E527">
        <v>6</v>
      </c>
      <c r="F527">
        <v>39</v>
      </c>
      <c r="G527">
        <v>9</v>
      </c>
      <c r="H527">
        <v>21</v>
      </c>
      <c r="I527">
        <v>6</v>
      </c>
      <c r="J527">
        <v>15</v>
      </c>
      <c r="K527">
        <v>15</v>
      </c>
      <c r="L527">
        <v>30</v>
      </c>
      <c r="M527">
        <v>27</v>
      </c>
      <c r="N527">
        <v>15</v>
      </c>
      <c r="O527">
        <v>27</v>
      </c>
      <c r="P527">
        <v>21</v>
      </c>
      <c r="Q527">
        <v>3</v>
      </c>
      <c r="R527" s="8"/>
    </row>
    <row r="528" spans="1:18" x14ac:dyDescent="0.3">
      <c r="A528" t="s">
        <v>579</v>
      </c>
      <c r="B528" t="s">
        <v>0</v>
      </c>
      <c r="C528">
        <v>108</v>
      </c>
      <c r="D528">
        <v>9</v>
      </c>
      <c r="E528">
        <v>6</v>
      </c>
      <c r="F528">
        <v>12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8"/>
    </row>
    <row r="529" spans="1:18" x14ac:dyDescent="0.3">
      <c r="A529" t="s">
        <v>580</v>
      </c>
      <c r="B529" t="s">
        <v>0</v>
      </c>
      <c r="C529">
        <v>63</v>
      </c>
      <c r="D529">
        <v>9</v>
      </c>
      <c r="E529">
        <v>3</v>
      </c>
      <c r="F529">
        <v>0</v>
      </c>
      <c r="G529">
        <v>3</v>
      </c>
      <c r="H529">
        <v>6</v>
      </c>
      <c r="I529">
        <v>6</v>
      </c>
      <c r="J529">
        <v>0</v>
      </c>
      <c r="K529">
        <v>9</v>
      </c>
      <c r="L529">
        <v>3</v>
      </c>
      <c r="M529">
        <v>9</v>
      </c>
      <c r="N529">
        <v>54</v>
      </c>
      <c r="O529">
        <v>9</v>
      </c>
      <c r="P529">
        <v>0</v>
      </c>
      <c r="Q529">
        <v>3</v>
      </c>
      <c r="R529" s="8"/>
    </row>
    <row r="530" spans="1:18" x14ac:dyDescent="0.3">
      <c r="A530" t="s">
        <v>581</v>
      </c>
      <c r="B530" t="s">
        <v>0</v>
      </c>
      <c r="C530">
        <v>66</v>
      </c>
      <c r="D530">
        <v>9</v>
      </c>
      <c r="E530">
        <v>3</v>
      </c>
      <c r="F530">
        <v>21</v>
      </c>
      <c r="G530">
        <v>9</v>
      </c>
      <c r="H530">
        <v>15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s="8"/>
    </row>
    <row r="531" spans="1:18" x14ac:dyDescent="0.3">
      <c r="A531" t="s">
        <v>582</v>
      </c>
      <c r="B531" t="s">
        <v>0</v>
      </c>
      <c r="C531">
        <v>45</v>
      </c>
      <c r="D531">
        <v>9</v>
      </c>
      <c r="E531">
        <v>3</v>
      </c>
      <c r="F531">
        <v>9</v>
      </c>
      <c r="G531">
        <v>9</v>
      </c>
      <c r="H531">
        <v>15</v>
      </c>
      <c r="I531">
        <v>15</v>
      </c>
      <c r="J531">
        <v>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8"/>
    </row>
    <row r="532" spans="1:18" x14ac:dyDescent="0.3">
      <c r="A532" t="s">
        <v>583</v>
      </c>
      <c r="B532" t="s">
        <v>0</v>
      </c>
      <c r="C532">
        <v>120</v>
      </c>
      <c r="D532">
        <v>9</v>
      </c>
      <c r="E532">
        <v>3</v>
      </c>
      <c r="F532">
        <v>0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8"/>
    </row>
    <row r="533" spans="1:18" x14ac:dyDescent="0.3">
      <c r="A533" t="s">
        <v>584</v>
      </c>
      <c r="B533" t="s">
        <v>0</v>
      </c>
      <c r="C533">
        <v>42</v>
      </c>
      <c r="D533">
        <v>6</v>
      </c>
      <c r="E533">
        <v>54</v>
      </c>
      <c r="F533">
        <v>120</v>
      </c>
      <c r="G533">
        <v>195</v>
      </c>
      <c r="H533">
        <v>348</v>
      </c>
      <c r="I533">
        <v>189</v>
      </c>
      <c r="J533">
        <v>132</v>
      </c>
      <c r="K533">
        <v>102</v>
      </c>
      <c r="L533">
        <v>186</v>
      </c>
      <c r="M533">
        <v>39</v>
      </c>
      <c r="N533">
        <v>0</v>
      </c>
      <c r="O533">
        <v>0</v>
      </c>
      <c r="P533">
        <v>0</v>
      </c>
      <c r="Q533">
        <v>0</v>
      </c>
      <c r="R533" s="8"/>
    </row>
    <row r="534" spans="1:18" x14ac:dyDescent="0.3">
      <c r="A534" t="s">
        <v>585</v>
      </c>
      <c r="B534" t="s">
        <v>0</v>
      </c>
      <c r="C534">
        <v>36</v>
      </c>
      <c r="D534">
        <v>6</v>
      </c>
      <c r="E534">
        <v>42</v>
      </c>
      <c r="F534">
        <v>261</v>
      </c>
      <c r="G534">
        <v>87</v>
      </c>
      <c r="H534">
        <v>24</v>
      </c>
      <c r="I534">
        <v>9</v>
      </c>
      <c r="J534">
        <v>21</v>
      </c>
      <c r="K534">
        <v>102</v>
      </c>
      <c r="L534">
        <v>159</v>
      </c>
      <c r="M534">
        <v>105</v>
      </c>
      <c r="N534">
        <v>93</v>
      </c>
      <c r="O534">
        <v>90</v>
      </c>
      <c r="P534">
        <v>105</v>
      </c>
      <c r="Q534">
        <v>153</v>
      </c>
      <c r="R534" s="8"/>
    </row>
    <row r="535" spans="1:18" x14ac:dyDescent="0.3">
      <c r="A535" t="s">
        <v>586</v>
      </c>
      <c r="B535" t="s">
        <v>0</v>
      </c>
      <c r="C535">
        <v>99</v>
      </c>
      <c r="D535">
        <v>6</v>
      </c>
      <c r="E535">
        <v>33</v>
      </c>
      <c r="F535">
        <v>21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8"/>
    </row>
    <row r="536" spans="1:18" x14ac:dyDescent="0.3">
      <c r="A536" t="s">
        <v>587</v>
      </c>
      <c r="B536" t="s">
        <v>0</v>
      </c>
      <c r="C536">
        <v>21</v>
      </c>
      <c r="D536">
        <v>6</v>
      </c>
      <c r="E536">
        <v>24</v>
      </c>
      <c r="F536">
        <v>12</v>
      </c>
      <c r="G536">
        <v>42</v>
      </c>
      <c r="H536">
        <v>51</v>
      </c>
      <c r="I536">
        <v>9</v>
      </c>
      <c r="J536">
        <v>3</v>
      </c>
      <c r="K536">
        <v>30</v>
      </c>
      <c r="L536">
        <v>57</v>
      </c>
      <c r="M536">
        <v>24</v>
      </c>
      <c r="N536">
        <v>60</v>
      </c>
      <c r="O536">
        <v>144</v>
      </c>
      <c r="P536">
        <v>195</v>
      </c>
      <c r="Q536">
        <v>408</v>
      </c>
      <c r="R536" s="8"/>
    </row>
    <row r="537" spans="1:18" x14ac:dyDescent="0.3">
      <c r="A537" t="s">
        <v>588</v>
      </c>
      <c r="B537" t="s">
        <v>0</v>
      </c>
      <c r="C537">
        <v>153</v>
      </c>
      <c r="D537">
        <v>6</v>
      </c>
      <c r="E537">
        <v>24</v>
      </c>
      <c r="F537">
        <v>18</v>
      </c>
      <c r="G537">
        <v>18</v>
      </c>
      <c r="H537">
        <v>36</v>
      </c>
      <c r="I537">
        <v>27</v>
      </c>
      <c r="J537">
        <v>42</v>
      </c>
      <c r="K537">
        <v>18</v>
      </c>
      <c r="L537">
        <v>27</v>
      </c>
      <c r="M537">
        <v>6</v>
      </c>
      <c r="N537">
        <v>6</v>
      </c>
      <c r="O537">
        <v>21</v>
      </c>
      <c r="P537">
        <v>12</v>
      </c>
      <c r="Q537">
        <v>39</v>
      </c>
      <c r="R537" s="8"/>
    </row>
    <row r="538" spans="1:18" x14ac:dyDescent="0.3">
      <c r="A538" t="s">
        <v>589</v>
      </c>
      <c r="B538" t="s">
        <v>0</v>
      </c>
      <c r="C538">
        <v>66</v>
      </c>
      <c r="D538">
        <v>6</v>
      </c>
      <c r="E538">
        <v>21</v>
      </c>
      <c r="F538">
        <v>78</v>
      </c>
      <c r="G538">
        <v>60</v>
      </c>
      <c r="H538">
        <v>48</v>
      </c>
      <c r="I538">
        <v>30</v>
      </c>
      <c r="J538">
        <v>39</v>
      </c>
      <c r="K538">
        <v>42</v>
      </c>
      <c r="L538">
        <v>48</v>
      </c>
      <c r="M538">
        <v>90</v>
      </c>
      <c r="N538">
        <v>96</v>
      </c>
      <c r="O538">
        <v>69</v>
      </c>
      <c r="P538">
        <v>42</v>
      </c>
      <c r="Q538">
        <v>45</v>
      </c>
      <c r="R538" s="8"/>
    </row>
    <row r="539" spans="1:18" x14ac:dyDescent="0.3">
      <c r="A539" t="s">
        <v>590</v>
      </c>
      <c r="B539" t="s">
        <v>0</v>
      </c>
      <c r="C539">
        <v>198</v>
      </c>
      <c r="D539">
        <v>6</v>
      </c>
      <c r="E539">
        <v>21</v>
      </c>
      <c r="F539">
        <v>87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8"/>
    </row>
    <row r="540" spans="1:18" x14ac:dyDescent="0.3">
      <c r="A540" t="s">
        <v>591</v>
      </c>
      <c r="B540" t="s">
        <v>0</v>
      </c>
      <c r="C540">
        <v>51</v>
      </c>
      <c r="D540">
        <v>6</v>
      </c>
      <c r="E540">
        <v>18</v>
      </c>
      <c r="F540">
        <v>24</v>
      </c>
      <c r="G540">
        <v>15</v>
      </c>
      <c r="H540">
        <v>21</v>
      </c>
      <c r="I540">
        <v>9</v>
      </c>
      <c r="J540">
        <v>15</v>
      </c>
      <c r="K540">
        <v>18</v>
      </c>
      <c r="L540">
        <v>48</v>
      </c>
      <c r="M540">
        <v>39</v>
      </c>
      <c r="N540">
        <v>0</v>
      </c>
      <c r="O540">
        <v>0</v>
      </c>
      <c r="P540">
        <v>0</v>
      </c>
      <c r="Q540">
        <v>0</v>
      </c>
      <c r="R540" s="8"/>
    </row>
    <row r="541" spans="1:18" x14ac:dyDescent="0.3">
      <c r="A541" t="s">
        <v>592</v>
      </c>
      <c r="B541" t="s">
        <v>0</v>
      </c>
      <c r="C541">
        <v>30</v>
      </c>
      <c r="D541">
        <v>6</v>
      </c>
      <c r="E541">
        <v>15</v>
      </c>
      <c r="F541">
        <v>66</v>
      </c>
      <c r="G541">
        <v>27</v>
      </c>
      <c r="H541">
        <v>9</v>
      </c>
      <c r="I541">
        <v>3</v>
      </c>
      <c r="J541">
        <v>15</v>
      </c>
      <c r="K541">
        <v>12</v>
      </c>
      <c r="L541">
        <v>36</v>
      </c>
      <c r="M541">
        <v>39</v>
      </c>
      <c r="N541">
        <v>0</v>
      </c>
      <c r="O541">
        <v>0</v>
      </c>
      <c r="P541">
        <v>0</v>
      </c>
      <c r="Q541">
        <v>0</v>
      </c>
      <c r="R541" s="8"/>
    </row>
    <row r="542" spans="1:18" x14ac:dyDescent="0.3">
      <c r="A542" t="s">
        <v>593</v>
      </c>
      <c r="B542" t="s">
        <v>0</v>
      </c>
      <c r="C542">
        <v>18</v>
      </c>
      <c r="D542">
        <v>6</v>
      </c>
      <c r="E542">
        <v>15</v>
      </c>
      <c r="F542">
        <v>57</v>
      </c>
      <c r="G542">
        <v>48</v>
      </c>
      <c r="H542">
        <v>75</v>
      </c>
      <c r="I542">
        <v>57</v>
      </c>
      <c r="J542">
        <v>90</v>
      </c>
      <c r="K542">
        <v>87</v>
      </c>
      <c r="L542">
        <v>87</v>
      </c>
      <c r="M542">
        <v>69</v>
      </c>
      <c r="N542">
        <v>78</v>
      </c>
      <c r="O542">
        <v>69</v>
      </c>
      <c r="P542">
        <v>30</v>
      </c>
      <c r="Q542">
        <v>66</v>
      </c>
      <c r="R542" s="8"/>
    </row>
    <row r="543" spans="1:18" x14ac:dyDescent="0.3">
      <c r="A543" t="s">
        <v>594</v>
      </c>
      <c r="B543" t="s">
        <v>0</v>
      </c>
      <c r="C543">
        <v>30</v>
      </c>
      <c r="D543">
        <v>6</v>
      </c>
      <c r="E543">
        <v>15</v>
      </c>
      <c r="F543">
        <v>15</v>
      </c>
      <c r="G543">
        <v>33</v>
      </c>
      <c r="H543">
        <v>138</v>
      </c>
      <c r="I543">
        <v>39</v>
      </c>
      <c r="J543">
        <v>6</v>
      </c>
      <c r="K543">
        <v>9</v>
      </c>
      <c r="L543">
        <v>27</v>
      </c>
      <c r="M543">
        <v>87</v>
      </c>
      <c r="N543">
        <v>27</v>
      </c>
      <c r="O543">
        <v>39</v>
      </c>
      <c r="P543">
        <v>42</v>
      </c>
      <c r="Q543">
        <v>0</v>
      </c>
      <c r="R543" s="8"/>
    </row>
    <row r="544" spans="1:18" x14ac:dyDescent="0.3">
      <c r="A544" t="s">
        <v>595</v>
      </c>
      <c r="B544" t="s">
        <v>0</v>
      </c>
      <c r="C544">
        <v>42</v>
      </c>
      <c r="D544">
        <v>6</v>
      </c>
      <c r="E544">
        <v>15</v>
      </c>
      <c r="F544">
        <v>3</v>
      </c>
      <c r="G544">
        <v>9</v>
      </c>
      <c r="H544">
        <v>3</v>
      </c>
      <c r="I544">
        <v>3</v>
      </c>
      <c r="J544">
        <v>39</v>
      </c>
      <c r="K544">
        <v>12</v>
      </c>
      <c r="L544">
        <v>48</v>
      </c>
      <c r="M544">
        <v>45</v>
      </c>
      <c r="N544">
        <v>3</v>
      </c>
      <c r="O544">
        <v>3</v>
      </c>
      <c r="P544">
        <v>6</v>
      </c>
      <c r="Q544">
        <v>27</v>
      </c>
      <c r="R544" s="8"/>
    </row>
    <row r="545" spans="1:18" x14ac:dyDescent="0.3">
      <c r="A545" t="s">
        <v>596</v>
      </c>
      <c r="B545" t="s">
        <v>0</v>
      </c>
      <c r="C545">
        <v>108</v>
      </c>
      <c r="D545">
        <v>6</v>
      </c>
      <c r="E545">
        <v>15</v>
      </c>
      <c r="F545">
        <v>12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s="8"/>
    </row>
    <row r="546" spans="1:18" x14ac:dyDescent="0.3">
      <c r="A546" t="s">
        <v>597</v>
      </c>
      <c r="B546" t="s">
        <v>0</v>
      </c>
      <c r="C546">
        <v>372</v>
      </c>
      <c r="D546">
        <v>6</v>
      </c>
      <c r="E546">
        <v>12</v>
      </c>
      <c r="F546">
        <v>18</v>
      </c>
      <c r="G546">
        <v>18</v>
      </c>
      <c r="H546">
        <v>84</v>
      </c>
      <c r="I546">
        <v>12</v>
      </c>
      <c r="J546">
        <v>24</v>
      </c>
      <c r="K546">
        <v>114</v>
      </c>
      <c r="L546">
        <v>39</v>
      </c>
      <c r="M546">
        <v>15</v>
      </c>
      <c r="N546">
        <v>0</v>
      </c>
      <c r="O546">
        <v>0</v>
      </c>
      <c r="P546">
        <v>0</v>
      </c>
      <c r="Q546">
        <v>0</v>
      </c>
      <c r="R546" s="8"/>
    </row>
    <row r="547" spans="1:18" x14ac:dyDescent="0.3">
      <c r="A547" t="s">
        <v>598</v>
      </c>
      <c r="B547" t="s">
        <v>0</v>
      </c>
      <c r="C547">
        <v>84</v>
      </c>
      <c r="D547">
        <v>6</v>
      </c>
      <c r="E547">
        <v>12</v>
      </c>
      <c r="F547">
        <v>9</v>
      </c>
      <c r="G547">
        <v>21</v>
      </c>
      <c r="H547">
        <v>57</v>
      </c>
      <c r="I547">
        <v>81</v>
      </c>
      <c r="J547">
        <v>51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s="8"/>
    </row>
    <row r="548" spans="1:18" x14ac:dyDescent="0.3">
      <c r="A548" t="s">
        <v>599</v>
      </c>
      <c r="B548" t="s">
        <v>0</v>
      </c>
      <c r="C548">
        <v>117</v>
      </c>
      <c r="D548">
        <v>6</v>
      </c>
      <c r="E548">
        <v>12</v>
      </c>
      <c r="F548">
        <v>15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s="8"/>
    </row>
    <row r="549" spans="1:18" x14ac:dyDescent="0.3">
      <c r="A549" t="s">
        <v>600</v>
      </c>
      <c r="B549" t="s">
        <v>0</v>
      </c>
      <c r="C549">
        <v>90</v>
      </c>
      <c r="D549">
        <v>6</v>
      </c>
      <c r="E549">
        <v>12</v>
      </c>
      <c r="F549">
        <v>27</v>
      </c>
      <c r="G549">
        <v>12</v>
      </c>
      <c r="H549">
        <v>18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8"/>
    </row>
    <row r="550" spans="1:18" x14ac:dyDescent="0.3">
      <c r="A550" t="s">
        <v>601</v>
      </c>
      <c r="B550" t="s">
        <v>0</v>
      </c>
      <c r="C550">
        <v>60</v>
      </c>
      <c r="D550">
        <v>6</v>
      </c>
      <c r="E550">
        <v>9</v>
      </c>
      <c r="F550">
        <v>0</v>
      </c>
      <c r="G550">
        <v>9</v>
      </c>
      <c r="H550">
        <v>6</v>
      </c>
      <c r="I550">
        <v>0</v>
      </c>
      <c r="J550">
        <v>0</v>
      </c>
      <c r="K550">
        <v>3</v>
      </c>
      <c r="L550">
        <v>3</v>
      </c>
      <c r="M550">
        <v>9</v>
      </c>
      <c r="N550">
        <v>18</v>
      </c>
      <c r="O550">
        <v>33</v>
      </c>
      <c r="P550">
        <v>3</v>
      </c>
      <c r="Q550">
        <v>6</v>
      </c>
      <c r="R550" s="8"/>
    </row>
    <row r="551" spans="1:18" x14ac:dyDescent="0.3">
      <c r="A551" t="s">
        <v>602</v>
      </c>
      <c r="B551" t="s">
        <v>0</v>
      </c>
      <c r="C551">
        <v>39</v>
      </c>
      <c r="D551">
        <v>6</v>
      </c>
      <c r="E551">
        <v>9</v>
      </c>
      <c r="F551">
        <v>24</v>
      </c>
      <c r="G551">
        <v>12</v>
      </c>
      <c r="H551">
        <v>15</v>
      </c>
      <c r="I551">
        <v>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s="8"/>
    </row>
    <row r="552" spans="1:18" x14ac:dyDescent="0.3">
      <c r="A552" t="s">
        <v>603</v>
      </c>
      <c r="B552" t="s">
        <v>0</v>
      </c>
      <c r="C552">
        <v>48</v>
      </c>
      <c r="D552">
        <v>6</v>
      </c>
      <c r="E552">
        <v>6</v>
      </c>
      <c r="F552">
        <v>0</v>
      </c>
      <c r="G552">
        <v>0</v>
      </c>
      <c r="H552">
        <v>9</v>
      </c>
      <c r="I552">
        <v>0</v>
      </c>
      <c r="J552">
        <v>12</v>
      </c>
      <c r="K552">
        <v>12</v>
      </c>
      <c r="L552">
        <v>3</v>
      </c>
      <c r="M552">
        <v>3</v>
      </c>
      <c r="N552">
        <v>6</v>
      </c>
      <c r="O552">
        <v>21</v>
      </c>
      <c r="P552">
        <v>9</v>
      </c>
      <c r="Q552">
        <v>3</v>
      </c>
      <c r="R552" s="8"/>
    </row>
    <row r="553" spans="1:18" x14ac:dyDescent="0.3">
      <c r="A553" t="s">
        <v>604</v>
      </c>
      <c r="B553" t="s">
        <v>0</v>
      </c>
      <c r="C553">
        <v>24</v>
      </c>
      <c r="D553">
        <v>6</v>
      </c>
      <c r="E553">
        <v>6</v>
      </c>
      <c r="F553">
        <v>21</v>
      </c>
      <c r="G553">
        <v>54</v>
      </c>
      <c r="H553">
        <v>93</v>
      </c>
      <c r="I553">
        <v>27</v>
      </c>
      <c r="J553">
        <v>21</v>
      </c>
      <c r="K553">
        <v>48</v>
      </c>
      <c r="L553">
        <v>12</v>
      </c>
      <c r="M553">
        <v>0</v>
      </c>
      <c r="N553">
        <v>0</v>
      </c>
      <c r="O553">
        <v>0</v>
      </c>
      <c r="P553">
        <v>0</v>
      </c>
      <c r="Q553">
        <v>0</v>
      </c>
      <c r="R553" s="8"/>
    </row>
    <row r="554" spans="1:18" x14ac:dyDescent="0.3">
      <c r="A554" t="s">
        <v>605</v>
      </c>
      <c r="B554" t="s">
        <v>0</v>
      </c>
      <c r="C554">
        <v>24</v>
      </c>
      <c r="D554">
        <v>6</v>
      </c>
      <c r="E554">
        <v>6</v>
      </c>
      <c r="F554">
        <v>9</v>
      </c>
      <c r="G554">
        <v>3</v>
      </c>
      <c r="H554">
        <v>51</v>
      </c>
      <c r="I554">
        <v>36</v>
      </c>
      <c r="J554">
        <v>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s="8"/>
    </row>
    <row r="555" spans="1:18" x14ac:dyDescent="0.3">
      <c r="A555" t="s">
        <v>606</v>
      </c>
      <c r="B555" t="s">
        <v>0</v>
      </c>
      <c r="C555">
        <v>117</v>
      </c>
      <c r="D555">
        <v>6</v>
      </c>
      <c r="E555">
        <v>6</v>
      </c>
      <c r="F555">
        <v>9</v>
      </c>
      <c r="G555">
        <v>6</v>
      </c>
      <c r="H555">
        <v>12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s="8"/>
    </row>
    <row r="556" spans="1:18" x14ac:dyDescent="0.3">
      <c r="A556" t="s">
        <v>607</v>
      </c>
      <c r="B556" t="s">
        <v>0</v>
      </c>
      <c r="C556">
        <v>57</v>
      </c>
      <c r="D556">
        <v>6</v>
      </c>
      <c r="E556">
        <v>3</v>
      </c>
      <c r="F556">
        <v>6</v>
      </c>
      <c r="G556">
        <v>3</v>
      </c>
      <c r="H556">
        <v>9</v>
      </c>
      <c r="I556">
        <v>0</v>
      </c>
      <c r="J556">
        <v>0</v>
      </c>
      <c r="K556">
        <v>9</v>
      </c>
      <c r="L556">
        <v>6</v>
      </c>
      <c r="M556">
        <v>3</v>
      </c>
      <c r="N556">
        <v>12</v>
      </c>
      <c r="O556">
        <v>18</v>
      </c>
      <c r="P556">
        <v>15</v>
      </c>
      <c r="Q556">
        <v>15</v>
      </c>
      <c r="R556" s="8"/>
    </row>
    <row r="557" spans="1:18" x14ac:dyDescent="0.3">
      <c r="A557" t="s">
        <v>608</v>
      </c>
      <c r="B557" t="s">
        <v>0</v>
      </c>
      <c r="C557">
        <v>177</v>
      </c>
      <c r="D557">
        <v>6</v>
      </c>
      <c r="E557">
        <v>3</v>
      </c>
      <c r="F557">
        <v>51</v>
      </c>
      <c r="G557">
        <v>48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8"/>
    </row>
    <row r="558" spans="1:18" x14ac:dyDescent="0.3">
      <c r="A558" t="s">
        <v>609</v>
      </c>
      <c r="B558" t="s">
        <v>0</v>
      </c>
      <c r="C558">
        <v>33</v>
      </c>
      <c r="D558">
        <v>6</v>
      </c>
      <c r="E558">
        <v>3</v>
      </c>
      <c r="F558">
        <v>6</v>
      </c>
      <c r="G558">
        <v>3</v>
      </c>
      <c r="H558">
        <v>6</v>
      </c>
      <c r="I558">
        <v>6</v>
      </c>
      <c r="J558">
        <v>6</v>
      </c>
      <c r="K558">
        <v>0</v>
      </c>
      <c r="L558">
        <v>0</v>
      </c>
      <c r="M558">
        <v>0</v>
      </c>
      <c r="N558">
        <v>18</v>
      </c>
      <c r="O558">
        <v>3</v>
      </c>
      <c r="P558">
        <v>21</v>
      </c>
      <c r="Q558">
        <v>18</v>
      </c>
      <c r="R558" s="8"/>
    </row>
    <row r="559" spans="1:18" x14ac:dyDescent="0.3">
      <c r="A559" t="s">
        <v>610</v>
      </c>
      <c r="B559" t="s">
        <v>0</v>
      </c>
      <c r="C559">
        <v>60</v>
      </c>
      <c r="D559">
        <v>6</v>
      </c>
      <c r="E559">
        <v>3</v>
      </c>
      <c r="F559">
        <v>12</v>
      </c>
      <c r="G559">
        <v>0</v>
      </c>
      <c r="H559">
        <v>6</v>
      </c>
      <c r="I559">
        <v>24</v>
      </c>
      <c r="J559">
        <v>36</v>
      </c>
      <c r="K559">
        <v>12</v>
      </c>
      <c r="L559">
        <v>12</v>
      </c>
      <c r="M559">
        <v>6</v>
      </c>
      <c r="N559">
        <v>3</v>
      </c>
      <c r="O559">
        <v>3</v>
      </c>
      <c r="P559">
        <v>6</v>
      </c>
      <c r="Q559">
        <v>12</v>
      </c>
      <c r="R559" s="8"/>
    </row>
    <row r="560" spans="1:18" x14ac:dyDescent="0.3">
      <c r="A560" t="s">
        <v>611</v>
      </c>
      <c r="B560" t="s">
        <v>0</v>
      </c>
      <c r="C560">
        <v>228</v>
      </c>
      <c r="D560">
        <v>6</v>
      </c>
      <c r="E560">
        <v>3</v>
      </c>
      <c r="F560">
        <v>3</v>
      </c>
      <c r="G560">
        <v>3</v>
      </c>
      <c r="H560">
        <v>6</v>
      </c>
      <c r="I560">
        <v>18</v>
      </c>
      <c r="J560">
        <v>33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s="8"/>
    </row>
    <row r="561" spans="1:18" x14ac:dyDescent="0.3">
      <c r="A561" t="s">
        <v>612</v>
      </c>
      <c r="B561" t="s">
        <v>0</v>
      </c>
      <c r="C561">
        <v>33</v>
      </c>
      <c r="D561">
        <v>6</v>
      </c>
      <c r="E561">
        <v>0</v>
      </c>
      <c r="F561">
        <v>12</v>
      </c>
      <c r="G561">
        <v>12</v>
      </c>
      <c r="H561">
        <v>15</v>
      </c>
      <c r="I561">
        <v>36</v>
      </c>
      <c r="J561">
        <v>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s="8"/>
    </row>
    <row r="562" spans="1:18" x14ac:dyDescent="0.3">
      <c r="A562" t="s">
        <v>613</v>
      </c>
      <c r="B562" t="s">
        <v>0</v>
      </c>
      <c r="C562">
        <v>66</v>
      </c>
      <c r="D562">
        <v>6</v>
      </c>
      <c r="E562">
        <v>0</v>
      </c>
      <c r="F562">
        <v>27</v>
      </c>
      <c r="G562">
        <v>3</v>
      </c>
      <c r="H562">
        <v>12</v>
      </c>
      <c r="I562">
        <v>0</v>
      </c>
      <c r="J562">
        <v>15</v>
      </c>
      <c r="K562">
        <v>18</v>
      </c>
      <c r="L562">
        <v>15</v>
      </c>
      <c r="M562">
        <v>3</v>
      </c>
      <c r="N562">
        <v>21</v>
      </c>
      <c r="O562">
        <v>15</v>
      </c>
      <c r="P562">
        <v>12</v>
      </c>
      <c r="Q562">
        <v>18</v>
      </c>
      <c r="R562" s="8"/>
    </row>
    <row r="563" spans="1:18" x14ac:dyDescent="0.3">
      <c r="A563" t="s">
        <v>614</v>
      </c>
      <c r="B563" t="s">
        <v>0</v>
      </c>
      <c r="C563">
        <v>18</v>
      </c>
      <c r="D563">
        <v>6</v>
      </c>
      <c r="E563">
        <v>0</v>
      </c>
      <c r="F563">
        <v>15</v>
      </c>
      <c r="G563">
        <v>30</v>
      </c>
      <c r="H563">
        <v>63</v>
      </c>
      <c r="I563">
        <v>36</v>
      </c>
      <c r="J563">
        <v>39</v>
      </c>
      <c r="K563">
        <v>45</v>
      </c>
      <c r="L563">
        <v>21</v>
      </c>
      <c r="M563">
        <v>0</v>
      </c>
      <c r="N563">
        <v>0</v>
      </c>
      <c r="O563">
        <v>0</v>
      </c>
      <c r="P563">
        <v>0</v>
      </c>
      <c r="Q563">
        <v>0</v>
      </c>
      <c r="R563" s="8"/>
    </row>
    <row r="564" spans="1:18" x14ac:dyDescent="0.3">
      <c r="A564" t="s">
        <v>615</v>
      </c>
      <c r="B564" t="s">
        <v>0</v>
      </c>
      <c r="C564">
        <v>123</v>
      </c>
      <c r="D564">
        <v>6</v>
      </c>
      <c r="E564">
        <v>0</v>
      </c>
      <c r="F564">
        <v>12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s="8"/>
    </row>
    <row r="565" spans="1:18" x14ac:dyDescent="0.3">
      <c r="A565" t="s">
        <v>616</v>
      </c>
      <c r="B565" t="s">
        <v>0</v>
      </c>
      <c r="C565">
        <v>114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s="8"/>
    </row>
    <row r="566" spans="1:18" x14ac:dyDescent="0.3">
      <c r="A566" t="s">
        <v>617</v>
      </c>
      <c r="B566" t="s">
        <v>3</v>
      </c>
      <c r="C566">
        <v>114</v>
      </c>
      <c r="D566">
        <v>6</v>
      </c>
      <c r="E566">
        <v>9</v>
      </c>
      <c r="F566">
        <v>3</v>
      </c>
      <c r="G566">
        <v>12</v>
      </c>
      <c r="H566">
        <v>15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s="8"/>
    </row>
    <row r="567" spans="1:18" x14ac:dyDescent="0.3">
      <c r="A567" t="s">
        <v>618</v>
      </c>
      <c r="B567" t="s">
        <v>2</v>
      </c>
      <c r="C567">
        <v>15</v>
      </c>
      <c r="D567">
        <v>3</v>
      </c>
      <c r="E567">
        <v>21</v>
      </c>
      <c r="F567">
        <v>36</v>
      </c>
      <c r="G567">
        <v>42</v>
      </c>
      <c r="H567">
        <v>138</v>
      </c>
      <c r="I567">
        <v>291</v>
      </c>
      <c r="J567">
        <v>117</v>
      </c>
      <c r="K567">
        <v>405</v>
      </c>
      <c r="L567">
        <v>939</v>
      </c>
      <c r="M567">
        <v>1185</v>
      </c>
      <c r="N567">
        <v>1299</v>
      </c>
      <c r="O567">
        <v>450</v>
      </c>
      <c r="P567">
        <v>219</v>
      </c>
      <c r="Q567">
        <v>54</v>
      </c>
      <c r="R567" s="8"/>
    </row>
    <row r="568" spans="1:18" x14ac:dyDescent="0.3">
      <c r="A568" t="s">
        <v>619</v>
      </c>
      <c r="B568" t="s">
        <v>1</v>
      </c>
      <c r="C568">
        <v>24</v>
      </c>
      <c r="D568">
        <v>3</v>
      </c>
      <c r="E568">
        <v>15</v>
      </c>
      <c r="F568">
        <v>24</v>
      </c>
      <c r="G568">
        <v>24</v>
      </c>
      <c r="H568">
        <v>84</v>
      </c>
      <c r="I568">
        <v>9</v>
      </c>
      <c r="J568">
        <v>27</v>
      </c>
      <c r="K568">
        <v>123</v>
      </c>
      <c r="L568">
        <v>90</v>
      </c>
      <c r="M568">
        <v>108</v>
      </c>
      <c r="N568">
        <v>51</v>
      </c>
      <c r="O568">
        <v>72</v>
      </c>
      <c r="P568">
        <v>81</v>
      </c>
      <c r="Q568">
        <v>183</v>
      </c>
      <c r="R568" s="8"/>
    </row>
    <row r="569" spans="1:18" x14ac:dyDescent="0.3">
      <c r="A569" t="s">
        <v>620</v>
      </c>
      <c r="B569" t="s">
        <v>1</v>
      </c>
      <c r="C569">
        <v>63</v>
      </c>
      <c r="D569">
        <v>3</v>
      </c>
      <c r="E569">
        <v>3</v>
      </c>
      <c r="F569">
        <v>0</v>
      </c>
      <c r="G569">
        <v>3</v>
      </c>
      <c r="H569">
        <v>12</v>
      </c>
      <c r="I569">
        <v>6</v>
      </c>
      <c r="J569">
        <v>9</v>
      </c>
      <c r="K569">
        <v>3</v>
      </c>
      <c r="L569">
        <v>18</v>
      </c>
      <c r="M569">
        <v>18</v>
      </c>
      <c r="N569">
        <v>21</v>
      </c>
      <c r="O569">
        <v>30</v>
      </c>
      <c r="P569">
        <v>63</v>
      </c>
      <c r="Q569">
        <v>63</v>
      </c>
      <c r="R569" s="8"/>
    </row>
    <row r="570" spans="1:18" x14ac:dyDescent="0.3">
      <c r="A570" t="s">
        <v>621</v>
      </c>
      <c r="B570" t="s">
        <v>1</v>
      </c>
      <c r="C570">
        <v>15</v>
      </c>
      <c r="D570">
        <v>3</v>
      </c>
      <c r="E570">
        <v>3</v>
      </c>
      <c r="F570">
        <v>9</v>
      </c>
      <c r="G570">
        <v>3</v>
      </c>
      <c r="H570">
        <v>15</v>
      </c>
      <c r="I570">
        <v>21</v>
      </c>
      <c r="J570">
        <v>36</v>
      </c>
      <c r="K570">
        <v>27</v>
      </c>
      <c r="L570">
        <v>42</v>
      </c>
      <c r="M570">
        <v>6</v>
      </c>
      <c r="N570">
        <v>0</v>
      </c>
      <c r="O570">
        <v>0</v>
      </c>
      <c r="P570">
        <v>0</v>
      </c>
      <c r="Q570">
        <v>0</v>
      </c>
      <c r="R570" s="8"/>
    </row>
    <row r="571" spans="1:18" x14ac:dyDescent="0.3">
      <c r="A571" t="s">
        <v>622</v>
      </c>
      <c r="B571" t="s">
        <v>0</v>
      </c>
      <c r="C571">
        <v>36</v>
      </c>
      <c r="D571">
        <v>3</v>
      </c>
      <c r="E571">
        <v>51</v>
      </c>
      <c r="F571">
        <v>69</v>
      </c>
      <c r="G571">
        <v>72</v>
      </c>
      <c r="H571">
        <v>87</v>
      </c>
      <c r="I571">
        <v>18</v>
      </c>
      <c r="J571">
        <v>51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s="8"/>
    </row>
    <row r="572" spans="1:18" x14ac:dyDescent="0.3">
      <c r="A572" t="s">
        <v>623</v>
      </c>
      <c r="B572" t="s">
        <v>0</v>
      </c>
      <c r="C572">
        <v>96</v>
      </c>
      <c r="D572">
        <v>3</v>
      </c>
      <c r="E572">
        <v>24</v>
      </c>
      <c r="F572">
        <v>54</v>
      </c>
      <c r="G572">
        <v>21</v>
      </c>
      <c r="H572">
        <v>90</v>
      </c>
      <c r="I572">
        <v>36</v>
      </c>
      <c r="J572">
        <v>36</v>
      </c>
      <c r="K572">
        <v>30</v>
      </c>
      <c r="L572">
        <v>147</v>
      </c>
      <c r="M572">
        <v>51</v>
      </c>
      <c r="N572">
        <v>12</v>
      </c>
      <c r="O572">
        <v>75</v>
      </c>
      <c r="P572">
        <v>24</v>
      </c>
      <c r="Q572">
        <v>60</v>
      </c>
      <c r="R572" s="8"/>
    </row>
    <row r="573" spans="1:18" x14ac:dyDescent="0.3">
      <c r="A573" t="s">
        <v>624</v>
      </c>
      <c r="B573" t="s">
        <v>0</v>
      </c>
      <c r="C573">
        <v>108</v>
      </c>
      <c r="D573">
        <v>3</v>
      </c>
      <c r="E573">
        <v>24</v>
      </c>
      <c r="F573">
        <v>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s="8"/>
    </row>
    <row r="574" spans="1:18" x14ac:dyDescent="0.3">
      <c r="A574" t="s">
        <v>625</v>
      </c>
      <c r="B574" t="s">
        <v>0</v>
      </c>
      <c r="C574">
        <v>198</v>
      </c>
      <c r="D574">
        <v>3</v>
      </c>
      <c r="E574">
        <v>21</v>
      </c>
      <c r="F574">
        <v>9</v>
      </c>
      <c r="G574">
        <v>45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s="8"/>
    </row>
    <row r="575" spans="1:18" x14ac:dyDescent="0.3">
      <c r="A575" t="s">
        <v>626</v>
      </c>
      <c r="B575" t="s">
        <v>0</v>
      </c>
      <c r="C575">
        <v>93</v>
      </c>
      <c r="D575">
        <v>3</v>
      </c>
      <c r="E575">
        <v>21</v>
      </c>
      <c r="F575">
        <v>6</v>
      </c>
      <c r="G575">
        <v>6</v>
      </c>
      <c r="H575">
        <v>18</v>
      </c>
      <c r="I575">
        <v>9</v>
      </c>
      <c r="J575">
        <v>21</v>
      </c>
      <c r="K575">
        <v>9</v>
      </c>
      <c r="L575">
        <v>45</v>
      </c>
      <c r="M575">
        <v>24</v>
      </c>
      <c r="N575">
        <v>0</v>
      </c>
      <c r="O575">
        <v>0</v>
      </c>
      <c r="P575">
        <v>0</v>
      </c>
      <c r="Q575">
        <v>0</v>
      </c>
      <c r="R575" s="8"/>
    </row>
    <row r="576" spans="1:18" x14ac:dyDescent="0.3">
      <c r="A576" t="s">
        <v>627</v>
      </c>
      <c r="B576" t="s">
        <v>0</v>
      </c>
      <c r="C576">
        <v>60</v>
      </c>
      <c r="D576">
        <v>3</v>
      </c>
      <c r="E576">
        <v>15</v>
      </c>
      <c r="F576">
        <v>93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s="8"/>
    </row>
    <row r="577" spans="1:18" x14ac:dyDescent="0.3">
      <c r="A577" t="s">
        <v>628</v>
      </c>
      <c r="B577" t="s">
        <v>0</v>
      </c>
      <c r="C577">
        <v>81</v>
      </c>
      <c r="D577">
        <v>3</v>
      </c>
      <c r="E577">
        <v>12</v>
      </c>
      <c r="F577">
        <v>9</v>
      </c>
      <c r="G577">
        <v>24</v>
      </c>
      <c r="H577">
        <v>12</v>
      </c>
      <c r="I577">
        <v>24</v>
      </c>
      <c r="J577">
        <v>9</v>
      </c>
      <c r="K577">
        <v>3</v>
      </c>
      <c r="L577">
        <v>27</v>
      </c>
      <c r="M577">
        <v>9</v>
      </c>
      <c r="N577">
        <v>18</v>
      </c>
      <c r="O577">
        <v>27</v>
      </c>
      <c r="P577">
        <v>6</v>
      </c>
      <c r="Q577">
        <v>39</v>
      </c>
      <c r="R577" s="8"/>
    </row>
    <row r="578" spans="1:18" x14ac:dyDescent="0.3">
      <c r="A578" t="s">
        <v>629</v>
      </c>
      <c r="B578" t="s">
        <v>0</v>
      </c>
      <c r="C578">
        <v>30</v>
      </c>
      <c r="D578">
        <v>3</v>
      </c>
      <c r="E578">
        <v>9</v>
      </c>
      <c r="F578">
        <v>21</v>
      </c>
      <c r="G578">
        <v>27</v>
      </c>
      <c r="H578">
        <v>0</v>
      </c>
      <c r="I578">
        <v>18</v>
      </c>
      <c r="J578">
        <v>18</v>
      </c>
      <c r="K578">
        <v>30</v>
      </c>
      <c r="L578">
        <v>51</v>
      </c>
      <c r="M578">
        <v>51</v>
      </c>
      <c r="N578">
        <v>0</v>
      </c>
      <c r="O578">
        <v>3</v>
      </c>
      <c r="P578">
        <v>9</v>
      </c>
      <c r="Q578">
        <v>36</v>
      </c>
      <c r="R578" s="8"/>
    </row>
    <row r="579" spans="1:18" x14ac:dyDescent="0.3">
      <c r="A579" t="s">
        <v>630</v>
      </c>
      <c r="B579" t="s">
        <v>0</v>
      </c>
      <c r="C579">
        <v>21</v>
      </c>
      <c r="D579">
        <v>3</v>
      </c>
      <c r="E579">
        <v>6</v>
      </c>
      <c r="F579">
        <v>12</v>
      </c>
      <c r="G579">
        <v>30</v>
      </c>
      <c r="H579">
        <v>30</v>
      </c>
      <c r="I579">
        <v>24</v>
      </c>
      <c r="J579">
        <v>21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s="8"/>
    </row>
    <row r="580" spans="1:18" x14ac:dyDescent="0.3">
      <c r="A580" t="s">
        <v>631</v>
      </c>
      <c r="B580" t="s">
        <v>0</v>
      </c>
      <c r="C580">
        <v>90</v>
      </c>
      <c r="D580">
        <v>3</v>
      </c>
      <c r="E580">
        <v>6</v>
      </c>
      <c r="F580">
        <v>15</v>
      </c>
      <c r="G580">
        <v>18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s="8"/>
    </row>
    <row r="581" spans="1:18" x14ac:dyDescent="0.3">
      <c r="A581" t="s">
        <v>632</v>
      </c>
      <c r="B581" t="s">
        <v>0</v>
      </c>
      <c r="C581">
        <v>27</v>
      </c>
      <c r="D581">
        <v>3</v>
      </c>
      <c r="E581">
        <v>6</v>
      </c>
      <c r="F581">
        <v>3</v>
      </c>
      <c r="G581">
        <v>3</v>
      </c>
      <c r="H581">
        <v>3</v>
      </c>
      <c r="I581">
        <v>0</v>
      </c>
      <c r="J581">
        <v>12</v>
      </c>
      <c r="K581">
        <v>3</v>
      </c>
      <c r="L581">
        <v>15</v>
      </c>
      <c r="M581">
        <v>9</v>
      </c>
      <c r="N581">
        <v>15</v>
      </c>
      <c r="O581">
        <v>18</v>
      </c>
      <c r="P581">
        <v>12</v>
      </c>
      <c r="Q581">
        <v>15</v>
      </c>
      <c r="R581" s="8"/>
    </row>
    <row r="582" spans="1:18" x14ac:dyDescent="0.3">
      <c r="A582" t="s">
        <v>633</v>
      </c>
      <c r="B582" t="s">
        <v>0</v>
      </c>
      <c r="C582">
        <v>15</v>
      </c>
      <c r="D582">
        <v>3</v>
      </c>
      <c r="E582">
        <v>3</v>
      </c>
      <c r="F582">
        <v>3</v>
      </c>
      <c r="G582">
        <v>6</v>
      </c>
      <c r="H582">
        <v>9</v>
      </c>
      <c r="I582">
        <v>3</v>
      </c>
      <c r="J582">
        <v>6</v>
      </c>
      <c r="K582">
        <v>3</v>
      </c>
      <c r="L582">
        <v>3</v>
      </c>
      <c r="M582">
        <v>3</v>
      </c>
      <c r="N582">
        <v>0</v>
      </c>
      <c r="O582">
        <v>57</v>
      </c>
      <c r="P582">
        <v>12</v>
      </c>
      <c r="Q582">
        <v>66</v>
      </c>
      <c r="R582" s="8"/>
    </row>
    <row r="583" spans="1:18" x14ac:dyDescent="0.3">
      <c r="A583" t="s">
        <v>634</v>
      </c>
      <c r="B583" t="s">
        <v>0</v>
      </c>
      <c r="C583">
        <v>48</v>
      </c>
      <c r="D583">
        <v>3</v>
      </c>
      <c r="E583">
        <v>3</v>
      </c>
      <c r="F583">
        <v>3</v>
      </c>
      <c r="G583">
        <v>27</v>
      </c>
      <c r="H583">
        <v>12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8"/>
    </row>
    <row r="584" spans="1:18" x14ac:dyDescent="0.3">
      <c r="A584" t="s">
        <v>635</v>
      </c>
      <c r="B584" t="s">
        <v>0</v>
      </c>
      <c r="C584">
        <v>18</v>
      </c>
      <c r="D584">
        <v>3</v>
      </c>
      <c r="E584">
        <v>3</v>
      </c>
      <c r="F584">
        <v>0</v>
      </c>
      <c r="G584">
        <v>3</v>
      </c>
      <c r="H584">
        <v>0</v>
      </c>
      <c r="I584">
        <v>0</v>
      </c>
      <c r="J584">
        <v>9</v>
      </c>
      <c r="K584">
        <v>0</v>
      </c>
      <c r="L584">
        <v>0</v>
      </c>
      <c r="M584">
        <v>6</v>
      </c>
      <c r="N584">
        <v>0</v>
      </c>
      <c r="O584">
        <v>0</v>
      </c>
      <c r="P584">
        <v>3</v>
      </c>
      <c r="Q584">
        <v>12</v>
      </c>
      <c r="R584" s="8"/>
    </row>
    <row r="585" spans="1:18" x14ac:dyDescent="0.3">
      <c r="A585" t="s">
        <v>636</v>
      </c>
      <c r="B585" t="s">
        <v>0</v>
      </c>
      <c r="C585">
        <v>12</v>
      </c>
      <c r="D585">
        <v>3</v>
      </c>
      <c r="E585">
        <v>3</v>
      </c>
      <c r="F585">
        <v>0</v>
      </c>
      <c r="G585">
        <v>0</v>
      </c>
      <c r="H585">
        <v>0</v>
      </c>
      <c r="I585">
        <v>6</v>
      </c>
      <c r="J585">
        <v>3</v>
      </c>
      <c r="K585">
        <v>3</v>
      </c>
      <c r="L585">
        <v>6</v>
      </c>
      <c r="M585">
        <v>3</v>
      </c>
      <c r="N585">
        <v>0</v>
      </c>
      <c r="O585">
        <v>0</v>
      </c>
      <c r="P585">
        <v>3</v>
      </c>
      <c r="Q585">
        <v>39</v>
      </c>
      <c r="R585" s="8"/>
    </row>
    <row r="586" spans="1:18" x14ac:dyDescent="0.3">
      <c r="A586" t="s">
        <v>637</v>
      </c>
      <c r="B586" t="s">
        <v>0</v>
      </c>
      <c r="C586">
        <v>18</v>
      </c>
      <c r="D586">
        <v>3</v>
      </c>
      <c r="E586">
        <v>3</v>
      </c>
      <c r="F586">
        <v>33</v>
      </c>
      <c r="G586">
        <v>99</v>
      </c>
      <c r="H586">
        <v>198</v>
      </c>
      <c r="I586">
        <v>66</v>
      </c>
      <c r="J586">
        <v>0</v>
      </c>
      <c r="K586">
        <v>12</v>
      </c>
      <c r="L586">
        <v>108</v>
      </c>
      <c r="M586">
        <v>138</v>
      </c>
      <c r="N586">
        <v>12</v>
      </c>
      <c r="O586">
        <v>63</v>
      </c>
      <c r="P586">
        <v>33</v>
      </c>
      <c r="Q586">
        <v>87</v>
      </c>
      <c r="R586" s="8"/>
    </row>
    <row r="587" spans="1:18" x14ac:dyDescent="0.3">
      <c r="A587" t="s">
        <v>638</v>
      </c>
      <c r="B587" t="s">
        <v>0</v>
      </c>
      <c r="C587">
        <v>129</v>
      </c>
      <c r="D587">
        <v>3</v>
      </c>
      <c r="E587">
        <v>3</v>
      </c>
      <c r="F587">
        <v>21</v>
      </c>
      <c r="G587">
        <v>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s="8"/>
    </row>
    <row r="588" spans="1:18" x14ac:dyDescent="0.3">
      <c r="A588" t="s">
        <v>639</v>
      </c>
      <c r="B588" t="s">
        <v>0</v>
      </c>
      <c r="C588">
        <v>12</v>
      </c>
      <c r="D588">
        <v>3</v>
      </c>
      <c r="E588">
        <v>3</v>
      </c>
      <c r="F588">
        <v>0</v>
      </c>
      <c r="G588">
        <v>3</v>
      </c>
      <c r="H588">
        <v>3</v>
      </c>
      <c r="I588">
        <v>3</v>
      </c>
      <c r="J588">
        <v>0</v>
      </c>
      <c r="K588">
        <v>18</v>
      </c>
      <c r="L588">
        <v>12</v>
      </c>
      <c r="M588">
        <v>6</v>
      </c>
      <c r="N588">
        <v>12</v>
      </c>
      <c r="O588">
        <v>15</v>
      </c>
      <c r="P588">
        <v>0</v>
      </c>
      <c r="Q588">
        <v>27</v>
      </c>
      <c r="R588" s="8"/>
    </row>
    <row r="589" spans="1:18" x14ac:dyDescent="0.3">
      <c r="A589" t="s">
        <v>640</v>
      </c>
      <c r="B589" t="s">
        <v>0</v>
      </c>
      <c r="C589">
        <v>54</v>
      </c>
      <c r="D589">
        <v>3</v>
      </c>
      <c r="E589">
        <v>3</v>
      </c>
      <c r="F589">
        <v>6</v>
      </c>
      <c r="G589">
        <v>6</v>
      </c>
      <c r="H589">
        <v>15</v>
      </c>
      <c r="I589">
        <v>18</v>
      </c>
      <c r="J589">
        <v>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s="8"/>
    </row>
    <row r="590" spans="1:18" x14ac:dyDescent="0.3">
      <c r="A590" t="s">
        <v>641</v>
      </c>
      <c r="B590" t="s">
        <v>0</v>
      </c>
      <c r="C590">
        <v>30</v>
      </c>
      <c r="D590">
        <v>3</v>
      </c>
      <c r="E590">
        <v>0</v>
      </c>
      <c r="F590">
        <v>0</v>
      </c>
      <c r="G590">
        <v>3</v>
      </c>
      <c r="H590">
        <v>0</v>
      </c>
      <c r="I590">
        <v>3</v>
      </c>
      <c r="J590">
        <v>0</v>
      </c>
      <c r="K590">
        <v>0</v>
      </c>
      <c r="L590">
        <v>12</v>
      </c>
      <c r="M590">
        <v>3</v>
      </c>
      <c r="N590">
        <v>9</v>
      </c>
      <c r="O590">
        <v>15</v>
      </c>
      <c r="P590">
        <v>9</v>
      </c>
      <c r="Q590">
        <v>0</v>
      </c>
      <c r="R590" s="8"/>
    </row>
    <row r="591" spans="1:18" x14ac:dyDescent="0.3">
      <c r="A591" t="s">
        <v>642</v>
      </c>
      <c r="B591" t="s">
        <v>0</v>
      </c>
      <c r="C591">
        <v>39</v>
      </c>
      <c r="D591">
        <v>3</v>
      </c>
      <c r="E591">
        <v>0</v>
      </c>
      <c r="F591">
        <v>15</v>
      </c>
      <c r="G591">
        <v>21</v>
      </c>
      <c r="H591">
        <v>9</v>
      </c>
      <c r="I591">
        <v>24</v>
      </c>
      <c r="J591">
        <v>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s="8"/>
    </row>
    <row r="592" spans="1:18" x14ac:dyDescent="0.3">
      <c r="A592" t="s">
        <v>643</v>
      </c>
      <c r="B592" t="s">
        <v>0</v>
      </c>
      <c r="C592">
        <v>39</v>
      </c>
      <c r="D592">
        <v>3</v>
      </c>
      <c r="E592">
        <v>0</v>
      </c>
      <c r="F592">
        <v>0</v>
      </c>
      <c r="G592">
        <v>6</v>
      </c>
      <c r="H592">
        <v>12</v>
      </c>
      <c r="I592">
        <v>9</v>
      </c>
      <c r="J592">
        <v>27</v>
      </c>
      <c r="K592">
        <v>45</v>
      </c>
      <c r="L592">
        <v>27</v>
      </c>
      <c r="M592">
        <v>12</v>
      </c>
      <c r="N592">
        <v>27</v>
      </c>
      <c r="O592">
        <v>0</v>
      </c>
      <c r="P592">
        <v>12</v>
      </c>
      <c r="Q592">
        <v>9</v>
      </c>
      <c r="R592" s="8"/>
    </row>
    <row r="593" spans="1:18" x14ac:dyDescent="0.3">
      <c r="A593" t="s">
        <v>644</v>
      </c>
      <c r="B593" t="s">
        <v>0</v>
      </c>
      <c r="C593">
        <v>45</v>
      </c>
      <c r="D593">
        <v>3</v>
      </c>
      <c r="E593">
        <v>0</v>
      </c>
      <c r="F593">
        <v>9</v>
      </c>
      <c r="G593">
        <v>18</v>
      </c>
      <c r="H593">
        <v>24</v>
      </c>
      <c r="I593">
        <v>9</v>
      </c>
      <c r="J593">
        <v>21</v>
      </c>
      <c r="K593">
        <v>21</v>
      </c>
      <c r="L593">
        <v>27</v>
      </c>
      <c r="M593">
        <v>12</v>
      </c>
      <c r="N593">
        <v>33</v>
      </c>
      <c r="O593">
        <v>9</v>
      </c>
      <c r="P593">
        <v>3</v>
      </c>
      <c r="Q593">
        <v>45</v>
      </c>
      <c r="R593" s="8"/>
    </row>
    <row r="594" spans="1:18" x14ac:dyDescent="0.3">
      <c r="A594" t="s">
        <v>645</v>
      </c>
      <c r="B594" t="s">
        <v>0</v>
      </c>
      <c r="C594">
        <v>12</v>
      </c>
      <c r="D594">
        <v>3</v>
      </c>
      <c r="E594">
        <v>0</v>
      </c>
      <c r="F594">
        <v>3</v>
      </c>
      <c r="G594">
        <v>0</v>
      </c>
      <c r="H594">
        <v>0</v>
      </c>
      <c r="I594">
        <v>3</v>
      </c>
      <c r="J594">
        <v>0</v>
      </c>
      <c r="K594">
        <v>0</v>
      </c>
      <c r="L594">
        <v>6</v>
      </c>
      <c r="M594">
        <v>15</v>
      </c>
      <c r="N594">
        <v>15</v>
      </c>
      <c r="O594">
        <v>6</v>
      </c>
      <c r="P594">
        <v>6</v>
      </c>
      <c r="Q594">
        <v>12</v>
      </c>
      <c r="R594" s="8"/>
    </row>
    <row r="595" spans="1:18" x14ac:dyDescent="0.3">
      <c r="A595" t="s">
        <v>646</v>
      </c>
      <c r="B595" t="s">
        <v>0</v>
      </c>
      <c r="C595">
        <v>9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</v>
      </c>
      <c r="K595">
        <v>3</v>
      </c>
      <c r="L595">
        <v>6</v>
      </c>
      <c r="M595">
        <v>0</v>
      </c>
      <c r="N595">
        <v>12</v>
      </c>
      <c r="O595">
        <v>21</v>
      </c>
      <c r="P595">
        <v>12</v>
      </c>
      <c r="Q595">
        <v>33</v>
      </c>
      <c r="R595" s="8"/>
    </row>
    <row r="596" spans="1:18" x14ac:dyDescent="0.3">
      <c r="A596" t="s">
        <v>647</v>
      </c>
      <c r="B596" t="s">
        <v>0</v>
      </c>
      <c r="C596">
        <v>30</v>
      </c>
      <c r="D596">
        <v>3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3</v>
      </c>
      <c r="M596">
        <v>9</v>
      </c>
      <c r="N596">
        <v>12</v>
      </c>
      <c r="O596">
        <v>0</v>
      </c>
      <c r="P596">
        <v>3</v>
      </c>
      <c r="Q596">
        <v>24</v>
      </c>
      <c r="R596" s="8"/>
    </row>
    <row r="597" spans="1:18" x14ac:dyDescent="0.3">
      <c r="A597" t="s">
        <v>648</v>
      </c>
      <c r="B597" t="s">
        <v>0</v>
      </c>
      <c r="C597">
        <v>141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s="8"/>
    </row>
    <row r="598" spans="1:18" x14ac:dyDescent="0.3">
      <c r="A598" t="s">
        <v>649</v>
      </c>
      <c r="B598" t="s">
        <v>0</v>
      </c>
      <c r="C598">
        <v>99</v>
      </c>
      <c r="D598">
        <v>3</v>
      </c>
      <c r="E598">
        <v>0</v>
      </c>
      <c r="F598">
        <v>0</v>
      </c>
      <c r="G598">
        <v>0</v>
      </c>
      <c r="H598">
        <v>3</v>
      </c>
      <c r="I598">
        <v>3</v>
      </c>
      <c r="J598">
        <v>0</v>
      </c>
      <c r="K598">
        <v>3</v>
      </c>
      <c r="L598">
        <v>12</v>
      </c>
      <c r="M598">
        <v>3</v>
      </c>
      <c r="N598">
        <v>3</v>
      </c>
      <c r="O598">
        <v>9</v>
      </c>
      <c r="P598">
        <v>0</v>
      </c>
      <c r="Q598">
        <v>9</v>
      </c>
      <c r="R598" s="8"/>
    </row>
    <row r="599" spans="1:18" x14ac:dyDescent="0.3">
      <c r="A599" t="s">
        <v>650</v>
      </c>
      <c r="B599" t="s">
        <v>0</v>
      </c>
      <c r="C599">
        <v>9</v>
      </c>
      <c r="D599">
        <v>3</v>
      </c>
      <c r="E599">
        <v>0</v>
      </c>
      <c r="F599">
        <v>0</v>
      </c>
      <c r="G599">
        <v>3</v>
      </c>
      <c r="H599">
        <v>6</v>
      </c>
      <c r="I599">
        <v>3</v>
      </c>
      <c r="J599">
        <v>6</v>
      </c>
      <c r="K599">
        <v>6</v>
      </c>
      <c r="L599">
        <v>3</v>
      </c>
      <c r="M599">
        <v>15</v>
      </c>
      <c r="N599">
        <v>9</v>
      </c>
      <c r="O599">
        <v>6</v>
      </c>
      <c r="P599">
        <v>6</v>
      </c>
      <c r="Q599">
        <v>21</v>
      </c>
      <c r="R599" s="8"/>
    </row>
    <row r="600" spans="1:18" x14ac:dyDescent="0.3">
      <c r="A600" t="s">
        <v>651</v>
      </c>
      <c r="B600" t="s">
        <v>3</v>
      </c>
      <c r="C600">
        <v>69</v>
      </c>
      <c r="D600">
        <v>3</v>
      </c>
      <c r="E600">
        <v>9</v>
      </c>
      <c r="F600">
        <v>15</v>
      </c>
      <c r="G600">
        <v>6</v>
      </c>
      <c r="H600">
        <v>15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s="8"/>
    </row>
    <row r="601" spans="1:18" x14ac:dyDescent="0.3">
      <c r="A601" t="s">
        <v>652</v>
      </c>
      <c r="B601" t="s">
        <v>2</v>
      </c>
      <c r="C601">
        <v>12</v>
      </c>
      <c r="D601">
        <v>0</v>
      </c>
      <c r="E601">
        <v>9</v>
      </c>
      <c r="F601">
        <v>24</v>
      </c>
      <c r="G601">
        <v>39</v>
      </c>
      <c r="H601">
        <v>12</v>
      </c>
      <c r="I601">
        <v>21</v>
      </c>
      <c r="J601">
        <v>0</v>
      </c>
      <c r="K601">
        <v>12</v>
      </c>
      <c r="L601">
        <v>21</v>
      </c>
      <c r="M601">
        <v>21</v>
      </c>
      <c r="N601">
        <v>90</v>
      </c>
      <c r="O601">
        <v>360</v>
      </c>
      <c r="P601">
        <v>576</v>
      </c>
      <c r="Q601">
        <v>582</v>
      </c>
      <c r="R601" s="8"/>
    </row>
    <row r="602" spans="1:18" x14ac:dyDescent="0.3">
      <c r="A602" t="s">
        <v>653</v>
      </c>
      <c r="B602" t="s">
        <v>2</v>
      </c>
      <c r="C602">
        <v>24</v>
      </c>
      <c r="D602">
        <v>0</v>
      </c>
      <c r="E602">
        <v>0</v>
      </c>
      <c r="F602">
        <v>39</v>
      </c>
      <c r="G602">
        <v>141</v>
      </c>
      <c r="H602">
        <v>234</v>
      </c>
      <c r="I602">
        <v>114</v>
      </c>
      <c r="J602">
        <v>30</v>
      </c>
      <c r="K602">
        <v>6</v>
      </c>
      <c r="L602">
        <v>81</v>
      </c>
      <c r="M602">
        <v>81</v>
      </c>
      <c r="N602">
        <v>12</v>
      </c>
      <c r="O602">
        <v>45</v>
      </c>
      <c r="P602">
        <v>33</v>
      </c>
      <c r="Q602">
        <v>42</v>
      </c>
      <c r="R602" s="8"/>
    </row>
    <row r="603" spans="1:18" x14ac:dyDescent="0.3">
      <c r="A603" t="s">
        <v>654</v>
      </c>
      <c r="B603" t="s">
        <v>1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3</v>
      </c>
      <c r="I603">
        <v>0</v>
      </c>
      <c r="J603">
        <v>0</v>
      </c>
      <c r="K603">
        <v>0</v>
      </c>
      <c r="L603">
        <v>3</v>
      </c>
      <c r="M603">
        <v>6</v>
      </c>
      <c r="N603">
        <v>12</v>
      </c>
      <c r="O603">
        <v>12</v>
      </c>
      <c r="P603">
        <v>21</v>
      </c>
      <c r="Q603">
        <v>24</v>
      </c>
      <c r="R603" s="8"/>
    </row>
    <row r="604" spans="1:18" x14ac:dyDescent="0.3">
      <c r="A604" t="s">
        <v>655</v>
      </c>
      <c r="B604" t="s">
        <v>0</v>
      </c>
      <c r="C604">
        <v>42</v>
      </c>
      <c r="D604">
        <v>0</v>
      </c>
      <c r="E604">
        <v>15</v>
      </c>
      <c r="F604">
        <v>39</v>
      </c>
      <c r="G604">
        <v>57</v>
      </c>
      <c r="H604">
        <v>24</v>
      </c>
      <c r="I604">
        <v>9</v>
      </c>
      <c r="J604">
        <v>15</v>
      </c>
      <c r="K604">
        <v>48</v>
      </c>
      <c r="L604">
        <v>123</v>
      </c>
      <c r="M604">
        <v>150</v>
      </c>
      <c r="N604">
        <v>99</v>
      </c>
      <c r="O604">
        <v>72</v>
      </c>
      <c r="P604">
        <v>33</v>
      </c>
      <c r="Q604">
        <v>60</v>
      </c>
      <c r="R604" s="8"/>
    </row>
    <row r="605" spans="1:18" x14ac:dyDescent="0.3">
      <c r="A605" t="s">
        <v>656</v>
      </c>
      <c r="B605" t="s">
        <v>0</v>
      </c>
      <c r="C605">
        <v>222</v>
      </c>
      <c r="D605">
        <v>0</v>
      </c>
      <c r="E605">
        <v>12</v>
      </c>
      <c r="F605">
        <v>30</v>
      </c>
      <c r="G605">
        <v>33</v>
      </c>
      <c r="H605">
        <v>60</v>
      </c>
      <c r="I605">
        <v>33</v>
      </c>
      <c r="J605">
        <v>42</v>
      </c>
      <c r="K605">
        <v>30</v>
      </c>
      <c r="L605">
        <v>36</v>
      </c>
      <c r="M605">
        <v>54</v>
      </c>
      <c r="N605">
        <v>42</v>
      </c>
      <c r="O605">
        <v>0</v>
      </c>
      <c r="P605">
        <v>0</v>
      </c>
      <c r="Q605">
        <v>0</v>
      </c>
      <c r="R605" s="8"/>
    </row>
    <row r="606" spans="1:18" x14ac:dyDescent="0.3">
      <c r="A606" t="s">
        <v>657</v>
      </c>
      <c r="B606" t="s">
        <v>0</v>
      </c>
      <c r="C606">
        <v>96</v>
      </c>
      <c r="D606">
        <v>0</v>
      </c>
      <c r="E606">
        <v>12</v>
      </c>
      <c r="F606">
        <v>21</v>
      </c>
      <c r="G606">
        <v>9</v>
      </c>
      <c r="H606">
        <v>42</v>
      </c>
      <c r="I606">
        <v>18</v>
      </c>
      <c r="J606">
        <v>9</v>
      </c>
      <c r="K606">
        <v>24</v>
      </c>
      <c r="L606">
        <v>21</v>
      </c>
      <c r="M606">
        <v>39</v>
      </c>
      <c r="N606">
        <v>63</v>
      </c>
      <c r="O606">
        <v>21</v>
      </c>
      <c r="P606">
        <v>0</v>
      </c>
      <c r="Q606">
        <v>18</v>
      </c>
      <c r="R606" s="8"/>
    </row>
    <row r="607" spans="1:18" x14ac:dyDescent="0.3">
      <c r="A607" t="s">
        <v>658</v>
      </c>
      <c r="B607" t="s">
        <v>0</v>
      </c>
      <c r="C607">
        <v>12</v>
      </c>
      <c r="D607">
        <v>0</v>
      </c>
      <c r="E607">
        <v>12</v>
      </c>
      <c r="F607">
        <v>12</v>
      </c>
      <c r="G607">
        <v>3</v>
      </c>
      <c r="H607">
        <v>9</v>
      </c>
      <c r="I607">
        <v>3</v>
      </c>
      <c r="J607">
        <v>3</v>
      </c>
      <c r="K607">
        <v>18</v>
      </c>
      <c r="L607">
        <v>12</v>
      </c>
      <c r="M607">
        <v>27</v>
      </c>
      <c r="N607">
        <v>66</v>
      </c>
      <c r="O607">
        <v>279</v>
      </c>
      <c r="P607">
        <v>0</v>
      </c>
      <c r="Q607">
        <v>0</v>
      </c>
      <c r="R607" s="8"/>
    </row>
    <row r="608" spans="1:18" x14ac:dyDescent="0.3">
      <c r="A608" t="s">
        <v>659</v>
      </c>
      <c r="B608" t="s">
        <v>0</v>
      </c>
      <c r="C608">
        <v>153</v>
      </c>
      <c r="D608">
        <v>0</v>
      </c>
      <c r="E608">
        <v>12</v>
      </c>
      <c r="F608">
        <v>21</v>
      </c>
      <c r="G608">
        <v>15</v>
      </c>
      <c r="H608">
        <v>30</v>
      </c>
      <c r="I608">
        <v>21</v>
      </c>
      <c r="J608">
        <v>15</v>
      </c>
      <c r="K608">
        <v>39</v>
      </c>
      <c r="L608">
        <v>12</v>
      </c>
      <c r="M608">
        <v>12</v>
      </c>
      <c r="N608">
        <v>18</v>
      </c>
      <c r="O608">
        <v>12</v>
      </c>
      <c r="P608">
        <v>15</v>
      </c>
      <c r="Q608">
        <v>39</v>
      </c>
      <c r="R608" s="8"/>
    </row>
    <row r="609" spans="1:18" x14ac:dyDescent="0.3">
      <c r="A609" t="s">
        <v>660</v>
      </c>
      <c r="B609" t="s">
        <v>0</v>
      </c>
      <c r="C609">
        <v>66</v>
      </c>
      <c r="D609">
        <v>0</v>
      </c>
      <c r="E609">
        <v>6</v>
      </c>
      <c r="F609">
        <v>3</v>
      </c>
      <c r="G609">
        <v>0</v>
      </c>
      <c r="H609">
        <v>0</v>
      </c>
      <c r="I609">
        <v>3</v>
      </c>
      <c r="J609">
        <v>6</v>
      </c>
      <c r="K609">
        <v>9</v>
      </c>
      <c r="L609">
        <v>3</v>
      </c>
      <c r="M609">
        <v>0</v>
      </c>
      <c r="N609">
        <v>0</v>
      </c>
      <c r="O609">
        <v>3</v>
      </c>
      <c r="P609">
        <v>3</v>
      </c>
      <c r="Q609">
        <v>9</v>
      </c>
      <c r="R609" s="8"/>
    </row>
    <row r="610" spans="1:18" x14ac:dyDescent="0.3">
      <c r="A610" t="s">
        <v>661</v>
      </c>
      <c r="B610" t="s">
        <v>0</v>
      </c>
      <c r="C610">
        <v>15</v>
      </c>
      <c r="D610">
        <v>0</v>
      </c>
      <c r="E610">
        <v>6</v>
      </c>
      <c r="F610">
        <v>3</v>
      </c>
      <c r="G610">
        <v>3</v>
      </c>
      <c r="H610">
        <v>6</v>
      </c>
      <c r="I610">
        <v>12</v>
      </c>
      <c r="J610">
        <v>18</v>
      </c>
      <c r="K610">
        <v>27</v>
      </c>
      <c r="L610">
        <v>33</v>
      </c>
      <c r="M610">
        <v>9</v>
      </c>
      <c r="N610">
        <v>12</v>
      </c>
      <c r="O610">
        <v>18</v>
      </c>
      <c r="P610">
        <v>6</v>
      </c>
      <c r="Q610">
        <v>18</v>
      </c>
      <c r="R610" s="8"/>
    </row>
    <row r="611" spans="1:18" x14ac:dyDescent="0.3">
      <c r="A611" t="s">
        <v>662</v>
      </c>
      <c r="B611" t="s">
        <v>0</v>
      </c>
      <c r="C611">
        <v>0</v>
      </c>
      <c r="D611">
        <v>0</v>
      </c>
      <c r="E611">
        <v>6</v>
      </c>
      <c r="F611">
        <v>3</v>
      </c>
      <c r="G611">
        <v>12</v>
      </c>
      <c r="H611">
        <v>21</v>
      </c>
      <c r="I611">
        <v>15</v>
      </c>
      <c r="J611">
        <v>18</v>
      </c>
      <c r="K611">
        <v>21</v>
      </c>
      <c r="L611">
        <v>21</v>
      </c>
      <c r="M611">
        <v>3</v>
      </c>
      <c r="N611">
        <v>12</v>
      </c>
      <c r="O611">
        <v>12</v>
      </c>
      <c r="P611">
        <v>3</v>
      </c>
      <c r="Q611">
        <v>9</v>
      </c>
      <c r="R611" s="8"/>
    </row>
    <row r="612" spans="1:18" x14ac:dyDescent="0.3">
      <c r="A612" t="s">
        <v>663</v>
      </c>
      <c r="B612" t="s">
        <v>0</v>
      </c>
      <c r="C612">
        <v>6</v>
      </c>
      <c r="D612">
        <v>0</v>
      </c>
      <c r="E612">
        <v>6</v>
      </c>
      <c r="F612">
        <v>0</v>
      </c>
      <c r="G612">
        <v>0</v>
      </c>
      <c r="H612">
        <v>3</v>
      </c>
      <c r="I612">
        <v>0</v>
      </c>
      <c r="J612">
        <v>0</v>
      </c>
      <c r="K612">
        <v>9</v>
      </c>
      <c r="L612">
        <v>18</v>
      </c>
      <c r="M612">
        <v>0</v>
      </c>
      <c r="N612">
        <v>30</v>
      </c>
      <c r="O612">
        <v>21</v>
      </c>
      <c r="P612">
        <v>21</v>
      </c>
      <c r="Q612">
        <v>27</v>
      </c>
      <c r="R612" s="8"/>
    </row>
    <row r="613" spans="1:18" x14ac:dyDescent="0.3">
      <c r="A613" t="s">
        <v>664</v>
      </c>
      <c r="B613" t="s">
        <v>0</v>
      </c>
      <c r="C613">
        <v>15</v>
      </c>
      <c r="D613">
        <v>0</v>
      </c>
      <c r="E613">
        <v>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3</v>
      </c>
      <c r="M613">
        <v>12</v>
      </c>
      <c r="N613">
        <v>12</v>
      </c>
      <c r="O613">
        <v>18</v>
      </c>
      <c r="P613">
        <v>9</v>
      </c>
      <c r="Q613">
        <v>39</v>
      </c>
      <c r="R613" s="8"/>
    </row>
    <row r="614" spans="1:18" x14ac:dyDescent="0.3">
      <c r="A614" t="s">
        <v>665</v>
      </c>
      <c r="B614" t="s">
        <v>0</v>
      </c>
      <c r="C614">
        <v>21</v>
      </c>
      <c r="D614">
        <v>0</v>
      </c>
      <c r="E614">
        <v>6</v>
      </c>
      <c r="F614">
        <v>3</v>
      </c>
      <c r="G614">
        <v>6</v>
      </c>
      <c r="H614">
        <v>9</v>
      </c>
      <c r="I614">
        <v>18</v>
      </c>
      <c r="J614">
        <v>36</v>
      </c>
      <c r="K614">
        <v>36</v>
      </c>
      <c r="L614">
        <v>30</v>
      </c>
      <c r="M614">
        <v>3</v>
      </c>
      <c r="N614">
        <v>33</v>
      </c>
      <c r="O614">
        <v>45</v>
      </c>
      <c r="P614">
        <v>15</v>
      </c>
      <c r="Q614">
        <v>12</v>
      </c>
      <c r="R614" s="8"/>
    </row>
    <row r="615" spans="1:18" x14ac:dyDescent="0.3">
      <c r="A615" t="s">
        <v>666</v>
      </c>
      <c r="B615" t="s">
        <v>0</v>
      </c>
      <c r="C615">
        <v>42</v>
      </c>
      <c r="D615">
        <v>0</v>
      </c>
      <c r="E615">
        <v>3</v>
      </c>
      <c r="F615">
        <v>9</v>
      </c>
      <c r="G615">
        <v>0</v>
      </c>
      <c r="H615">
        <v>6</v>
      </c>
      <c r="I615">
        <v>3</v>
      </c>
      <c r="J615">
        <v>6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0</v>
      </c>
      <c r="Q615">
        <v>0</v>
      </c>
      <c r="R615" s="8"/>
    </row>
    <row r="616" spans="1:18" x14ac:dyDescent="0.3">
      <c r="A616" t="s">
        <v>667</v>
      </c>
      <c r="B616" t="s">
        <v>0</v>
      </c>
      <c r="C616">
        <v>24</v>
      </c>
      <c r="D616">
        <v>0</v>
      </c>
      <c r="E616">
        <v>3</v>
      </c>
      <c r="F616">
        <v>0</v>
      </c>
      <c r="G616">
        <v>3</v>
      </c>
      <c r="H616">
        <v>15</v>
      </c>
      <c r="I616">
        <v>0</v>
      </c>
      <c r="J616">
        <v>0</v>
      </c>
      <c r="K616">
        <v>3</v>
      </c>
      <c r="L616">
        <v>18</v>
      </c>
      <c r="M616">
        <v>3</v>
      </c>
      <c r="N616">
        <v>12</v>
      </c>
      <c r="O616">
        <v>6</v>
      </c>
      <c r="P616">
        <v>3</v>
      </c>
      <c r="Q616">
        <v>0</v>
      </c>
      <c r="R616" s="8"/>
    </row>
    <row r="617" spans="1:18" x14ac:dyDescent="0.3">
      <c r="A617" t="s">
        <v>668</v>
      </c>
      <c r="B617" t="s">
        <v>0</v>
      </c>
      <c r="C617">
        <v>18</v>
      </c>
      <c r="D617">
        <v>0</v>
      </c>
      <c r="E617">
        <v>3</v>
      </c>
      <c r="F617">
        <v>3</v>
      </c>
      <c r="G617">
        <v>6</v>
      </c>
      <c r="H617">
        <v>0</v>
      </c>
      <c r="I617">
        <v>0</v>
      </c>
      <c r="J617">
        <v>9</v>
      </c>
      <c r="K617">
        <v>9</v>
      </c>
      <c r="L617">
        <v>6</v>
      </c>
      <c r="M617">
        <v>9</v>
      </c>
      <c r="N617">
        <v>9</v>
      </c>
      <c r="O617">
        <v>3</v>
      </c>
      <c r="P617">
        <v>0</v>
      </c>
      <c r="Q617">
        <v>21</v>
      </c>
      <c r="R617" s="8"/>
    </row>
    <row r="618" spans="1:18" x14ac:dyDescent="0.3">
      <c r="A618" t="s">
        <v>669</v>
      </c>
      <c r="B618" t="s">
        <v>0</v>
      </c>
      <c r="C618">
        <v>75</v>
      </c>
      <c r="D618">
        <v>0</v>
      </c>
      <c r="E618">
        <v>3</v>
      </c>
      <c r="F618">
        <v>0</v>
      </c>
      <c r="G618">
        <v>0</v>
      </c>
      <c r="H618">
        <v>6</v>
      </c>
      <c r="I618">
        <v>0</v>
      </c>
      <c r="J618">
        <v>0</v>
      </c>
      <c r="K618">
        <v>0</v>
      </c>
      <c r="L618">
        <v>3</v>
      </c>
      <c r="M618">
        <v>0</v>
      </c>
      <c r="N618">
        <v>0</v>
      </c>
      <c r="O618">
        <v>9</v>
      </c>
      <c r="P618">
        <v>6</v>
      </c>
      <c r="Q618">
        <v>0</v>
      </c>
      <c r="R618" s="8"/>
    </row>
    <row r="619" spans="1:18" x14ac:dyDescent="0.3">
      <c r="A619" t="s">
        <v>670</v>
      </c>
      <c r="B619" t="s">
        <v>0</v>
      </c>
      <c r="C619">
        <v>57</v>
      </c>
      <c r="D619">
        <v>0</v>
      </c>
      <c r="E619">
        <v>3</v>
      </c>
      <c r="F619">
        <v>6</v>
      </c>
      <c r="G619">
        <v>21</v>
      </c>
      <c r="H619">
        <v>12</v>
      </c>
      <c r="I619">
        <v>21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8"/>
    </row>
    <row r="620" spans="1:18" x14ac:dyDescent="0.3">
      <c r="A620" t="s">
        <v>671</v>
      </c>
      <c r="B620" t="s">
        <v>0</v>
      </c>
      <c r="C620">
        <v>12</v>
      </c>
      <c r="D620">
        <v>0</v>
      </c>
      <c r="E620">
        <v>3</v>
      </c>
      <c r="F620">
        <v>3</v>
      </c>
      <c r="G620">
        <v>9</v>
      </c>
      <c r="H620">
        <v>6</v>
      </c>
      <c r="I620">
        <v>9</v>
      </c>
      <c r="J620">
        <v>12</v>
      </c>
      <c r="K620">
        <v>15</v>
      </c>
      <c r="L620">
        <v>12</v>
      </c>
      <c r="M620">
        <v>18</v>
      </c>
      <c r="N620">
        <v>12</v>
      </c>
      <c r="O620">
        <v>9</v>
      </c>
      <c r="P620">
        <v>21</v>
      </c>
      <c r="Q620">
        <v>33</v>
      </c>
      <c r="R620" s="8"/>
    </row>
    <row r="621" spans="1:18" x14ac:dyDescent="0.3">
      <c r="A621" t="s">
        <v>672</v>
      </c>
      <c r="B621" t="s">
        <v>0</v>
      </c>
      <c r="C621">
        <v>174</v>
      </c>
      <c r="D621">
        <v>0</v>
      </c>
      <c r="E621">
        <v>3</v>
      </c>
      <c r="F621">
        <v>12</v>
      </c>
      <c r="G621">
        <v>6</v>
      </c>
      <c r="H621">
        <v>3</v>
      </c>
      <c r="I621">
        <v>9</v>
      </c>
      <c r="J621">
        <v>6</v>
      </c>
      <c r="K621">
        <v>6</v>
      </c>
      <c r="L621">
        <v>6</v>
      </c>
      <c r="M621">
        <v>3</v>
      </c>
      <c r="N621">
        <v>0</v>
      </c>
      <c r="O621">
        <v>6</v>
      </c>
      <c r="P621">
        <v>6</v>
      </c>
      <c r="Q621">
        <v>0</v>
      </c>
      <c r="R621" s="8"/>
    </row>
    <row r="622" spans="1:18" x14ac:dyDescent="0.3">
      <c r="A622" t="s">
        <v>673</v>
      </c>
      <c r="B622" t="s">
        <v>0</v>
      </c>
      <c r="C622">
        <v>18</v>
      </c>
      <c r="D622">
        <v>0</v>
      </c>
      <c r="E622">
        <v>3</v>
      </c>
      <c r="F622">
        <v>0</v>
      </c>
      <c r="G622">
        <v>0</v>
      </c>
      <c r="H622">
        <v>3</v>
      </c>
      <c r="I622">
        <v>3</v>
      </c>
      <c r="J622">
        <v>0</v>
      </c>
      <c r="K622">
        <v>0</v>
      </c>
      <c r="L622">
        <v>3</v>
      </c>
      <c r="M622">
        <v>3</v>
      </c>
      <c r="N622">
        <v>3</v>
      </c>
      <c r="O622">
        <v>0</v>
      </c>
      <c r="P622">
        <v>3</v>
      </c>
      <c r="Q622">
        <v>3</v>
      </c>
      <c r="R622" s="8"/>
    </row>
    <row r="623" spans="1:18" x14ac:dyDescent="0.3">
      <c r="A623" t="s">
        <v>674</v>
      </c>
      <c r="B623" t="s">
        <v>0</v>
      </c>
      <c r="C623">
        <v>21</v>
      </c>
      <c r="D623">
        <v>0</v>
      </c>
      <c r="E623">
        <v>3</v>
      </c>
      <c r="F623">
        <v>3</v>
      </c>
      <c r="G623">
        <v>12</v>
      </c>
      <c r="H623">
        <v>33</v>
      </c>
      <c r="I623">
        <v>51</v>
      </c>
      <c r="J623">
        <v>63</v>
      </c>
      <c r="K623">
        <v>81</v>
      </c>
      <c r="L623">
        <v>15</v>
      </c>
      <c r="M623">
        <v>0</v>
      </c>
      <c r="N623">
        <v>0</v>
      </c>
      <c r="O623">
        <v>0</v>
      </c>
      <c r="P623">
        <v>0</v>
      </c>
      <c r="Q623">
        <v>0</v>
      </c>
      <c r="R623" s="8"/>
    </row>
    <row r="624" spans="1:18" x14ac:dyDescent="0.3">
      <c r="A624" t="s">
        <v>675</v>
      </c>
      <c r="B624" t="s">
        <v>0</v>
      </c>
      <c r="C624">
        <v>33</v>
      </c>
      <c r="D624">
        <v>0</v>
      </c>
      <c r="E624">
        <v>3</v>
      </c>
      <c r="F624">
        <v>39</v>
      </c>
      <c r="G624">
        <v>45</v>
      </c>
      <c r="H624">
        <v>111</v>
      </c>
      <c r="I624">
        <v>237</v>
      </c>
      <c r="J624">
        <v>102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s="8"/>
    </row>
    <row r="625" spans="1:18" x14ac:dyDescent="0.3">
      <c r="A625" t="s">
        <v>676</v>
      </c>
      <c r="B625" t="s">
        <v>0</v>
      </c>
      <c r="C625">
        <v>15</v>
      </c>
      <c r="D625">
        <v>0</v>
      </c>
      <c r="E625">
        <v>3</v>
      </c>
      <c r="F625">
        <v>3</v>
      </c>
      <c r="G625">
        <v>3</v>
      </c>
      <c r="H625">
        <v>6</v>
      </c>
      <c r="I625">
        <v>0</v>
      </c>
      <c r="J625">
        <v>3</v>
      </c>
      <c r="K625">
        <v>9</v>
      </c>
      <c r="L625">
        <v>9</v>
      </c>
      <c r="M625">
        <v>3</v>
      </c>
      <c r="N625">
        <v>3</v>
      </c>
      <c r="O625">
        <v>0</v>
      </c>
      <c r="P625">
        <v>0</v>
      </c>
      <c r="Q625">
        <v>6</v>
      </c>
      <c r="R625" s="8"/>
    </row>
    <row r="626" spans="1:18" x14ac:dyDescent="0.3">
      <c r="A626" t="s">
        <v>677</v>
      </c>
      <c r="B626" t="s">
        <v>0</v>
      </c>
      <c r="C626">
        <v>30</v>
      </c>
      <c r="D626">
        <v>0</v>
      </c>
      <c r="E626">
        <v>3</v>
      </c>
      <c r="F626">
        <v>6</v>
      </c>
      <c r="G626">
        <v>3</v>
      </c>
      <c r="H626">
        <v>15</v>
      </c>
      <c r="I626">
        <v>9</v>
      </c>
      <c r="J626">
        <v>9</v>
      </c>
      <c r="K626">
        <v>15</v>
      </c>
      <c r="L626">
        <v>15</v>
      </c>
      <c r="M626">
        <v>9</v>
      </c>
      <c r="N626">
        <v>3</v>
      </c>
      <c r="O626">
        <v>0</v>
      </c>
      <c r="P626">
        <v>0</v>
      </c>
      <c r="Q626">
        <v>6</v>
      </c>
      <c r="R626" s="8"/>
    </row>
    <row r="627" spans="1:18" x14ac:dyDescent="0.3">
      <c r="A627" t="s">
        <v>678</v>
      </c>
      <c r="B627" t="s">
        <v>0</v>
      </c>
      <c r="C627">
        <v>12</v>
      </c>
      <c r="D627">
        <v>0</v>
      </c>
      <c r="E627">
        <v>3</v>
      </c>
      <c r="F627">
        <v>0</v>
      </c>
      <c r="G627">
        <v>0</v>
      </c>
      <c r="H627">
        <v>9</v>
      </c>
      <c r="I627">
        <v>6</v>
      </c>
      <c r="J627">
        <v>72</v>
      </c>
      <c r="K627">
        <v>81</v>
      </c>
      <c r="L627">
        <v>186</v>
      </c>
      <c r="M627">
        <v>210</v>
      </c>
      <c r="N627">
        <v>204</v>
      </c>
      <c r="O627">
        <v>237</v>
      </c>
      <c r="P627">
        <v>252</v>
      </c>
      <c r="Q627">
        <v>378</v>
      </c>
      <c r="R627" s="8"/>
    </row>
    <row r="628" spans="1:18" x14ac:dyDescent="0.3">
      <c r="A628" t="s">
        <v>679</v>
      </c>
      <c r="B628" t="s">
        <v>0</v>
      </c>
      <c r="C628">
        <v>30</v>
      </c>
      <c r="D628">
        <v>0</v>
      </c>
      <c r="E628">
        <v>3</v>
      </c>
      <c r="F628">
        <v>3</v>
      </c>
      <c r="G628">
        <v>9</v>
      </c>
      <c r="H628">
        <v>3</v>
      </c>
      <c r="I628">
        <v>9</v>
      </c>
      <c r="J628">
        <v>3</v>
      </c>
      <c r="K628">
        <v>3</v>
      </c>
      <c r="L628">
        <v>9</v>
      </c>
      <c r="M628">
        <v>6</v>
      </c>
      <c r="N628">
        <v>6</v>
      </c>
      <c r="O628">
        <v>3</v>
      </c>
      <c r="P628">
        <v>3</v>
      </c>
      <c r="Q628">
        <v>18</v>
      </c>
      <c r="R628" s="8"/>
    </row>
    <row r="629" spans="1:18" x14ac:dyDescent="0.3">
      <c r="A629" t="s">
        <v>680</v>
      </c>
      <c r="B629" t="s">
        <v>0</v>
      </c>
      <c r="C629">
        <v>36</v>
      </c>
      <c r="D629">
        <v>0</v>
      </c>
      <c r="E629">
        <v>3</v>
      </c>
      <c r="F629">
        <v>3</v>
      </c>
      <c r="G629">
        <v>9</v>
      </c>
      <c r="H629">
        <v>9</v>
      </c>
      <c r="I629">
        <v>6</v>
      </c>
      <c r="J629">
        <v>9</v>
      </c>
      <c r="K629">
        <v>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s="8"/>
    </row>
    <row r="630" spans="1:18" x14ac:dyDescent="0.3">
      <c r="A630" t="s">
        <v>681</v>
      </c>
      <c r="B630" t="s">
        <v>0</v>
      </c>
      <c r="C630">
        <v>12</v>
      </c>
      <c r="D630">
        <v>0</v>
      </c>
      <c r="E630">
        <v>3</v>
      </c>
      <c r="F630">
        <v>6</v>
      </c>
      <c r="G630">
        <v>3</v>
      </c>
      <c r="H630">
        <v>0</v>
      </c>
      <c r="I630">
        <v>6</v>
      </c>
      <c r="J630">
        <v>6</v>
      </c>
      <c r="K630">
        <v>9</v>
      </c>
      <c r="L630">
        <v>15</v>
      </c>
      <c r="M630">
        <v>6</v>
      </c>
      <c r="N630">
        <v>24</v>
      </c>
      <c r="O630">
        <v>51</v>
      </c>
      <c r="P630">
        <v>6</v>
      </c>
      <c r="Q630">
        <v>30</v>
      </c>
      <c r="R630" s="8"/>
    </row>
    <row r="631" spans="1:18" x14ac:dyDescent="0.3">
      <c r="A631" t="s">
        <v>682</v>
      </c>
      <c r="B631" t="s">
        <v>0</v>
      </c>
      <c r="C631">
        <v>63</v>
      </c>
      <c r="D631">
        <v>0</v>
      </c>
      <c r="E631">
        <v>3</v>
      </c>
      <c r="F631">
        <v>3</v>
      </c>
      <c r="G631">
        <v>3</v>
      </c>
      <c r="H631">
        <v>18</v>
      </c>
      <c r="I631">
        <v>3</v>
      </c>
      <c r="J631">
        <v>18</v>
      </c>
      <c r="K631">
        <v>15</v>
      </c>
      <c r="L631">
        <v>27</v>
      </c>
      <c r="M631">
        <v>9</v>
      </c>
      <c r="N631">
        <v>6</v>
      </c>
      <c r="O631">
        <v>18</v>
      </c>
      <c r="P631">
        <v>3</v>
      </c>
      <c r="Q631">
        <v>3</v>
      </c>
      <c r="R631" s="8"/>
    </row>
    <row r="632" spans="1:18" x14ac:dyDescent="0.3">
      <c r="A632" t="s">
        <v>683</v>
      </c>
      <c r="B632" t="s">
        <v>0</v>
      </c>
      <c r="C632">
        <v>24</v>
      </c>
      <c r="D632">
        <v>0</v>
      </c>
      <c r="E632">
        <v>3</v>
      </c>
      <c r="F632">
        <v>9</v>
      </c>
      <c r="G632">
        <v>15</v>
      </c>
      <c r="H632">
        <v>3</v>
      </c>
      <c r="I632">
        <v>12</v>
      </c>
      <c r="J632">
        <v>3</v>
      </c>
      <c r="K632">
        <v>21</v>
      </c>
      <c r="L632">
        <v>30</v>
      </c>
      <c r="M632">
        <v>18</v>
      </c>
      <c r="N632">
        <v>0</v>
      </c>
      <c r="O632">
        <v>0</v>
      </c>
      <c r="P632">
        <v>0</v>
      </c>
      <c r="Q632">
        <v>0</v>
      </c>
      <c r="R632" s="8"/>
    </row>
    <row r="633" spans="1:18" x14ac:dyDescent="0.3">
      <c r="A633" t="s">
        <v>684</v>
      </c>
      <c r="B633" t="s">
        <v>0</v>
      </c>
      <c r="C633">
        <v>18</v>
      </c>
      <c r="D633">
        <v>0</v>
      </c>
      <c r="E633">
        <v>3</v>
      </c>
      <c r="F633">
        <v>9</v>
      </c>
      <c r="G633">
        <v>3</v>
      </c>
      <c r="H633">
        <v>6</v>
      </c>
      <c r="I633">
        <v>6</v>
      </c>
      <c r="J633">
        <v>12</v>
      </c>
      <c r="K633">
        <v>18</v>
      </c>
      <c r="L633">
        <v>33</v>
      </c>
      <c r="M633">
        <v>39</v>
      </c>
      <c r="N633">
        <v>36</v>
      </c>
      <c r="O633">
        <v>15</v>
      </c>
      <c r="P633">
        <v>6</v>
      </c>
      <c r="Q633">
        <v>12</v>
      </c>
      <c r="R633" s="8"/>
    </row>
    <row r="634" spans="1:18" x14ac:dyDescent="0.3">
      <c r="A634" t="s">
        <v>685</v>
      </c>
      <c r="B634" t="s">
        <v>0</v>
      </c>
      <c r="C634">
        <v>342</v>
      </c>
      <c r="D634">
        <v>0</v>
      </c>
      <c r="E634">
        <v>3</v>
      </c>
      <c r="F634">
        <v>12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s="8"/>
    </row>
    <row r="635" spans="1:18" x14ac:dyDescent="0.3">
      <c r="A635" t="s">
        <v>686</v>
      </c>
      <c r="B635" t="s">
        <v>0</v>
      </c>
      <c r="C635">
        <v>1038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s="8"/>
    </row>
    <row r="636" spans="1:18" x14ac:dyDescent="0.3">
      <c r="A636" t="s">
        <v>687</v>
      </c>
      <c r="B636" t="s">
        <v>0</v>
      </c>
      <c r="C636">
        <v>1065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s="8"/>
    </row>
    <row r="637" spans="1:18" x14ac:dyDescent="0.3">
      <c r="A637" t="s">
        <v>688</v>
      </c>
      <c r="B637" t="s">
        <v>0</v>
      </c>
      <c r="C637">
        <v>6</v>
      </c>
      <c r="D637">
        <v>0</v>
      </c>
      <c r="E637">
        <v>0</v>
      </c>
      <c r="F637">
        <v>0</v>
      </c>
      <c r="G637">
        <v>0</v>
      </c>
      <c r="H637">
        <v>6</v>
      </c>
      <c r="I637">
        <v>6</v>
      </c>
      <c r="J637">
        <v>12</v>
      </c>
      <c r="K637">
        <v>6</v>
      </c>
      <c r="L637">
        <v>27</v>
      </c>
      <c r="M637">
        <v>39</v>
      </c>
      <c r="N637">
        <v>126</v>
      </c>
      <c r="O637">
        <v>258</v>
      </c>
      <c r="P637">
        <v>345</v>
      </c>
      <c r="Q637">
        <v>399</v>
      </c>
      <c r="R637" s="8"/>
    </row>
    <row r="638" spans="1:18" x14ac:dyDescent="0.3">
      <c r="A638" t="s">
        <v>689</v>
      </c>
      <c r="B638" t="s">
        <v>0</v>
      </c>
      <c r="C638">
        <v>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s="8"/>
    </row>
    <row r="639" spans="1:18" x14ac:dyDescent="0.3">
      <c r="A639" t="s">
        <v>690</v>
      </c>
      <c r="B639" t="s">
        <v>0</v>
      </c>
      <c r="C639">
        <v>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8"/>
    </row>
    <row r="640" spans="1:18" x14ac:dyDescent="0.3">
      <c r="A640" t="s">
        <v>691</v>
      </c>
      <c r="B640" t="s">
        <v>0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3</v>
      </c>
      <c r="L640">
        <v>9</v>
      </c>
      <c r="M640">
        <v>33</v>
      </c>
      <c r="N640">
        <v>21</v>
      </c>
      <c r="O640">
        <v>129</v>
      </c>
      <c r="P640">
        <v>105</v>
      </c>
      <c r="Q640">
        <v>105</v>
      </c>
      <c r="R640" s="8"/>
    </row>
    <row r="641" spans="1:18" x14ac:dyDescent="0.3">
      <c r="A641" t="s">
        <v>692</v>
      </c>
      <c r="B641" t="s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6</v>
      </c>
      <c r="O641">
        <v>24</v>
      </c>
      <c r="P641">
        <v>21</v>
      </c>
      <c r="Q641">
        <v>192</v>
      </c>
      <c r="R641" s="8"/>
    </row>
    <row r="642" spans="1:18" x14ac:dyDescent="0.3">
      <c r="A642" t="s">
        <v>693</v>
      </c>
      <c r="B642" t="s">
        <v>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9</v>
      </c>
      <c r="O642">
        <v>57</v>
      </c>
      <c r="P642">
        <v>90</v>
      </c>
      <c r="Q642">
        <v>186</v>
      </c>
      <c r="R642" s="8"/>
    </row>
    <row r="643" spans="1:18" x14ac:dyDescent="0.3">
      <c r="A643" t="s">
        <v>694</v>
      </c>
      <c r="B643" t="s">
        <v>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3</v>
      </c>
      <c r="I643">
        <v>0</v>
      </c>
      <c r="J643">
        <v>0</v>
      </c>
      <c r="K643">
        <v>6</v>
      </c>
      <c r="L643">
        <v>0</v>
      </c>
      <c r="M643">
        <v>18</v>
      </c>
      <c r="N643">
        <v>18</v>
      </c>
      <c r="O643">
        <v>81</v>
      </c>
      <c r="P643">
        <v>57</v>
      </c>
      <c r="Q643">
        <v>78</v>
      </c>
      <c r="R643" s="8"/>
    </row>
    <row r="644" spans="1:18" x14ac:dyDescent="0.3">
      <c r="A644" t="s">
        <v>695</v>
      </c>
      <c r="B644" t="s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15</v>
      </c>
      <c r="O644">
        <v>27</v>
      </c>
      <c r="P644">
        <v>24</v>
      </c>
      <c r="Q644">
        <v>90</v>
      </c>
      <c r="R644" s="8"/>
    </row>
    <row r="645" spans="1:18" x14ac:dyDescent="0.3">
      <c r="A645" t="s">
        <v>696</v>
      </c>
      <c r="B645" t="s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3</v>
      </c>
      <c r="I645">
        <v>0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21</v>
      </c>
      <c r="Q645">
        <v>18</v>
      </c>
      <c r="R645" s="8"/>
    </row>
    <row r="646" spans="1:18" x14ac:dyDescent="0.3">
      <c r="A646" t="s">
        <v>697</v>
      </c>
      <c r="B646" t="s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3</v>
      </c>
      <c r="I646">
        <v>0</v>
      </c>
      <c r="J646">
        <v>3</v>
      </c>
      <c r="K646">
        <v>6</v>
      </c>
      <c r="L646">
        <v>0</v>
      </c>
      <c r="M646">
        <v>12</v>
      </c>
      <c r="N646">
        <v>21</v>
      </c>
      <c r="O646">
        <v>24</v>
      </c>
      <c r="P646">
        <v>21</v>
      </c>
      <c r="Q646">
        <v>24</v>
      </c>
      <c r="R646" s="8"/>
    </row>
    <row r="647" spans="1:18" x14ac:dyDescent="0.3">
      <c r="A647" t="s">
        <v>698</v>
      </c>
      <c r="B647" t="s">
        <v>0</v>
      </c>
      <c r="C647">
        <v>18</v>
      </c>
      <c r="D647">
        <v>0</v>
      </c>
      <c r="E647">
        <v>0</v>
      </c>
      <c r="F647">
        <v>3</v>
      </c>
      <c r="G647">
        <v>0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3</v>
      </c>
      <c r="N647">
        <v>9</v>
      </c>
      <c r="O647">
        <v>3</v>
      </c>
      <c r="P647">
        <v>21</v>
      </c>
      <c r="Q647">
        <v>27</v>
      </c>
      <c r="R647" s="8"/>
    </row>
    <row r="648" spans="1:18" x14ac:dyDescent="0.3">
      <c r="A648" t="s">
        <v>699</v>
      </c>
      <c r="B648" t="s">
        <v>0</v>
      </c>
      <c r="C648">
        <v>0</v>
      </c>
      <c r="D648">
        <v>0</v>
      </c>
      <c r="E648">
        <v>0</v>
      </c>
      <c r="F648">
        <v>3</v>
      </c>
      <c r="G648">
        <v>0</v>
      </c>
      <c r="H648">
        <v>0</v>
      </c>
      <c r="I648">
        <v>0</v>
      </c>
      <c r="J648">
        <v>3</v>
      </c>
      <c r="K648">
        <v>0</v>
      </c>
      <c r="L648">
        <v>3</v>
      </c>
      <c r="M648">
        <v>3</v>
      </c>
      <c r="N648">
        <v>3</v>
      </c>
      <c r="O648">
        <v>3</v>
      </c>
      <c r="P648">
        <v>0</v>
      </c>
      <c r="Q648">
        <v>9</v>
      </c>
      <c r="R648" s="8"/>
    </row>
    <row r="649" spans="1:18" x14ac:dyDescent="0.3">
      <c r="A649" t="s">
        <v>700</v>
      </c>
      <c r="B649" t="s">
        <v>0</v>
      </c>
      <c r="C649">
        <v>27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3</v>
      </c>
      <c r="J649">
        <v>0</v>
      </c>
      <c r="K649">
        <v>3</v>
      </c>
      <c r="L649">
        <v>9</v>
      </c>
      <c r="M649">
        <v>9</v>
      </c>
      <c r="N649">
        <v>9</v>
      </c>
      <c r="O649">
        <v>24</v>
      </c>
      <c r="P649">
        <v>9</v>
      </c>
      <c r="Q649">
        <v>12</v>
      </c>
      <c r="R649" s="8"/>
    </row>
    <row r="650" spans="1:18" x14ac:dyDescent="0.3">
      <c r="A650" t="s">
        <v>701</v>
      </c>
      <c r="B650" t="s">
        <v>0</v>
      </c>
      <c r="C650">
        <v>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12</v>
      </c>
      <c r="K650">
        <v>0</v>
      </c>
      <c r="L650">
        <v>6</v>
      </c>
      <c r="M650">
        <v>9</v>
      </c>
      <c r="N650">
        <v>0</v>
      </c>
      <c r="O650">
        <v>12</v>
      </c>
      <c r="P650">
        <v>9</v>
      </c>
      <c r="Q650">
        <v>18</v>
      </c>
      <c r="R650" s="8"/>
    </row>
    <row r="651" spans="1:18" x14ac:dyDescent="0.3">
      <c r="A651" t="s">
        <v>702</v>
      </c>
      <c r="B651" t="s">
        <v>0</v>
      </c>
      <c r="C651">
        <v>81</v>
      </c>
      <c r="D651">
        <v>0</v>
      </c>
      <c r="E651">
        <v>0</v>
      </c>
      <c r="F651">
        <v>0</v>
      </c>
      <c r="G651">
        <v>3</v>
      </c>
      <c r="H651">
        <v>3</v>
      </c>
      <c r="I651">
        <v>0</v>
      </c>
      <c r="J651">
        <v>3</v>
      </c>
      <c r="K651">
        <v>9</v>
      </c>
      <c r="L651">
        <v>3</v>
      </c>
      <c r="M651">
        <v>12</v>
      </c>
      <c r="N651">
        <v>33</v>
      </c>
      <c r="O651">
        <v>27</v>
      </c>
      <c r="P651">
        <v>0</v>
      </c>
      <c r="Q651">
        <v>12</v>
      </c>
      <c r="R651" s="8"/>
    </row>
    <row r="652" spans="1:18" x14ac:dyDescent="0.3">
      <c r="A652" t="s">
        <v>703</v>
      </c>
      <c r="B652" t="s">
        <v>0</v>
      </c>
      <c r="C652">
        <v>45</v>
      </c>
      <c r="D652">
        <v>0</v>
      </c>
      <c r="E652">
        <v>0</v>
      </c>
      <c r="F652">
        <v>3</v>
      </c>
      <c r="G652">
        <v>3</v>
      </c>
      <c r="H652">
        <v>3</v>
      </c>
      <c r="I652">
        <v>6</v>
      </c>
      <c r="J652">
        <v>3</v>
      </c>
      <c r="K652">
        <v>0</v>
      </c>
      <c r="L652">
        <v>0</v>
      </c>
      <c r="M652">
        <v>0</v>
      </c>
      <c r="N652">
        <v>9</v>
      </c>
      <c r="O652">
        <v>9</v>
      </c>
      <c r="P652">
        <v>0</v>
      </c>
      <c r="Q652">
        <v>0</v>
      </c>
      <c r="R652" s="8"/>
    </row>
    <row r="653" spans="1:18" x14ac:dyDescent="0.3">
      <c r="A653" t="s">
        <v>704</v>
      </c>
      <c r="B653" t="s">
        <v>0</v>
      </c>
      <c r="C653">
        <v>6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12</v>
      </c>
      <c r="L653">
        <v>3</v>
      </c>
      <c r="M653">
        <v>0</v>
      </c>
      <c r="N653">
        <v>6</v>
      </c>
      <c r="O653">
        <v>30</v>
      </c>
      <c r="P653">
        <v>12</v>
      </c>
      <c r="Q653">
        <v>0</v>
      </c>
      <c r="R653" s="8"/>
    </row>
    <row r="654" spans="1:18" x14ac:dyDescent="0.3">
      <c r="A654" t="s">
        <v>705</v>
      </c>
      <c r="B654" t="s">
        <v>0</v>
      </c>
      <c r="C654">
        <v>93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s="8"/>
    </row>
    <row r="655" spans="1:18" x14ac:dyDescent="0.3">
      <c r="A655" t="s">
        <v>706</v>
      </c>
      <c r="B655" t="s">
        <v>0</v>
      </c>
      <c r="C655">
        <v>9</v>
      </c>
      <c r="D655">
        <v>0</v>
      </c>
      <c r="E655">
        <v>0</v>
      </c>
      <c r="F655">
        <v>0</v>
      </c>
      <c r="G655">
        <v>3</v>
      </c>
      <c r="H655">
        <v>33</v>
      </c>
      <c r="I655">
        <v>51</v>
      </c>
      <c r="J655">
        <v>174</v>
      </c>
      <c r="K655">
        <v>246</v>
      </c>
      <c r="L655">
        <v>435</v>
      </c>
      <c r="M655">
        <v>153</v>
      </c>
      <c r="N655">
        <v>72</v>
      </c>
      <c r="O655">
        <v>9</v>
      </c>
      <c r="P655">
        <v>0</v>
      </c>
      <c r="Q655">
        <v>0</v>
      </c>
      <c r="R655" s="8"/>
    </row>
    <row r="656" spans="1:18" x14ac:dyDescent="0.3">
      <c r="A656" t="s">
        <v>707</v>
      </c>
      <c r="B656" t="s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3</v>
      </c>
      <c r="M656">
        <v>0</v>
      </c>
      <c r="N656">
        <v>9</v>
      </c>
      <c r="O656">
        <v>21</v>
      </c>
      <c r="P656">
        <v>18</v>
      </c>
      <c r="Q656">
        <v>171</v>
      </c>
      <c r="R656" s="8"/>
    </row>
    <row r="657" spans="1:18" x14ac:dyDescent="0.3">
      <c r="A657" t="s">
        <v>708</v>
      </c>
      <c r="B657" t="s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3</v>
      </c>
      <c r="N657">
        <v>12</v>
      </c>
      <c r="O657">
        <v>42</v>
      </c>
      <c r="P657">
        <v>111</v>
      </c>
      <c r="Q657">
        <v>129</v>
      </c>
      <c r="R657" s="8"/>
    </row>
    <row r="658" spans="1:18" x14ac:dyDescent="0.3">
      <c r="A658" t="s">
        <v>709</v>
      </c>
      <c r="B658" t="s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3</v>
      </c>
      <c r="M658">
        <v>6</v>
      </c>
      <c r="N658">
        <v>12</v>
      </c>
      <c r="O658">
        <v>33</v>
      </c>
      <c r="P658">
        <v>75</v>
      </c>
      <c r="Q658">
        <v>300</v>
      </c>
      <c r="R658" s="8"/>
    </row>
    <row r="659" spans="1:18" x14ac:dyDescent="0.3">
      <c r="A659" t="s">
        <v>710</v>
      </c>
      <c r="B659" t="s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s="8"/>
    </row>
    <row r="660" spans="1:18" x14ac:dyDescent="0.3">
      <c r="A660" t="s">
        <v>711</v>
      </c>
      <c r="B660" t="s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s="8"/>
    </row>
    <row r="661" spans="1:18" x14ac:dyDescent="0.3">
      <c r="A661" t="s">
        <v>712</v>
      </c>
      <c r="B661" t="s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s="8"/>
    </row>
    <row r="662" spans="1:18" x14ac:dyDescent="0.3">
      <c r="A662" t="s">
        <v>713</v>
      </c>
      <c r="B662" t="s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s="8"/>
    </row>
    <row r="663" spans="1:18" x14ac:dyDescent="0.3">
      <c r="A663" t="s">
        <v>714</v>
      </c>
      <c r="B663" t="s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s="8"/>
    </row>
    <row r="664" spans="1:18" x14ac:dyDescent="0.3">
      <c r="A664" t="s">
        <v>715</v>
      </c>
      <c r="B664" t="s">
        <v>0</v>
      </c>
      <c r="C664">
        <v>15</v>
      </c>
      <c r="D664">
        <v>0</v>
      </c>
      <c r="E664">
        <v>0</v>
      </c>
      <c r="F664">
        <v>3</v>
      </c>
      <c r="G664">
        <v>0</v>
      </c>
      <c r="H664">
        <v>6</v>
      </c>
      <c r="I664">
        <v>12</v>
      </c>
      <c r="J664">
        <v>24</v>
      </c>
      <c r="K664">
        <v>24</v>
      </c>
      <c r="L664">
        <v>33</v>
      </c>
      <c r="M664">
        <v>45</v>
      </c>
      <c r="N664">
        <v>21</v>
      </c>
      <c r="O664">
        <v>15</v>
      </c>
      <c r="P664">
        <v>30</v>
      </c>
      <c r="Q664">
        <v>30</v>
      </c>
      <c r="R664" s="8"/>
    </row>
    <row r="665" spans="1:18" x14ac:dyDescent="0.3">
      <c r="A665" t="s">
        <v>716</v>
      </c>
      <c r="B665" t="s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</v>
      </c>
      <c r="K665">
        <v>0</v>
      </c>
      <c r="L665">
        <v>12</v>
      </c>
      <c r="M665">
        <v>9</v>
      </c>
      <c r="N665">
        <v>15</v>
      </c>
      <c r="O665">
        <v>24</v>
      </c>
      <c r="P665">
        <v>15</v>
      </c>
      <c r="Q665">
        <v>27</v>
      </c>
      <c r="R665" s="8"/>
    </row>
    <row r="666" spans="1:18" x14ac:dyDescent="0.3">
      <c r="A666" t="s">
        <v>717</v>
      </c>
      <c r="B666" t="s">
        <v>0</v>
      </c>
      <c r="C666">
        <v>30</v>
      </c>
      <c r="D666">
        <v>0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6</v>
      </c>
      <c r="K666">
        <v>15</v>
      </c>
      <c r="L666">
        <v>18</v>
      </c>
      <c r="M666">
        <v>12</v>
      </c>
      <c r="N666">
        <v>21</v>
      </c>
      <c r="O666">
        <v>3</v>
      </c>
      <c r="P666">
        <v>18</v>
      </c>
      <c r="Q666">
        <v>9</v>
      </c>
      <c r="R666" s="8"/>
    </row>
    <row r="667" spans="1:18" x14ac:dyDescent="0.3">
      <c r="A667" t="s">
        <v>718</v>
      </c>
      <c r="B667" t="s">
        <v>0</v>
      </c>
      <c r="C667">
        <v>9</v>
      </c>
      <c r="D667">
        <v>0</v>
      </c>
      <c r="E667">
        <v>0</v>
      </c>
      <c r="F667">
        <v>0</v>
      </c>
      <c r="G667">
        <v>3</v>
      </c>
      <c r="H667">
        <v>6</v>
      </c>
      <c r="I667">
        <v>0</v>
      </c>
      <c r="J667">
        <v>0</v>
      </c>
      <c r="K667">
        <v>3</v>
      </c>
      <c r="L667">
        <v>6</v>
      </c>
      <c r="M667">
        <v>6</v>
      </c>
      <c r="N667">
        <v>3</v>
      </c>
      <c r="O667">
        <v>3</v>
      </c>
      <c r="P667">
        <v>12</v>
      </c>
      <c r="Q667">
        <v>18</v>
      </c>
      <c r="R667" s="8"/>
    </row>
    <row r="668" spans="1:18" x14ac:dyDescent="0.3">
      <c r="A668" t="s">
        <v>719</v>
      </c>
      <c r="B668" t="s">
        <v>0</v>
      </c>
      <c r="C668">
        <v>9</v>
      </c>
      <c r="D668">
        <v>0</v>
      </c>
      <c r="E668">
        <v>0</v>
      </c>
      <c r="F668">
        <v>0</v>
      </c>
      <c r="G668">
        <v>0</v>
      </c>
      <c r="H668">
        <v>3</v>
      </c>
      <c r="I668">
        <v>6</v>
      </c>
      <c r="J668">
        <v>9</v>
      </c>
      <c r="K668">
        <v>0</v>
      </c>
      <c r="L668">
        <v>6</v>
      </c>
      <c r="M668">
        <v>6</v>
      </c>
      <c r="N668">
        <v>27</v>
      </c>
      <c r="O668">
        <v>36</v>
      </c>
      <c r="P668">
        <v>42</v>
      </c>
      <c r="Q668">
        <v>18</v>
      </c>
      <c r="R668" s="8"/>
    </row>
    <row r="669" spans="1:18" x14ac:dyDescent="0.3">
      <c r="A669" t="s">
        <v>720</v>
      </c>
      <c r="B669" t="s">
        <v>0</v>
      </c>
      <c r="C669">
        <v>12</v>
      </c>
      <c r="D669">
        <v>0</v>
      </c>
      <c r="E669">
        <v>0</v>
      </c>
      <c r="F669">
        <v>0</v>
      </c>
      <c r="G669">
        <v>0</v>
      </c>
      <c r="H669">
        <v>3</v>
      </c>
      <c r="I669">
        <v>3</v>
      </c>
      <c r="J669">
        <v>0</v>
      </c>
      <c r="K669">
        <v>0</v>
      </c>
      <c r="L669">
        <v>3</v>
      </c>
      <c r="M669">
        <v>9</v>
      </c>
      <c r="N669">
        <v>12</v>
      </c>
      <c r="O669">
        <v>3</v>
      </c>
      <c r="P669">
        <v>21</v>
      </c>
      <c r="Q669">
        <v>6</v>
      </c>
      <c r="R669" s="8"/>
    </row>
    <row r="670" spans="1:18" x14ac:dyDescent="0.3">
      <c r="A670" t="s">
        <v>721</v>
      </c>
      <c r="B670" t="s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</v>
      </c>
      <c r="J670">
        <v>9</v>
      </c>
      <c r="K670">
        <v>0</v>
      </c>
      <c r="L670">
        <v>6</v>
      </c>
      <c r="M670">
        <v>6</v>
      </c>
      <c r="N670">
        <v>9</v>
      </c>
      <c r="O670">
        <v>3</v>
      </c>
      <c r="P670">
        <v>18</v>
      </c>
      <c r="Q670">
        <v>51</v>
      </c>
      <c r="R670" s="8"/>
    </row>
    <row r="671" spans="1:18" x14ac:dyDescent="0.3">
      <c r="A671" t="s">
        <v>722</v>
      </c>
      <c r="B671" t="s">
        <v>0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18</v>
      </c>
      <c r="M671">
        <v>6</v>
      </c>
      <c r="N671">
        <v>18</v>
      </c>
      <c r="O671">
        <v>30</v>
      </c>
      <c r="P671">
        <v>51</v>
      </c>
      <c r="Q671">
        <v>15</v>
      </c>
      <c r="R671" s="8"/>
    </row>
    <row r="672" spans="1:18" x14ac:dyDescent="0.3">
      <c r="A672" t="s">
        <v>723</v>
      </c>
      <c r="B672" t="s">
        <v>0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15</v>
      </c>
      <c r="K672">
        <v>30</v>
      </c>
      <c r="L672">
        <v>15</v>
      </c>
      <c r="M672">
        <v>12</v>
      </c>
      <c r="N672">
        <v>6</v>
      </c>
      <c r="O672">
        <v>12</v>
      </c>
      <c r="P672">
        <v>15</v>
      </c>
      <c r="Q672">
        <v>21</v>
      </c>
      <c r="R672" s="8"/>
    </row>
    <row r="673" spans="1:18" x14ac:dyDescent="0.3">
      <c r="A673" t="s">
        <v>724</v>
      </c>
      <c r="B673" t="s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12</v>
      </c>
      <c r="M673">
        <v>3</v>
      </c>
      <c r="N673">
        <v>18</v>
      </c>
      <c r="O673">
        <v>15</v>
      </c>
      <c r="P673">
        <v>21</v>
      </c>
      <c r="Q673">
        <v>15</v>
      </c>
      <c r="R673" s="8"/>
    </row>
    <row r="674" spans="1:18" x14ac:dyDescent="0.3">
      <c r="A674" t="s">
        <v>725</v>
      </c>
      <c r="B674" t="s">
        <v>0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9</v>
      </c>
      <c r="K674">
        <v>0</v>
      </c>
      <c r="L674">
        <v>6</v>
      </c>
      <c r="M674">
        <v>3</v>
      </c>
      <c r="N674">
        <v>30</v>
      </c>
      <c r="O674">
        <v>24</v>
      </c>
      <c r="P674">
        <v>33</v>
      </c>
      <c r="Q674">
        <v>21</v>
      </c>
      <c r="R674" s="8"/>
    </row>
    <row r="675" spans="1:18" x14ac:dyDescent="0.3">
      <c r="A675" t="s">
        <v>726</v>
      </c>
      <c r="B675" t="s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6</v>
      </c>
      <c r="K675">
        <v>18</v>
      </c>
      <c r="L675">
        <v>12</v>
      </c>
      <c r="M675">
        <v>6</v>
      </c>
      <c r="N675">
        <v>21</v>
      </c>
      <c r="O675">
        <v>36</v>
      </c>
      <c r="P675">
        <v>12</v>
      </c>
      <c r="Q675">
        <v>15</v>
      </c>
      <c r="R675" s="8"/>
    </row>
    <row r="676" spans="1:18" x14ac:dyDescent="0.3">
      <c r="A676" t="s">
        <v>727</v>
      </c>
      <c r="B676" t="s">
        <v>0</v>
      </c>
      <c r="C676">
        <v>42</v>
      </c>
      <c r="D676">
        <v>0</v>
      </c>
      <c r="E676">
        <v>0</v>
      </c>
      <c r="F676">
        <v>9</v>
      </c>
      <c r="G676">
        <v>3</v>
      </c>
      <c r="H676">
        <v>6</v>
      </c>
      <c r="I676">
        <v>3</v>
      </c>
      <c r="J676">
        <v>21</v>
      </c>
      <c r="K676">
        <v>9</v>
      </c>
      <c r="L676">
        <v>45</v>
      </c>
      <c r="M676">
        <v>42</v>
      </c>
      <c r="N676">
        <v>18</v>
      </c>
      <c r="O676">
        <v>6</v>
      </c>
      <c r="P676">
        <v>30</v>
      </c>
      <c r="Q676">
        <v>30</v>
      </c>
      <c r="R676" s="8"/>
    </row>
    <row r="677" spans="1:18" x14ac:dyDescent="0.3">
      <c r="A677" t="s">
        <v>728</v>
      </c>
      <c r="B677" t="s">
        <v>0</v>
      </c>
      <c r="C677">
        <v>9</v>
      </c>
      <c r="D677">
        <v>0</v>
      </c>
      <c r="E677">
        <v>0</v>
      </c>
      <c r="F677">
        <v>3</v>
      </c>
      <c r="G677">
        <v>0</v>
      </c>
      <c r="H677">
        <v>3</v>
      </c>
      <c r="I677">
        <v>0</v>
      </c>
      <c r="J677">
        <v>6</v>
      </c>
      <c r="K677">
        <v>12</v>
      </c>
      <c r="L677">
        <v>21</v>
      </c>
      <c r="M677">
        <v>9</v>
      </c>
      <c r="N677">
        <v>6</v>
      </c>
      <c r="O677">
        <v>0</v>
      </c>
      <c r="P677">
        <v>18</v>
      </c>
      <c r="Q677">
        <v>45</v>
      </c>
      <c r="R677" s="8"/>
    </row>
    <row r="678" spans="1:18" x14ac:dyDescent="0.3">
      <c r="A678" t="s">
        <v>729</v>
      </c>
      <c r="B678" t="s">
        <v>0</v>
      </c>
      <c r="C678">
        <v>6</v>
      </c>
      <c r="D678">
        <v>0</v>
      </c>
      <c r="E678">
        <v>0</v>
      </c>
      <c r="F678">
        <v>3</v>
      </c>
      <c r="G678">
        <v>3</v>
      </c>
      <c r="H678">
        <v>0</v>
      </c>
      <c r="I678">
        <v>12</v>
      </c>
      <c r="J678">
        <v>18</v>
      </c>
      <c r="K678">
        <v>39</v>
      </c>
      <c r="L678">
        <v>21</v>
      </c>
      <c r="M678">
        <v>12</v>
      </c>
      <c r="N678">
        <v>12</v>
      </c>
      <c r="O678">
        <v>12</v>
      </c>
      <c r="P678">
        <v>18</v>
      </c>
      <c r="Q678">
        <v>15</v>
      </c>
      <c r="R678" s="8"/>
    </row>
    <row r="679" spans="1:18" x14ac:dyDescent="0.3">
      <c r="A679" t="s">
        <v>730</v>
      </c>
      <c r="B679" t="s">
        <v>0</v>
      </c>
      <c r="C679">
        <v>3</v>
      </c>
      <c r="D679">
        <v>0</v>
      </c>
      <c r="E679">
        <v>0</v>
      </c>
      <c r="F679">
        <v>3</v>
      </c>
      <c r="G679">
        <v>3</v>
      </c>
      <c r="H679">
        <v>6</v>
      </c>
      <c r="I679">
        <v>3</v>
      </c>
      <c r="J679">
        <v>9</v>
      </c>
      <c r="K679">
        <v>15</v>
      </c>
      <c r="L679">
        <v>30</v>
      </c>
      <c r="M679">
        <v>6</v>
      </c>
      <c r="N679">
        <v>12</v>
      </c>
      <c r="O679">
        <v>27</v>
      </c>
      <c r="P679">
        <v>30</v>
      </c>
      <c r="Q679">
        <v>57</v>
      </c>
      <c r="R679" s="8"/>
    </row>
    <row r="680" spans="1:18" x14ac:dyDescent="0.3">
      <c r="A680" t="s">
        <v>731</v>
      </c>
      <c r="B680" t="s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</v>
      </c>
      <c r="I680">
        <v>0</v>
      </c>
      <c r="J680">
        <v>0</v>
      </c>
      <c r="K680">
        <v>0</v>
      </c>
      <c r="L680">
        <v>0</v>
      </c>
      <c r="M680">
        <v>6</v>
      </c>
      <c r="N680">
        <v>3</v>
      </c>
      <c r="O680">
        <v>3</v>
      </c>
      <c r="P680">
        <v>3</v>
      </c>
      <c r="Q680">
        <v>21</v>
      </c>
      <c r="R680" s="8"/>
    </row>
    <row r="681" spans="1:18" x14ac:dyDescent="0.3">
      <c r="A681" t="s">
        <v>732</v>
      </c>
      <c r="B681" t="s">
        <v>0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3</v>
      </c>
      <c r="J681">
        <v>15</v>
      </c>
      <c r="K681">
        <v>3</v>
      </c>
      <c r="L681">
        <v>6</v>
      </c>
      <c r="M681">
        <v>6</v>
      </c>
      <c r="N681">
        <v>15</v>
      </c>
      <c r="O681">
        <v>15</v>
      </c>
      <c r="P681">
        <v>6</v>
      </c>
      <c r="Q681">
        <v>21</v>
      </c>
      <c r="R681" s="8"/>
    </row>
    <row r="682" spans="1:18" x14ac:dyDescent="0.3">
      <c r="A682" t="s">
        <v>733</v>
      </c>
      <c r="B682" t="s">
        <v>0</v>
      </c>
      <c r="C682">
        <v>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s="8"/>
    </row>
    <row r="683" spans="1:18" x14ac:dyDescent="0.3">
      <c r="A683" t="s">
        <v>734</v>
      </c>
      <c r="B683" t="s">
        <v>0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s="8"/>
    </row>
    <row r="684" spans="1:18" x14ac:dyDescent="0.3">
      <c r="A684" t="s">
        <v>735</v>
      </c>
      <c r="B684" t="s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s="8"/>
    </row>
    <row r="685" spans="1:18" x14ac:dyDescent="0.3">
      <c r="A685" t="s">
        <v>736</v>
      </c>
      <c r="B685" t="s">
        <v>0</v>
      </c>
      <c r="C685">
        <v>57</v>
      </c>
      <c r="D685">
        <v>0</v>
      </c>
      <c r="E685">
        <v>0</v>
      </c>
      <c r="F685">
        <v>0</v>
      </c>
      <c r="G685">
        <v>6</v>
      </c>
      <c r="H685">
        <v>15</v>
      </c>
      <c r="I685">
        <v>15</v>
      </c>
      <c r="J685">
        <v>21</v>
      </c>
      <c r="K685">
        <v>0</v>
      </c>
      <c r="L685">
        <v>6</v>
      </c>
      <c r="M685">
        <v>6</v>
      </c>
      <c r="N685">
        <v>9</v>
      </c>
      <c r="O685">
        <v>6</v>
      </c>
      <c r="P685">
        <v>6</v>
      </c>
      <c r="Q685">
        <v>6</v>
      </c>
      <c r="R685" s="8"/>
    </row>
    <row r="686" spans="1:18" x14ac:dyDescent="0.3">
      <c r="A686" t="s">
        <v>737</v>
      </c>
      <c r="B686" t="s">
        <v>0</v>
      </c>
      <c r="C686">
        <v>30</v>
      </c>
      <c r="D686">
        <v>0</v>
      </c>
      <c r="E686">
        <v>0</v>
      </c>
      <c r="F686">
        <v>0</v>
      </c>
      <c r="G686">
        <v>0</v>
      </c>
      <c r="H686">
        <v>6</v>
      </c>
      <c r="I686">
        <v>3</v>
      </c>
      <c r="J686">
        <v>6</v>
      </c>
      <c r="K686">
        <v>6</v>
      </c>
      <c r="L686">
        <v>9</v>
      </c>
      <c r="M686">
        <v>0</v>
      </c>
      <c r="N686">
        <v>3</v>
      </c>
      <c r="O686">
        <v>15</v>
      </c>
      <c r="P686">
        <v>6</v>
      </c>
      <c r="Q686">
        <v>30</v>
      </c>
      <c r="R686" s="8"/>
    </row>
    <row r="687" spans="1:18" x14ac:dyDescent="0.3">
      <c r="A687" t="s">
        <v>738</v>
      </c>
      <c r="B687" t="s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3</v>
      </c>
      <c r="Q687">
        <v>12</v>
      </c>
      <c r="R687" s="8"/>
    </row>
    <row r="688" spans="1:18" x14ac:dyDescent="0.3">
      <c r="A688" t="s">
        <v>739</v>
      </c>
      <c r="B688" t="s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</v>
      </c>
      <c r="Q688">
        <v>12</v>
      </c>
      <c r="R688" s="8"/>
    </row>
    <row r="689" spans="1:18" x14ac:dyDescent="0.3">
      <c r="A689" t="s">
        <v>740</v>
      </c>
      <c r="B689" t="s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</v>
      </c>
      <c r="Q689">
        <v>3</v>
      </c>
      <c r="R689" s="8"/>
    </row>
    <row r="690" spans="1:18" x14ac:dyDescent="0.3">
      <c r="A690" t="s">
        <v>741</v>
      </c>
      <c r="B690" t="s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3</v>
      </c>
      <c r="I690">
        <v>3</v>
      </c>
      <c r="J690">
        <v>9</v>
      </c>
      <c r="K690">
        <v>3</v>
      </c>
      <c r="L690">
        <v>9</v>
      </c>
      <c r="M690">
        <v>12</v>
      </c>
      <c r="N690">
        <v>3</v>
      </c>
      <c r="O690">
        <v>0</v>
      </c>
      <c r="P690">
        <v>9</v>
      </c>
      <c r="Q690">
        <v>15</v>
      </c>
      <c r="R690" s="8"/>
    </row>
    <row r="691" spans="1:18" x14ac:dyDescent="0.3">
      <c r="A691" t="s">
        <v>742</v>
      </c>
      <c r="B691" t="s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s="8"/>
    </row>
    <row r="692" spans="1:18" x14ac:dyDescent="0.3">
      <c r="A692" t="s">
        <v>743</v>
      </c>
      <c r="B692" t="s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s="8"/>
    </row>
    <row r="693" spans="1:18" x14ac:dyDescent="0.3">
      <c r="A693" t="s">
        <v>744</v>
      </c>
      <c r="B693" t="s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s="8"/>
    </row>
    <row r="694" spans="1:18" x14ac:dyDescent="0.3">
      <c r="A694" t="s">
        <v>745</v>
      </c>
      <c r="B694" t="s">
        <v>0</v>
      </c>
      <c r="C694">
        <v>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s="8"/>
    </row>
    <row r="695" spans="1:18" x14ac:dyDescent="0.3">
      <c r="A695" t="s">
        <v>746</v>
      </c>
      <c r="B695" t="s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s="8"/>
    </row>
    <row r="696" spans="1:18" x14ac:dyDescent="0.3">
      <c r="A696" t="s">
        <v>747</v>
      </c>
      <c r="B696" t="s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s="8"/>
    </row>
    <row r="697" spans="1:18" x14ac:dyDescent="0.3">
      <c r="A697" t="s">
        <v>748</v>
      </c>
      <c r="B697" t="s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6</v>
      </c>
      <c r="M697">
        <v>27</v>
      </c>
      <c r="N697">
        <v>9</v>
      </c>
      <c r="O697">
        <v>30</v>
      </c>
      <c r="P697">
        <v>27</v>
      </c>
      <c r="Q697">
        <v>33</v>
      </c>
      <c r="R697" s="8"/>
    </row>
    <row r="698" spans="1:18" x14ac:dyDescent="0.3">
      <c r="A698" t="s">
        <v>749</v>
      </c>
      <c r="B698" t="s">
        <v>0</v>
      </c>
      <c r="C698">
        <v>15</v>
      </c>
      <c r="D698">
        <v>0</v>
      </c>
      <c r="E698">
        <v>0</v>
      </c>
      <c r="F698">
        <v>6</v>
      </c>
      <c r="G698">
        <v>6</v>
      </c>
      <c r="H698">
        <v>15</v>
      </c>
      <c r="I698">
        <v>18</v>
      </c>
      <c r="J698">
        <v>18</v>
      </c>
      <c r="K698">
        <v>33</v>
      </c>
      <c r="L698">
        <v>15</v>
      </c>
      <c r="M698">
        <v>12</v>
      </c>
      <c r="N698">
        <v>0</v>
      </c>
      <c r="O698">
        <v>0</v>
      </c>
      <c r="P698">
        <v>0</v>
      </c>
      <c r="Q698">
        <v>0</v>
      </c>
      <c r="R698" s="8"/>
    </row>
    <row r="699" spans="1:18" x14ac:dyDescent="0.3">
      <c r="A699" t="s">
        <v>750</v>
      </c>
      <c r="B699" t="s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s="8"/>
    </row>
    <row r="700" spans="1:18" x14ac:dyDescent="0.3">
      <c r="A700" t="s">
        <v>751</v>
      </c>
      <c r="B700" t="s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s="8"/>
    </row>
    <row r="701" spans="1:18" x14ac:dyDescent="0.3">
      <c r="A701" t="s">
        <v>752</v>
      </c>
      <c r="B701" t="s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8"/>
    </row>
    <row r="702" spans="1:18" x14ac:dyDescent="0.3">
      <c r="A702" t="s">
        <v>753</v>
      </c>
      <c r="B702" t="s">
        <v>0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s="8"/>
    </row>
    <row r="703" spans="1:18" x14ac:dyDescent="0.3">
      <c r="A703" t="s">
        <v>754</v>
      </c>
      <c r="B703" t="s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s="8"/>
    </row>
    <row r="704" spans="1:18" x14ac:dyDescent="0.3">
      <c r="A704" t="s">
        <v>755</v>
      </c>
      <c r="B704" t="s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s="8"/>
    </row>
    <row r="705" spans="1:18" x14ac:dyDescent="0.3">
      <c r="A705" t="s">
        <v>756</v>
      </c>
      <c r="B705" t="s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s="8"/>
    </row>
    <row r="706" spans="1:18" x14ac:dyDescent="0.3">
      <c r="A706" t="s">
        <v>757</v>
      </c>
      <c r="B706" t="s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s="8"/>
    </row>
    <row r="707" spans="1:18" x14ac:dyDescent="0.3">
      <c r="A707" t="s">
        <v>758</v>
      </c>
      <c r="B707" t="s">
        <v>0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s="8"/>
    </row>
    <row r="708" spans="1:18" x14ac:dyDescent="0.3">
      <c r="A708" t="s">
        <v>759</v>
      </c>
      <c r="B708" t="s">
        <v>0</v>
      </c>
      <c r="C708">
        <v>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s="8"/>
    </row>
    <row r="709" spans="1:18" x14ac:dyDescent="0.3">
      <c r="A709" t="s">
        <v>760</v>
      </c>
      <c r="B709" t="s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8"/>
    </row>
    <row r="710" spans="1:18" x14ac:dyDescent="0.3">
      <c r="A710" t="s">
        <v>761</v>
      </c>
      <c r="B710" t="s">
        <v>0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s="8"/>
    </row>
    <row r="711" spans="1:18" x14ac:dyDescent="0.3">
      <c r="A711" t="s">
        <v>762</v>
      </c>
      <c r="B711" t="s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s="8"/>
    </row>
    <row r="712" spans="1:18" x14ac:dyDescent="0.3">
      <c r="A712" t="s">
        <v>763</v>
      </c>
      <c r="B712" t="s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s="8"/>
    </row>
    <row r="713" spans="1:18" x14ac:dyDescent="0.3">
      <c r="A713" t="s">
        <v>764</v>
      </c>
      <c r="B713" t="s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s="8"/>
    </row>
    <row r="714" spans="1:18" x14ac:dyDescent="0.3">
      <c r="A714" t="s">
        <v>765</v>
      </c>
      <c r="B714" t="s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s="8"/>
    </row>
    <row r="715" spans="1:18" x14ac:dyDescent="0.3">
      <c r="A715" t="s">
        <v>766</v>
      </c>
      <c r="B715" t="s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9</v>
      </c>
      <c r="O715">
        <v>27</v>
      </c>
      <c r="P715">
        <v>24</v>
      </c>
      <c r="Q715">
        <v>12</v>
      </c>
      <c r="R715" s="8"/>
    </row>
    <row r="716" spans="1:18" x14ac:dyDescent="0.3">
      <c r="A716" t="s">
        <v>767</v>
      </c>
      <c r="B716" t="s">
        <v>0</v>
      </c>
      <c r="C716">
        <v>9</v>
      </c>
      <c r="D716">
        <v>0</v>
      </c>
      <c r="E716">
        <v>0</v>
      </c>
      <c r="F716">
        <v>0</v>
      </c>
      <c r="G716">
        <v>3</v>
      </c>
      <c r="H716">
        <v>3</v>
      </c>
      <c r="I716">
        <v>0</v>
      </c>
      <c r="J716">
        <v>3</v>
      </c>
      <c r="K716">
        <v>9</v>
      </c>
      <c r="L716">
        <v>3</v>
      </c>
      <c r="M716">
        <v>18</v>
      </c>
      <c r="N716">
        <v>27</v>
      </c>
      <c r="O716">
        <v>111</v>
      </c>
      <c r="P716">
        <v>0</v>
      </c>
      <c r="Q716">
        <v>0</v>
      </c>
      <c r="R716" s="8"/>
    </row>
    <row r="717" spans="1:18" x14ac:dyDescent="0.3">
      <c r="A717" t="s">
        <v>768</v>
      </c>
      <c r="B717" t="s">
        <v>0</v>
      </c>
      <c r="C717">
        <v>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</v>
      </c>
      <c r="K717">
        <v>6</v>
      </c>
      <c r="L717">
        <v>3</v>
      </c>
      <c r="M717">
        <v>39</v>
      </c>
      <c r="N717">
        <v>45</v>
      </c>
      <c r="O717">
        <v>30</v>
      </c>
      <c r="P717">
        <v>0</v>
      </c>
      <c r="Q717">
        <v>0</v>
      </c>
      <c r="R717" s="8"/>
    </row>
    <row r="718" spans="1:18" x14ac:dyDescent="0.3">
      <c r="A718" t="s">
        <v>769</v>
      </c>
      <c r="B718" t="s">
        <v>0</v>
      </c>
      <c r="C718">
        <v>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</v>
      </c>
      <c r="K718">
        <v>12</v>
      </c>
      <c r="L718">
        <v>9</v>
      </c>
      <c r="M718">
        <v>15</v>
      </c>
      <c r="N718">
        <v>39</v>
      </c>
      <c r="O718">
        <v>57</v>
      </c>
      <c r="P718">
        <v>0</v>
      </c>
      <c r="Q718">
        <v>0</v>
      </c>
      <c r="R718" s="8"/>
    </row>
    <row r="719" spans="1:18" x14ac:dyDescent="0.3">
      <c r="A719" t="s">
        <v>770</v>
      </c>
      <c r="B719" t="s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s="8"/>
    </row>
    <row r="720" spans="1:18" x14ac:dyDescent="0.3">
      <c r="A720" t="s">
        <v>771</v>
      </c>
      <c r="B720" t="s">
        <v>0</v>
      </c>
      <c r="C720">
        <v>24</v>
      </c>
      <c r="D720">
        <v>0</v>
      </c>
      <c r="E720">
        <v>0</v>
      </c>
      <c r="F720">
        <v>6</v>
      </c>
      <c r="G720">
        <v>0</v>
      </c>
      <c r="H720">
        <v>9</v>
      </c>
      <c r="I720">
        <v>9</v>
      </c>
      <c r="J720">
        <v>9</v>
      </c>
      <c r="K720">
        <v>9</v>
      </c>
      <c r="L720">
        <v>21</v>
      </c>
      <c r="M720">
        <v>9</v>
      </c>
      <c r="N720">
        <v>9</v>
      </c>
      <c r="O720">
        <v>3</v>
      </c>
      <c r="P720">
        <v>0</v>
      </c>
      <c r="Q720">
        <v>6</v>
      </c>
      <c r="R720" s="8"/>
    </row>
    <row r="721" spans="1:18" x14ac:dyDescent="0.3">
      <c r="A721" t="s">
        <v>772</v>
      </c>
      <c r="B721" t="s">
        <v>0</v>
      </c>
      <c r="C721">
        <v>117</v>
      </c>
      <c r="D721">
        <v>0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9</v>
      </c>
      <c r="K721">
        <v>6</v>
      </c>
      <c r="L721">
        <v>3</v>
      </c>
      <c r="M721">
        <v>0</v>
      </c>
      <c r="N721">
        <v>0</v>
      </c>
      <c r="O721">
        <v>6</v>
      </c>
      <c r="P721">
        <v>0</v>
      </c>
      <c r="Q721">
        <v>3</v>
      </c>
      <c r="R721" s="8"/>
    </row>
    <row r="722" spans="1:18" x14ac:dyDescent="0.3">
      <c r="A722" t="s">
        <v>773</v>
      </c>
      <c r="B722" t="s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3</v>
      </c>
      <c r="R722" s="8"/>
    </row>
    <row r="723" spans="1:18" x14ac:dyDescent="0.3">
      <c r="A723" t="s">
        <v>774</v>
      </c>
      <c r="B723" t="s">
        <v>0</v>
      </c>
      <c r="C723">
        <v>3</v>
      </c>
      <c r="D723">
        <v>0</v>
      </c>
      <c r="E723">
        <v>0</v>
      </c>
      <c r="F723">
        <v>0</v>
      </c>
      <c r="G723">
        <v>3</v>
      </c>
      <c r="H723">
        <v>0</v>
      </c>
      <c r="I723">
        <v>6</v>
      </c>
      <c r="J723">
        <v>6</v>
      </c>
      <c r="K723">
        <v>6</v>
      </c>
      <c r="L723">
        <v>21</v>
      </c>
      <c r="M723">
        <v>21</v>
      </c>
      <c r="N723">
        <v>21</v>
      </c>
      <c r="O723">
        <v>18</v>
      </c>
      <c r="P723">
        <v>24</v>
      </c>
      <c r="Q723">
        <v>9</v>
      </c>
      <c r="R723" s="8"/>
    </row>
    <row r="724" spans="1:18" x14ac:dyDescent="0.3">
      <c r="A724" t="s">
        <v>775</v>
      </c>
      <c r="B724" t="s">
        <v>0</v>
      </c>
      <c r="C724">
        <v>24</v>
      </c>
      <c r="D724">
        <v>0</v>
      </c>
      <c r="E724">
        <v>0</v>
      </c>
      <c r="F724">
        <v>0</v>
      </c>
      <c r="G724">
        <v>3</v>
      </c>
      <c r="H724">
        <v>3</v>
      </c>
      <c r="I724">
        <v>6</v>
      </c>
      <c r="J724">
        <v>6</v>
      </c>
      <c r="K724">
        <v>12</v>
      </c>
      <c r="L724">
        <v>3</v>
      </c>
      <c r="M724">
        <v>9</v>
      </c>
      <c r="N724">
        <v>27</v>
      </c>
      <c r="O724">
        <v>3</v>
      </c>
      <c r="P724">
        <v>6</v>
      </c>
      <c r="Q724">
        <v>9</v>
      </c>
      <c r="R724" s="8"/>
    </row>
    <row r="725" spans="1:18" x14ac:dyDescent="0.3">
      <c r="A725" t="s">
        <v>776</v>
      </c>
      <c r="B725" t="s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3</v>
      </c>
      <c r="M725">
        <v>3</v>
      </c>
      <c r="N725">
        <v>0</v>
      </c>
      <c r="O725">
        <v>3</v>
      </c>
      <c r="P725">
        <v>3</v>
      </c>
      <c r="Q725">
        <v>3</v>
      </c>
      <c r="R725" s="8"/>
    </row>
    <row r="726" spans="1:18" x14ac:dyDescent="0.3">
      <c r="A726" t="s">
        <v>777</v>
      </c>
      <c r="B726" t="s">
        <v>0</v>
      </c>
      <c r="C726">
        <v>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9</v>
      </c>
      <c r="L726">
        <v>0</v>
      </c>
      <c r="M726">
        <v>3</v>
      </c>
      <c r="N726">
        <v>6</v>
      </c>
      <c r="O726">
        <v>3</v>
      </c>
      <c r="P726">
        <v>12</v>
      </c>
      <c r="Q726">
        <v>12</v>
      </c>
      <c r="R726" s="8"/>
    </row>
    <row r="727" spans="1:18" x14ac:dyDescent="0.3">
      <c r="A727" t="s">
        <v>778</v>
      </c>
      <c r="B727" t="s">
        <v>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3</v>
      </c>
      <c r="I727">
        <v>3</v>
      </c>
      <c r="J727">
        <v>0</v>
      </c>
      <c r="K727">
        <v>9</v>
      </c>
      <c r="L727">
        <v>9</v>
      </c>
      <c r="M727">
        <v>6</v>
      </c>
      <c r="N727">
        <v>9</v>
      </c>
      <c r="O727">
        <v>3</v>
      </c>
      <c r="P727">
        <v>15</v>
      </c>
      <c r="Q727">
        <v>15</v>
      </c>
      <c r="R727" s="8"/>
    </row>
    <row r="728" spans="1:18" x14ac:dyDescent="0.3">
      <c r="A728" t="s">
        <v>779</v>
      </c>
      <c r="B728" t="s">
        <v>0</v>
      </c>
      <c r="C728">
        <v>3</v>
      </c>
      <c r="D728">
        <v>0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3</v>
      </c>
      <c r="K728">
        <v>15</v>
      </c>
      <c r="L728">
        <v>18</v>
      </c>
      <c r="M728">
        <v>6</v>
      </c>
      <c r="N728">
        <v>3</v>
      </c>
      <c r="O728">
        <v>21</v>
      </c>
      <c r="P728">
        <v>9</v>
      </c>
      <c r="Q728">
        <v>45</v>
      </c>
      <c r="R728" s="8"/>
    </row>
    <row r="729" spans="1:18" x14ac:dyDescent="0.3">
      <c r="A729" t="s">
        <v>780</v>
      </c>
      <c r="B729" t="s">
        <v>0</v>
      </c>
      <c r="C729">
        <v>0</v>
      </c>
      <c r="D729">
        <v>0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6</v>
      </c>
      <c r="K729">
        <v>9</v>
      </c>
      <c r="L729">
        <v>36</v>
      </c>
      <c r="M729">
        <v>27</v>
      </c>
      <c r="N729">
        <v>72</v>
      </c>
      <c r="O729">
        <v>3</v>
      </c>
      <c r="P729">
        <v>12</v>
      </c>
      <c r="Q729">
        <v>21</v>
      </c>
      <c r="R729" s="8"/>
    </row>
    <row r="730" spans="1:18" x14ac:dyDescent="0.3">
      <c r="A730" t="s">
        <v>781</v>
      </c>
      <c r="B730" t="s">
        <v>0</v>
      </c>
      <c r="C730">
        <v>18</v>
      </c>
      <c r="D730">
        <v>0</v>
      </c>
      <c r="E730">
        <v>0</v>
      </c>
      <c r="F730">
        <v>6</v>
      </c>
      <c r="G730">
        <v>9</v>
      </c>
      <c r="H730">
        <v>12</v>
      </c>
      <c r="I730">
        <v>12</v>
      </c>
      <c r="J730">
        <v>69</v>
      </c>
      <c r="K730">
        <v>39</v>
      </c>
      <c r="L730">
        <v>279</v>
      </c>
      <c r="M730">
        <v>453</v>
      </c>
      <c r="N730">
        <v>237</v>
      </c>
      <c r="O730">
        <v>330</v>
      </c>
      <c r="P730">
        <v>390</v>
      </c>
      <c r="Q730">
        <v>447</v>
      </c>
      <c r="R730" s="8"/>
    </row>
    <row r="731" spans="1:18" x14ac:dyDescent="0.3">
      <c r="A731" t="s">
        <v>782</v>
      </c>
      <c r="B731" t="s">
        <v>0</v>
      </c>
      <c r="C731">
        <v>21</v>
      </c>
      <c r="D731">
        <v>0</v>
      </c>
      <c r="E731">
        <v>0</v>
      </c>
      <c r="F731">
        <v>6</v>
      </c>
      <c r="G731">
        <v>6</v>
      </c>
      <c r="H731">
        <v>6</v>
      </c>
      <c r="I731">
        <v>0</v>
      </c>
      <c r="J731">
        <v>18</v>
      </c>
      <c r="K731">
        <v>42</v>
      </c>
      <c r="L731">
        <v>309</v>
      </c>
      <c r="M731">
        <v>816</v>
      </c>
      <c r="N731">
        <v>483</v>
      </c>
      <c r="O731">
        <v>432</v>
      </c>
      <c r="P731">
        <v>420</v>
      </c>
      <c r="Q731">
        <v>582</v>
      </c>
      <c r="R731" s="8"/>
    </row>
    <row r="732" spans="1:18" x14ac:dyDescent="0.3">
      <c r="A732" t="s">
        <v>783</v>
      </c>
      <c r="B732" t="s">
        <v>0</v>
      </c>
      <c r="C732">
        <v>21</v>
      </c>
      <c r="D732">
        <v>0</v>
      </c>
      <c r="E732">
        <v>0</v>
      </c>
      <c r="F732">
        <v>6</v>
      </c>
      <c r="G732">
        <v>0</v>
      </c>
      <c r="H732">
        <v>6</v>
      </c>
      <c r="I732">
        <v>3</v>
      </c>
      <c r="J732">
        <v>27</v>
      </c>
      <c r="K732">
        <v>48</v>
      </c>
      <c r="L732">
        <v>282</v>
      </c>
      <c r="M732">
        <v>330</v>
      </c>
      <c r="N732">
        <v>189</v>
      </c>
      <c r="O732">
        <v>306</v>
      </c>
      <c r="P732">
        <v>240</v>
      </c>
      <c r="Q732">
        <v>381</v>
      </c>
      <c r="R732" s="8"/>
    </row>
    <row r="733" spans="1:18" x14ac:dyDescent="0.3">
      <c r="A733" t="s">
        <v>784</v>
      </c>
      <c r="B733" t="s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6</v>
      </c>
      <c r="L733">
        <v>3</v>
      </c>
      <c r="M733">
        <v>15</v>
      </c>
      <c r="N733">
        <v>15</v>
      </c>
      <c r="O733">
        <v>12</v>
      </c>
      <c r="P733">
        <v>21</v>
      </c>
      <c r="Q733">
        <v>12</v>
      </c>
      <c r="R733" s="8"/>
    </row>
    <row r="734" spans="1:18" x14ac:dyDescent="0.3">
      <c r="A734" t="s">
        <v>785</v>
      </c>
      <c r="B734" t="s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12</v>
      </c>
      <c r="N734">
        <v>9</v>
      </c>
      <c r="O734">
        <v>12</v>
      </c>
      <c r="P734">
        <v>9</v>
      </c>
      <c r="Q734">
        <v>9</v>
      </c>
      <c r="R734" s="8"/>
    </row>
    <row r="735" spans="1:18" x14ac:dyDescent="0.3">
      <c r="A735" t="s">
        <v>786</v>
      </c>
      <c r="B735" t="s">
        <v>0</v>
      </c>
      <c r="C735">
        <v>15</v>
      </c>
      <c r="D735">
        <v>0</v>
      </c>
      <c r="E735">
        <v>0</v>
      </c>
      <c r="F735">
        <v>3</v>
      </c>
      <c r="G735">
        <v>9</v>
      </c>
      <c r="H735">
        <v>0</v>
      </c>
      <c r="I735">
        <v>0</v>
      </c>
      <c r="J735">
        <v>3</v>
      </c>
      <c r="K735">
        <v>27</v>
      </c>
      <c r="L735">
        <v>24</v>
      </c>
      <c r="M735">
        <v>48</v>
      </c>
      <c r="N735">
        <v>39</v>
      </c>
      <c r="O735">
        <v>9</v>
      </c>
      <c r="P735">
        <v>6</v>
      </c>
      <c r="Q735">
        <v>24</v>
      </c>
      <c r="R735" s="8"/>
    </row>
    <row r="736" spans="1:18" x14ac:dyDescent="0.3">
      <c r="A736" t="s">
        <v>787</v>
      </c>
      <c r="B736" t="s">
        <v>0</v>
      </c>
      <c r="C736">
        <v>6</v>
      </c>
      <c r="D736">
        <v>0</v>
      </c>
      <c r="E736">
        <v>0</v>
      </c>
      <c r="F736">
        <v>0</v>
      </c>
      <c r="G736">
        <v>0</v>
      </c>
      <c r="H736">
        <v>6</v>
      </c>
      <c r="I736">
        <v>3</v>
      </c>
      <c r="J736">
        <v>12</v>
      </c>
      <c r="K736">
        <v>6</v>
      </c>
      <c r="L736">
        <v>15</v>
      </c>
      <c r="M736">
        <v>63</v>
      </c>
      <c r="N736">
        <v>45</v>
      </c>
      <c r="O736">
        <v>3</v>
      </c>
      <c r="P736">
        <v>0</v>
      </c>
      <c r="Q736">
        <v>15</v>
      </c>
      <c r="R736" s="8"/>
    </row>
    <row r="737" spans="1:18" x14ac:dyDescent="0.3">
      <c r="A737" t="s">
        <v>788</v>
      </c>
      <c r="B737" t="s">
        <v>0</v>
      </c>
      <c r="C737">
        <v>6</v>
      </c>
      <c r="D737">
        <v>0</v>
      </c>
      <c r="E737">
        <v>0</v>
      </c>
      <c r="F737">
        <v>3</v>
      </c>
      <c r="G737">
        <v>0</v>
      </c>
      <c r="H737">
        <v>3</v>
      </c>
      <c r="I737">
        <v>6</v>
      </c>
      <c r="J737">
        <v>3</v>
      </c>
      <c r="K737">
        <v>6</v>
      </c>
      <c r="L737">
        <v>3</v>
      </c>
      <c r="M737">
        <v>12</v>
      </c>
      <c r="N737">
        <v>0</v>
      </c>
      <c r="O737">
        <v>0</v>
      </c>
      <c r="P737">
        <v>0</v>
      </c>
      <c r="Q737">
        <v>21</v>
      </c>
      <c r="R737" s="8"/>
    </row>
    <row r="738" spans="1:18" x14ac:dyDescent="0.3">
      <c r="A738" t="s">
        <v>789</v>
      </c>
      <c r="B738" t="s">
        <v>0</v>
      </c>
      <c r="C738">
        <v>6</v>
      </c>
      <c r="D738">
        <v>0</v>
      </c>
      <c r="E738">
        <v>0</v>
      </c>
      <c r="F738">
        <v>0</v>
      </c>
      <c r="G738">
        <v>0</v>
      </c>
      <c r="H738">
        <v>18</v>
      </c>
      <c r="I738">
        <v>15</v>
      </c>
      <c r="J738">
        <v>0</v>
      </c>
      <c r="K738">
        <v>15</v>
      </c>
      <c r="L738">
        <v>9</v>
      </c>
      <c r="M738">
        <v>12</v>
      </c>
      <c r="N738">
        <v>12</v>
      </c>
      <c r="O738">
        <v>3</v>
      </c>
      <c r="P738">
        <v>3</v>
      </c>
      <c r="Q738">
        <v>30</v>
      </c>
      <c r="R738" s="8"/>
    </row>
    <row r="739" spans="1:18" x14ac:dyDescent="0.3">
      <c r="A739" t="s">
        <v>790</v>
      </c>
      <c r="B739" t="s">
        <v>0</v>
      </c>
      <c r="C739">
        <v>33</v>
      </c>
      <c r="D739">
        <v>0</v>
      </c>
      <c r="E739">
        <v>0</v>
      </c>
      <c r="F739">
        <v>9</v>
      </c>
      <c r="G739">
        <v>0</v>
      </c>
      <c r="H739">
        <v>6</v>
      </c>
      <c r="I739">
        <v>0</v>
      </c>
      <c r="J739">
        <v>6</v>
      </c>
      <c r="K739">
        <v>3</v>
      </c>
      <c r="L739">
        <v>12</v>
      </c>
      <c r="M739">
        <v>9</v>
      </c>
      <c r="N739">
        <v>15</v>
      </c>
      <c r="O739">
        <v>3</v>
      </c>
      <c r="P739">
        <v>6</v>
      </c>
      <c r="Q739">
        <v>15</v>
      </c>
      <c r="R739" s="8"/>
    </row>
    <row r="740" spans="1:18" x14ac:dyDescent="0.3">
      <c r="A740" t="s">
        <v>791</v>
      </c>
      <c r="B740" t="s">
        <v>0</v>
      </c>
      <c r="C740">
        <v>24</v>
      </c>
      <c r="D740">
        <v>0</v>
      </c>
      <c r="E740">
        <v>0</v>
      </c>
      <c r="F740">
        <v>3</v>
      </c>
      <c r="G740">
        <v>0</v>
      </c>
      <c r="H740">
        <v>0</v>
      </c>
      <c r="I740">
        <v>6</v>
      </c>
      <c r="J740">
        <v>3</v>
      </c>
      <c r="K740">
        <v>24</v>
      </c>
      <c r="L740">
        <v>12</v>
      </c>
      <c r="M740">
        <v>6</v>
      </c>
      <c r="N740">
        <v>6</v>
      </c>
      <c r="O740">
        <v>0</v>
      </c>
      <c r="P740">
        <v>12</v>
      </c>
      <c r="Q740">
        <v>18</v>
      </c>
      <c r="R740" s="8"/>
    </row>
    <row r="741" spans="1:18" x14ac:dyDescent="0.3">
      <c r="A741" t="s">
        <v>792</v>
      </c>
      <c r="B741" t="s">
        <v>0</v>
      </c>
      <c r="C741">
        <v>12</v>
      </c>
      <c r="D741">
        <v>0</v>
      </c>
      <c r="E741">
        <v>0</v>
      </c>
      <c r="F741">
        <v>0</v>
      </c>
      <c r="G741">
        <v>3</v>
      </c>
      <c r="H741">
        <v>0</v>
      </c>
      <c r="I741">
        <v>0</v>
      </c>
      <c r="J741">
        <v>0</v>
      </c>
      <c r="K741">
        <v>6</v>
      </c>
      <c r="L741">
        <v>0</v>
      </c>
      <c r="M741">
        <v>6</v>
      </c>
      <c r="N741">
        <v>15</v>
      </c>
      <c r="O741">
        <v>9</v>
      </c>
      <c r="P741">
        <v>21</v>
      </c>
      <c r="Q741">
        <v>18</v>
      </c>
      <c r="R741" s="8"/>
    </row>
    <row r="742" spans="1:18" x14ac:dyDescent="0.3">
      <c r="A742" t="s">
        <v>793</v>
      </c>
      <c r="B742" t="s">
        <v>0</v>
      </c>
      <c r="C742">
        <v>15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12</v>
      </c>
      <c r="J742">
        <v>24</v>
      </c>
      <c r="K742">
        <v>24</v>
      </c>
      <c r="L742">
        <v>18</v>
      </c>
      <c r="M742">
        <v>21</v>
      </c>
      <c r="N742">
        <v>0</v>
      </c>
      <c r="O742">
        <v>0</v>
      </c>
      <c r="P742">
        <v>0</v>
      </c>
      <c r="Q742">
        <v>0</v>
      </c>
      <c r="R742" s="8"/>
    </row>
    <row r="743" spans="1:18" x14ac:dyDescent="0.3">
      <c r="A743" t="s">
        <v>794</v>
      </c>
      <c r="B743" t="s">
        <v>0</v>
      </c>
      <c r="C743">
        <v>3</v>
      </c>
      <c r="D743">
        <v>0</v>
      </c>
      <c r="E743">
        <v>0</v>
      </c>
      <c r="F743">
        <v>0</v>
      </c>
      <c r="G743">
        <v>0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9</v>
      </c>
      <c r="N743">
        <v>15</v>
      </c>
      <c r="O743">
        <v>156</v>
      </c>
      <c r="P743">
        <v>57</v>
      </c>
      <c r="Q743">
        <v>36</v>
      </c>
      <c r="R743" s="8"/>
    </row>
    <row r="744" spans="1:18" x14ac:dyDescent="0.3">
      <c r="A744" t="s">
        <v>795</v>
      </c>
      <c r="B744" t="s">
        <v>0</v>
      </c>
      <c r="C744">
        <v>6</v>
      </c>
      <c r="D744">
        <v>0</v>
      </c>
      <c r="E744">
        <v>0</v>
      </c>
      <c r="F744">
        <v>3</v>
      </c>
      <c r="G744">
        <v>3</v>
      </c>
      <c r="H744">
        <v>0</v>
      </c>
      <c r="I744">
        <v>3</v>
      </c>
      <c r="J744">
        <v>9</v>
      </c>
      <c r="K744">
        <v>15</v>
      </c>
      <c r="L744">
        <v>15</v>
      </c>
      <c r="M744">
        <v>87</v>
      </c>
      <c r="N744">
        <v>144</v>
      </c>
      <c r="O744">
        <v>39</v>
      </c>
      <c r="P744">
        <v>18</v>
      </c>
      <c r="Q744">
        <v>30</v>
      </c>
      <c r="R744" s="8"/>
    </row>
    <row r="745" spans="1:18" x14ac:dyDescent="0.3">
      <c r="A745" t="s">
        <v>796</v>
      </c>
      <c r="B745" t="s">
        <v>0</v>
      </c>
      <c r="C745">
        <v>12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12</v>
      </c>
      <c r="K745">
        <v>0</v>
      </c>
      <c r="L745">
        <v>9</v>
      </c>
      <c r="M745">
        <v>30</v>
      </c>
      <c r="N745">
        <v>51</v>
      </c>
      <c r="O745">
        <v>15</v>
      </c>
      <c r="P745">
        <v>3</v>
      </c>
      <c r="Q745">
        <v>6</v>
      </c>
      <c r="R745" s="8"/>
    </row>
    <row r="746" spans="1:18" x14ac:dyDescent="0.3">
      <c r="A746" t="s">
        <v>797</v>
      </c>
      <c r="B746" t="s">
        <v>0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6</v>
      </c>
      <c r="Q746">
        <v>3</v>
      </c>
      <c r="R746" s="8"/>
    </row>
    <row r="747" spans="1:18" x14ac:dyDescent="0.3">
      <c r="A747" t="s">
        <v>798</v>
      </c>
      <c r="B747" t="s">
        <v>0</v>
      </c>
      <c r="C747">
        <v>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3</v>
      </c>
      <c r="L747">
        <v>15</v>
      </c>
      <c r="M747">
        <v>24</v>
      </c>
      <c r="N747">
        <v>30</v>
      </c>
      <c r="O747">
        <v>54</v>
      </c>
      <c r="P747">
        <v>18</v>
      </c>
      <c r="Q747">
        <v>57</v>
      </c>
      <c r="R747" s="8"/>
    </row>
    <row r="748" spans="1:18" x14ac:dyDescent="0.3">
      <c r="A748" t="s">
        <v>799</v>
      </c>
      <c r="B748" t="s">
        <v>0</v>
      </c>
      <c r="C748">
        <v>30</v>
      </c>
      <c r="D748">
        <v>0</v>
      </c>
      <c r="E748">
        <v>0</v>
      </c>
      <c r="F748">
        <v>9</v>
      </c>
      <c r="G748">
        <v>0</v>
      </c>
      <c r="H748">
        <v>0</v>
      </c>
      <c r="I748">
        <v>0</v>
      </c>
      <c r="J748">
        <v>3</v>
      </c>
      <c r="K748">
        <v>12</v>
      </c>
      <c r="L748">
        <v>12</v>
      </c>
      <c r="M748">
        <v>0</v>
      </c>
      <c r="N748">
        <v>12</v>
      </c>
      <c r="O748">
        <v>6</v>
      </c>
      <c r="P748">
        <v>0</v>
      </c>
      <c r="Q748">
        <v>9</v>
      </c>
      <c r="R748" s="8"/>
    </row>
    <row r="749" spans="1:18" x14ac:dyDescent="0.3">
      <c r="A749" t="s">
        <v>800</v>
      </c>
      <c r="B749" t="s">
        <v>0</v>
      </c>
      <c r="C749">
        <v>21</v>
      </c>
      <c r="D749">
        <v>0</v>
      </c>
      <c r="E749">
        <v>0</v>
      </c>
      <c r="F749">
        <v>0</v>
      </c>
      <c r="G749">
        <v>0</v>
      </c>
      <c r="H749">
        <v>3</v>
      </c>
      <c r="I749">
        <v>9</v>
      </c>
      <c r="J749">
        <v>15</v>
      </c>
      <c r="K749">
        <v>24</v>
      </c>
      <c r="L749">
        <v>24</v>
      </c>
      <c r="M749">
        <v>39</v>
      </c>
      <c r="N749">
        <v>0</v>
      </c>
      <c r="O749">
        <v>0</v>
      </c>
      <c r="P749">
        <v>0</v>
      </c>
      <c r="Q749">
        <v>0</v>
      </c>
      <c r="R749" s="8"/>
    </row>
    <row r="750" spans="1:18" x14ac:dyDescent="0.3">
      <c r="A750" t="s">
        <v>801</v>
      </c>
      <c r="B750" t="s">
        <v>0</v>
      </c>
      <c r="C750">
        <v>15</v>
      </c>
      <c r="D750">
        <v>0</v>
      </c>
      <c r="E750">
        <v>0</v>
      </c>
      <c r="F750">
        <v>6</v>
      </c>
      <c r="G750">
        <v>6</v>
      </c>
      <c r="H750">
        <v>3</v>
      </c>
      <c r="I750">
        <v>0</v>
      </c>
      <c r="J750">
        <v>18</v>
      </c>
      <c r="K750">
        <v>27</v>
      </c>
      <c r="L750">
        <v>15</v>
      </c>
      <c r="M750">
        <v>0</v>
      </c>
      <c r="N750">
        <v>21</v>
      </c>
      <c r="O750">
        <v>12</v>
      </c>
      <c r="P750">
        <v>3</v>
      </c>
      <c r="Q750">
        <v>15</v>
      </c>
      <c r="R750" s="8"/>
    </row>
    <row r="751" spans="1:18" x14ac:dyDescent="0.3">
      <c r="A751" t="s">
        <v>802</v>
      </c>
      <c r="B751" t="s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</v>
      </c>
      <c r="M751">
        <v>0</v>
      </c>
      <c r="N751">
        <v>9</v>
      </c>
      <c r="O751">
        <v>18</v>
      </c>
      <c r="P751">
        <v>0</v>
      </c>
      <c r="Q751">
        <v>6</v>
      </c>
      <c r="R751" s="8"/>
    </row>
    <row r="752" spans="1:18" x14ac:dyDescent="0.3">
      <c r="A752" t="s">
        <v>803</v>
      </c>
      <c r="B752" t="s">
        <v>0</v>
      </c>
      <c r="C752">
        <v>9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3</v>
      </c>
      <c r="K752">
        <v>3</v>
      </c>
      <c r="L752">
        <v>3</v>
      </c>
      <c r="M752">
        <v>3</v>
      </c>
      <c r="N752">
        <v>15</v>
      </c>
      <c r="O752">
        <v>9</v>
      </c>
      <c r="P752">
        <v>0</v>
      </c>
      <c r="Q752">
        <v>51</v>
      </c>
      <c r="R752" s="8"/>
    </row>
    <row r="753" spans="1:18" x14ac:dyDescent="0.3">
      <c r="A753" t="s">
        <v>804</v>
      </c>
      <c r="B753" t="s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6</v>
      </c>
      <c r="N753">
        <v>3</v>
      </c>
      <c r="O753">
        <v>12</v>
      </c>
      <c r="P753">
        <v>9</v>
      </c>
      <c r="Q753">
        <v>51</v>
      </c>
      <c r="R753" s="8"/>
    </row>
    <row r="754" spans="1:18" x14ac:dyDescent="0.3">
      <c r="A754" t="s">
        <v>805</v>
      </c>
      <c r="B754" t="s">
        <v>0</v>
      </c>
      <c r="C754">
        <v>3</v>
      </c>
      <c r="D754">
        <v>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3</v>
      </c>
      <c r="M754">
        <v>6</v>
      </c>
      <c r="N754">
        <v>33</v>
      </c>
      <c r="O754">
        <v>30</v>
      </c>
      <c r="P754">
        <v>15</v>
      </c>
      <c r="Q754">
        <v>57</v>
      </c>
      <c r="R754" s="8"/>
    </row>
    <row r="755" spans="1:18" x14ac:dyDescent="0.3">
      <c r="A755" t="s">
        <v>806</v>
      </c>
      <c r="B755" t="s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3</v>
      </c>
      <c r="M755">
        <v>3</v>
      </c>
      <c r="N755">
        <v>21</v>
      </c>
      <c r="O755">
        <v>36</v>
      </c>
      <c r="P755">
        <v>33</v>
      </c>
      <c r="Q755">
        <v>75</v>
      </c>
      <c r="R755" s="8"/>
    </row>
    <row r="756" spans="1:18" x14ac:dyDescent="0.3">
      <c r="A756" t="s">
        <v>807</v>
      </c>
      <c r="B756" t="s">
        <v>0</v>
      </c>
      <c r="C756">
        <v>105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s="8"/>
    </row>
    <row r="757" spans="1:18" x14ac:dyDescent="0.3">
      <c r="A757" t="s">
        <v>808</v>
      </c>
      <c r="B757" t="s">
        <v>0</v>
      </c>
      <c r="C757">
        <v>21</v>
      </c>
      <c r="D757">
        <v>0</v>
      </c>
      <c r="E757">
        <v>0</v>
      </c>
      <c r="F757">
        <v>3</v>
      </c>
      <c r="G757">
        <v>9</v>
      </c>
      <c r="H757">
        <v>39</v>
      </c>
      <c r="I757">
        <v>27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s="8"/>
    </row>
    <row r="758" spans="1:18" x14ac:dyDescent="0.3">
      <c r="A758" t="s">
        <v>809</v>
      </c>
      <c r="B758" t="s">
        <v>0</v>
      </c>
      <c r="C758">
        <v>33</v>
      </c>
      <c r="D758">
        <v>0</v>
      </c>
      <c r="E758">
        <v>0</v>
      </c>
      <c r="F758">
        <v>0</v>
      </c>
      <c r="G758">
        <v>0</v>
      </c>
      <c r="H758">
        <v>6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s="8"/>
    </row>
    <row r="759" spans="1:18" x14ac:dyDescent="0.3">
      <c r="A759" t="s">
        <v>810</v>
      </c>
      <c r="B759" t="s">
        <v>0</v>
      </c>
      <c r="C759">
        <v>90</v>
      </c>
      <c r="D759">
        <v>0</v>
      </c>
      <c r="E759">
        <v>0</v>
      </c>
      <c r="F759">
        <v>3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s="8"/>
    </row>
    <row r="760" spans="1:18" x14ac:dyDescent="0.3">
      <c r="A760" t="s">
        <v>811</v>
      </c>
      <c r="B760" t="s">
        <v>0</v>
      </c>
      <c r="C760">
        <v>354</v>
      </c>
      <c r="D760">
        <v>0</v>
      </c>
      <c r="E760">
        <v>0</v>
      </c>
      <c r="F760">
        <v>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s="8"/>
    </row>
    <row r="761" spans="1:18" x14ac:dyDescent="0.3">
      <c r="A761" t="s">
        <v>812</v>
      </c>
      <c r="B761" t="s">
        <v>0</v>
      </c>
      <c r="C761">
        <v>345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s="8"/>
    </row>
    <row r="762" spans="1:18" x14ac:dyDescent="0.3">
      <c r="A762" t="s">
        <v>813</v>
      </c>
      <c r="B762" t="s">
        <v>3</v>
      </c>
      <c r="C762">
        <v>66</v>
      </c>
      <c r="D762">
        <v>0</v>
      </c>
      <c r="E762">
        <v>3</v>
      </c>
      <c r="F762">
        <v>15</v>
      </c>
      <c r="G762">
        <v>6</v>
      </c>
      <c r="H762">
        <v>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s="8"/>
    </row>
    <row r="763" spans="1:18" x14ac:dyDescent="0.3">
      <c r="A763" t="s">
        <v>814</v>
      </c>
      <c r="B763" t="s">
        <v>3</v>
      </c>
      <c r="C763">
        <v>93</v>
      </c>
      <c r="D763">
        <v>0</v>
      </c>
      <c r="E763">
        <v>0</v>
      </c>
      <c r="F763">
        <v>0</v>
      </c>
      <c r="G763">
        <v>0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s="8"/>
    </row>
    <row r="764" spans="1:18" x14ac:dyDescent="0.3">
      <c r="A764" t="s">
        <v>815</v>
      </c>
      <c r="B764" t="s">
        <v>3</v>
      </c>
      <c r="C764">
        <v>141</v>
      </c>
      <c r="D764">
        <v>0</v>
      </c>
      <c r="E764">
        <v>0</v>
      </c>
      <c r="F764">
        <v>3</v>
      </c>
      <c r="G764">
        <v>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s="8"/>
    </row>
    <row r="765" spans="1:18" x14ac:dyDescent="0.3">
      <c r="B765" s="6" t="s">
        <v>820</v>
      </c>
      <c r="C765">
        <f>SUM(C3:C764)</f>
        <v>297834</v>
      </c>
      <c r="D765">
        <f t="shared" ref="D765:N765" si="0">SUM(D3:D764)</f>
        <v>166563</v>
      </c>
      <c r="E765">
        <f t="shared" si="0"/>
        <v>194181</v>
      </c>
      <c r="F765">
        <f t="shared" si="0"/>
        <v>208452</v>
      </c>
      <c r="G765">
        <f t="shared" si="0"/>
        <v>142602</v>
      </c>
      <c r="H765">
        <f t="shared" si="0"/>
        <v>144963</v>
      </c>
      <c r="I765">
        <f t="shared" si="0"/>
        <v>105543</v>
      </c>
      <c r="J765">
        <f t="shared" si="0"/>
        <v>109344</v>
      </c>
      <c r="K765">
        <f t="shared" si="0"/>
        <v>104187</v>
      </c>
      <c r="L765">
        <f t="shared" si="0"/>
        <v>130980</v>
      </c>
      <c r="M765">
        <f t="shared" si="0"/>
        <v>101646</v>
      </c>
      <c r="N765">
        <f t="shared" si="0"/>
        <v>94902</v>
      </c>
      <c r="O765">
        <f>SUM(O3:O764)</f>
        <v>88428</v>
      </c>
      <c r="P765">
        <f t="shared" ref="P765" si="1">SUM(P3:P764)</f>
        <v>72597</v>
      </c>
      <c r="Q765">
        <f t="shared" ref="Q765" si="2">SUM(Q3:Q764)</f>
        <v>105417</v>
      </c>
    </row>
  </sheetData>
  <conditionalFormatting sqref="A1:A1048576">
    <cfRule type="duplicateValues" dxfId="9" priority="1"/>
    <cfRule type="duplicateValues" dxfId="8" priority="2"/>
  </conditionalFormatting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0865-B957-4ABC-B14B-0366DF10EF9F}">
  <dimension ref="A1:D763"/>
  <sheetViews>
    <sheetView zoomScale="85" zoomScaleNormal="85" workbookViewId="0">
      <selection activeCell="C2" sqref="C2"/>
    </sheetView>
  </sheetViews>
  <sheetFormatPr defaultRowHeight="15.6" x14ac:dyDescent="0.3"/>
  <cols>
    <col min="1" max="1" width="14.09765625" bestFit="1" customWidth="1"/>
    <col min="2" max="2" width="15.296875" bestFit="1" customWidth="1"/>
    <col min="3" max="3" width="20.296875" bestFit="1" customWidth="1"/>
    <col min="4" max="4" width="19.296875" bestFit="1" customWidth="1"/>
  </cols>
  <sheetData>
    <row r="1" spans="1:4" x14ac:dyDescent="0.3">
      <c r="A1" s="12" t="s">
        <v>816</v>
      </c>
      <c r="B1" s="12" t="s">
        <v>821</v>
      </c>
      <c r="C1" s="12" t="s">
        <v>822</v>
      </c>
      <c r="D1" s="12" t="s">
        <v>823</v>
      </c>
    </row>
    <row r="2" spans="1:4" x14ac:dyDescent="0.3">
      <c r="A2" s="7" t="s">
        <v>54</v>
      </c>
      <c r="B2" s="7">
        <f>ROUND(AVERAGE('SKU sales and Inventory'!D3:Q3),0)</f>
        <v>1330</v>
      </c>
      <c r="C2" s="7">
        <f>2*AVERAGE('SKU sales and Inventory'!D3:F3)</f>
        <v>6582</v>
      </c>
      <c r="D2" s="7" t="s">
        <v>824</v>
      </c>
    </row>
    <row r="3" spans="1:4" x14ac:dyDescent="0.3">
      <c r="A3" s="7" t="s">
        <v>55</v>
      </c>
      <c r="B3" s="7">
        <f>ROUND(AVERAGE('SKU sales and Inventory'!D4:Q4),0)</f>
        <v>2233</v>
      </c>
      <c r="C3" s="7">
        <f>2*AVERAGE('SKU sales and Inventory'!D4:F4)</f>
        <v>11700</v>
      </c>
      <c r="D3" s="7" t="s">
        <v>824</v>
      </c>
    </row>
    <row r="4" spans="1:4" x14ac:dyDescent="0.3">
      <c r="A4" s="7" t="s">
        <v>56</v>
      </c>
      <c r="B4" s="7">
        <f>ROUND(AVERAGE('SKU sales and Inventory'!D5:Q5),0)</f>
        <v>1838</v>
      </c>
      <c r="C4" s="7">
        <f>2*AVERAGE('SKU sales and Inventory'!D5:F5)</f>
        <v>7330</v>
      </c>
      <c r="D4" s="7" t="s">
        <v>824</v>
      </c>
    </row>
    <row r="5" spans="1:4" x14ac:dyDescent="0.3">
      <c r="A5" s="7" t="s">
        <v>57</v>
      </c>
      <c r="B5" s="7">
        <f>ROUND(AVERAGE('SKU sales and Inventory'!D6:Q6),0)</f>
        <v>2946</v>
      </c>
      <c r="C5" s="7">
        <f>2*AVERAGE('SKU sales and Inventory'!D6:F6)</f>
        <v>8828</v>
      </c>
      <c r="D5" s="7" t="s">
        <v>824</v>
      </c>
    </row>
    <row r="6" spans="1:4" x14ac:dyDescent="0.3">
      <c r="A6" s="7" t="s">
        <v>58</v>
      </c>
      <c r="B6" s="7">
        <f>ROUND(AVERAGE('SKU sales and Inventory'!D7:Q7),0)</f>
        <v>858</v>
      </c>
      <c r="C6" s="7">
        <f>2*AVERAGE('SKU sales and Inventory'!D7:F7)</f>
        <v>5770</v>
      </c>
      <c r="D6" s="7" t="s">
        <v>824</v>
      </c>
    </row>
    <row r="7" spans="1:4" x14ac:dyDescent="0.3">
      <c r="A7" s="7" t="s">
        <v>59</v>
      </c>
      <c r="B7" s="7">
        <f>ROUND(AVERAGE('SKU sales and Inventory'!D8:Q8),0)</f>
        <v>2940</v>
      </c>
      <c r="C7" s="7">
        <f>2*AVERAGE('SKU sales and Inventory'!D8:F8)</f>
        <v>5608</v>
      </c>
      <c r="D7" s="7" t="s">
        <v>824</v>
      </c>
    </row>
    <row r="8" spans="1:4" x14ac:dyDescent="0.3">
      <c r="A8" s="7" t="s">
        <v>60</v>
      </c>
      <c r="B8" s="7">
        <f>ROUND(AVERAGE('SKU sales and Inventory'!D9:Q9),0)</f>
        <v>969</v>
      </c>
      <c r="C8" s="7">
        <f>2*AVERAGE('SKU sales and Inventory'!D9:F9)</f>
        <v>3786</v>
      </c>
      <c r="D8" s="7" t="s">
        <v>824</v>
      </c>
    </row>
    <row r="9" spans="1:4" x14ac:dyDescent="0.3">
      <c r="A9" s="7" t="s">
        <v>61</v>
      </c>
      <c r="B9" s="7">
        <f>ROUND(AVERAGE('SKU sales and Inventory'!D10:Q10),0)</f>
        <v>1710</v>
      </c>
      <c r="C9" s="7">
        <f>2*AVERAGE('SKU sales and Inventory'!D10:F10)</f>
        <v>8432</v>
      </c>
      <c r="D9" s="7" t="s">
        <v>824</v>
      </c>
    </row>
    <row r="10" spans="1:4" x14ac:dyDescent="0.3">
      <c r="A10" s="7" t="s">
        <v>62</v>
      </c>
      <c r="B10" s="7">
        <f>ROUND(AVERAGE('SKU sales and Inventory'!D11:Q11),0)</f>
        <v>1019</v>
      </c>
      <c r="C10" s="7">
        <f>2*AVERAGE('SKU sales and Inventory'!D11:F11)</f>
        <v>3608</v>
      </c>
      <c r="D10" s="7" t="s">
        <v>824</v>
      </c>
    </row>
    <row r="11" spans="1:4" x14ac:dyDescent="0.3">
      <c r="A11" s="7" t="s">
        <v>63</v>
      </c>
      <c r="B11" s="7">
        <f>ROUND(AVERAGE('SKU sales and Inventory'!D12:Q12),0)</f>
        <v>1704</v>
      </c>
      <c r="C11" s="7">
        <f>2*AVERAGE('SKU sales and Inventory'!D12:F12)</f>
        <v>7258</v>
      </c>
      <c r="D11" s="7" t="s">
        <v>824</v>
      </c>
    </row>
    <row r="12" spans="1:4" x14ac:dyDescent="0.3">
      <c r="A12" s="7" t="s">
        <v>64</v>
      </c>
      <c r="B12" s="7">
        <f>ROUND(AVERAGE('SKU sales and Inventory'!D13:Q13),0)</f>
        <v>1984</v>
      </c>
      <c r="C12" s="7">
        <f>2*AVERAGE('SKU sales and Inventory'!D13:F13)</f>
        <v>5826</v>
      </c>
      <c r="D12" s="7" t="s">
        <v>824</v>
      </c>
    </row>
    <row r="13" spans="1:4" x14ac:dyDescent="0.3">
      <c r="A13" s="7" t="s">
        <v>65</v>
      </c>
      <c r="B13" s="7">
        <f>ROUND(AVERAGE('SKU sales and Inventory'!D14:Q14),0)</f>
        <v>868</v>
      </c>
      <c r="C13" s="7">
        <f>2*AVERAGE('SKU sales and Inventory'!D14:F14)</f>
        <v>3392</v>
      </c>
      <c r="D13" s="7" t="s">
        <v>824</v>
      </c>
    </row>
    <row r="14" spans="1:4" x14ac:dyDescent="0.3">
      <c r="A14" s="7" t="s">
        <v>66</v>
      </c>
      <c r="B14" s="7">
        <f>ROUND(AVERAGE('SKU sales and Inventory'!D15:Q15),0)</f>
        <v>2797</v>
      </c>
      <c r="C14" s="7">
        <f>2*AVERAGE('SKU sales and Inventory'!D15:F15)</f>
        <v>6426</v>
      </c>
      <c r="D14" s="7" t="s">
        <v>824</v>
      </c>
    </row>
    <row r="15" spans="1:4" x14ac:dyDescent="0.3">
      <c r="A15" s="7" t="s">
        <v>67</v>
      </c>
      <c r="B15" s="7">
        <f>ROUND(AVERAGE('SKU sales and Inventory'!D16:Q16),0)</f>
        <v>1071</v>
      </c>
      <c r="C15" s="7">
        <f>2*AVERAGE('SKU sales and Inventory'!D16:F16)</f>
        <v>3902</v>
      </c>
      <c r="D15" s="7" t="s">
        <v>824</v>
      </c>
    </row>
    <row r="16" spans="1:4" x14ac:dyDescent="0.3">
      <c r="A16" s="7" t="s">
        <v>68</v>
      </c>
      <c r="B16" s="7">
        <f>ROUND(AVERAGE('SKU sales and Inventory'!D17:Q17),0)</f>
        <v>1910</v>
      </c>
      <c r="C16" s="7">
        <f>2*AVERAGE('SKU sales and Inventory'!D17:F17)</f>
        <v>5038</v>
      </c>
      <c r="D16" s="7" t="s">
        <v>824</v>
      </c>
    </row>
    <row r="17" spans="1:4" x14ac:dyDescent="0.3">
      <c r="A17" s="7" t="s">
        <v>69</v>
      </c>
      <c r="B17" s="7">
        <f>ROUND(AVERAGE('SKU sales and Inventory'!D18:Q18),0)</f>
        <v>381</v>
      </c>
      <c r="C17" s="7">
        <f>2*AVERAGE('SKU sales and Inventory'!D18:F18)</f>
        <v>2652</v>
      </c>
      <c r="D17" s="7" t="s">
        <v>824</v>
      </c>
    </row>
    <row r="18" spans="1:4" x14ac:dyDescent="0.3">
      <c r="A18" s="7" t="s">
        <v>70</v>
      </c>
      <c r="B18" s="7">
        <f>ROUND(AVERAGE('SKU sales and Inventory'!D19:Q19),0)</f>
        <v>1733</v>
      </c>
      <c r="C18" s="7">
        <f>2*AVERAGE('SKU sales and Inventory'!D19:F19)</f>
        <v>4082</v>
      </c>
      <c r="D18" s="7" t="s">
        <v>824</v>
      </c>
    </row>
    <row r="19" spans="1:4" x14ac:dyDescent="0.3">
      <c r="A19" s="7" t="s">
        <v>71</v>
      </c>
      <c r="B19" s="7">
        <f>ROUND(AVERAGE('SKU sales and Inventory'!D20:Q20),0)</f>
        <v>1129</v>
      </c>
      <c r="C19" s="7">
        <f>2*AVERAGE('SKU sales and Inventory'!D20:F20)</f>
        <v>3370</v>
      </c>
      <c r="D19" s="7" t="s">
        <v>824</v>
      </c>
    </row>
    <row r="20" spans="1:4" x14ac:dyDescent="0.3">
      <c r="A20" s="7" t="s">
        <v>72</v>
      </c>
      <c r="B20" s="7">
        <f>ROUND(AVERAGE('SKU sales and Inventory'!D21:Q21),0)</f>
        <v>1205</v>
      </c>
      <c r="C20" s="7">
        <f>2*AVERAGE('SKU sales and Inventory'!D21:F21)</f>
        <v>4276</v>
      </c>
      <c r="D20" s="7" t="s">
        <v>824</v>
      </c>
    </row>
    <row r="21" spans="1:4" x14ac:dyDescent="0.3">
      <c r="A21" s="7" t="s">
        <v>73</v>
      </c>
      <c r="B21" s="7">
        <f>ROUND(AVERAGE('SKU sales and Inventory'!D22:Q22),0)</f>
        <v>903</v>
      </c>
      <c r="C21" s="7">
        <f>2*AVERAGE('SKU sales and Inventory'!D22:F22)</f>
        <v>3418</v>
      </c>
      <c r="D21" s="7" t="s">
        <v>824</v>
      </c>
    </row>
    <row r="22" spans="1:4" x14ac:dyDescent="0.3">
      <c r="A22" s="7" t="s">
        <v>74</v>
      </c>
      <c r="B22" s="7">
        <f>ROUND(AVERAGE('SKU sales and Inventory'!D23:Q23),0)</f>
        <v>1653</v>
      </c>
      <c r="C22" s="7">
        <f>2*AVERAGE('SKU sales and Inventory'!D23:F23)</f>
        <v>2502</v>
      </c>
      <c r="D22" s="7" t="s">
        <v>824</v>
      </c>
    </row>
    <row r="23" spans="1:4" x14ac:dyDescent="0.3">
      <c r="A23" s="7" t="s">
        <v>75</v>
      </c>
      <c r="B23" s="7">
        <f>ROUND(AVERAGE('SKU sales and Inventory'!D24:Q24),0)</f>
        <v>1325</v>
      </c>
      <c r="C23" s="7">
        <f>2*AVERAGE('SKU sales and Inventory'!D24:F24)</f>
        <v>3748</v>
      </c>
      <c r="D23" s="7" t="s">
        <v>824</v>
      </c>
    </row>
    <row r="24" spans="1:4" x14ac:dyDescent="0.3">
      <c r="A24" s="7" t="s">
        <v>76</v>
      </c>
      <c r="B24" s="7">
        <f>ROUND(AVERAGE('SKU sales and Inventory'!D25:Q25),0)</f>
        <v>1312</v>
      </c>
      <c r="C24" s="7">
        <f>2*AVERAGE('SKU sales and Inventory'!D25:F25)</f>
        <v>4754</v>
      </c>
      <c r="D24" s="7" t="s">
        <v>824</v>
      </c>
    </row>
    <row r="25" spans="1:4" x14ac:dyDescent="0.3">
      <c r="A25" s="7" t="s">
        <v>77</v>
      </c>
      <c r="B25" s="7">
        <f>ROUND(AVERAGE('SKU sales and Inventory'!D26:Q26),0)</f>
        <v>1291</v>
      </c>
      <c r="C25" s="7">
        <f>2*AVERAGE('SKU sales and Inventory'!D26:F26)</f>
        <v>3488</v>
      </c>
      <c r="D25" s="7" t="s">
        <v>824</v>
      </c>
    </row>
    <row r="26" spans="1:4" x14ac:dyDescent="0.3">
      <c r="A26" s="7" t="s">
        <v>78</v>
      </c>
      <c r="B26" s="7">
        <f>ROUND(AVERAGE('SKU sales and Inventory'!D27:Q27),0)</f>
        <v>679</v>
      </c>
      <c r="C26" s="7">
        <f>2*AVERAGE('SKU sales and Inventory'!D27:F27)</f>
        <v>2536</v>
      </c>
      <c r="D26" s="7" t="s">
        <v>824</v>
      </c>
    </row>
    <row r="27" spans="1:4" x14ac:dyDescent="0.3">
      <c r="A27" s="7" t="s">
        <v>79</v>
      </c>
      <c r="B27" s="7">
        <f>ROUND(AVERAGE('SKU sales and Inventory'!D28:Q28),0)</f>
        <v>860</v>
      </c>
      <c r="C27" s="7">
        <f>2*AVERAGE('SKU sales and Inventory'!D28:F28)</f>
        <v>3036</v>
      </c>
      <c r="D27" s="7" t="s">
        <v>824</v>
      </c>
    </row>
    <row r="28" spans="1:4" x14ac:dyDescent="0.3">
      <c r="A28" s="7" t="s">
        <v>80</v>
      </c>
      <c r="B28" s="7">
        <f>ROUND(AVERAGE('SKU sales and Inventory'!D29:Q29),0)</f>
        <v>708</v>
      </c>
      <c r="C28" s="7">
        <f>2*AVERAGE('SKU sales and Inventory'!D29:F29)</f>
        <v>2226</v>
      </c>
      <c r="D28" s="7" t="s">
        <v>824</v>
      </c>
    </row>
    <row r="29" spans="1:4" x14ac:dyDescent="0.3">
      <c r="A29" s="7" t="s">
        <v>81</v>
      </c>
      <c r="B29" s="7">
        <f>ROUND(AVERAGE('SKU sales and Inventory'!D30:Q30),0)</f>
        <v>510</v>
      </c>
      <c r="C29" s="7">
        <f>2*AVERAGE('SKU sales and Inventory'!D30:F30)</f>
        <v>3270</v>
      </c>
      <c r="D29" s="7" t="s">
        <v>824</v>
      </c>
    </row>
    <row r="30" spans="1:4" x14ac:dyDescent="0.3">
      <c r="A30" s="7" t="s">
        <v>82</v>
      </c>
      <c r="B30" s="7">
        <f>ROUND(AVERAGE('SKU sales and Inventory'!D31:Q31),0)</f>
        <v>1082</v>
      </c>
      <c r="C30" s="7">
        <f>2*AVERAGE('SKU sales and Inventory'!D31:F31)</f>
        <v>2754</v>
      </c>
      <c r="D30" s="7" t="s">
        <v>824</v>
      </c>
    </row>
    <row r="31" spans="1:4" x14ac:dyDescent="0.3">
      <c r="A31" s="7" t="s">
        <v>83</v>
      </c>
      <c r="B31" s="7">
        <f>ROUND(AVERAGE('SKU sales and Inventory'!D32:Q32),0)</f>
        <v>590</v>
      </c>
      <c r="C31" s="7">
        <f>2*AVERAGE('SKU sales and Inventory'!D32:F32)</f>
        <v>1044</v>
      </c>
      <c r="D31" s="7" t="s">
        <v>824</v>
      </c>
    </row>
    <row r="32" spans="1:4" x14ac:dyDescent="0.3">
      <c r="A32" s="7" t="s">
        <v>84</v>
      </c>
      <c r="B32" s="7">
        <f>ROUND(AVERAGE('SKU sales and Inventory'!D33:Q33),0)</f>
        <v>1132</v>
      </c>
      <c r="C32" s="7">
        <f>2*AVERAGE('SKU sales and Inventory'!D33:F33)</f>
        <v>3026</v>
      </c>
      <c r="D32" s="7" t="s">
        <v>824</v>
      </c>
    </row>
    <row r="33" spans="1:4" x14ac:dyDescent="0.3">
      <c r="A33" s="7" t="s">
        <v>85</v>
      </c>
      <c r="B33" s="7">
        <f>ROUND(AVERAGE('SKU sales and Inventory'!D34:Q34),0)</f>
        <v>620</v>
      </c>
      <c r="C33" s="7">
        <f>2*AVERAGE('SKU sales and Inventory'!D34:F34)</f>
        <v>3688</v>
      </c>
      <c r="D33" s="7" t="s">
        <v>824</v>
      </c>
    </row>
    <row r="34" spans="1:4" x14ac:dyDescent="0.3">
      <c r="A34" s="7" t="s">
        <v>86</v>
      </c>
      <c r="B34" s="7">
        <f>ROUND(AVERAGE('SKU sales and Inventory'!D35:Q35),0)</f>
        <v>1182</v>
      </c>
      <c r="C34" s="7">
        <f>2*AVERAGE('SKU sales and Inventory'!D35:F35)</f>
        <v>2670</v>
      </c>
      <c r="D34" s="7" t="s">
        <v>824</v>
      </c>
    </row>
    <row r="35" spans="1:4" x14ac:dyDescent="0.3">
      <c r="A35" s="7" t="s">
        <v>87</v>
      </c>
      <c r="B35" s="7">
        <f>ROUND(AVERAGE('SKU sales and Inventory'!D36:Q36),0)</f>
        <v>681</v>
      </c>
      <c r="C35" s="7">
        <f>2*AVERAGE('SKU sales and Inventory'!D36:F36)</f>
        <v>2122</v>
      </c>
      <c r="D35" s="7" t="s">
        <v>824</v>
      </c>
    </row>
    <row r="36" spans="1:4" x14ac:dyDescent="0.3">
      <c r="A36" s="7" t="s">
        <v>88</v>
      </c>
      <c r="B36" s="7">
        <f>ROUND(AVERAGE('SKU sales and Inventory'!D37:Q37),0)</f>
        <v>816</v>
      </c>
      <c r="C36" s="7">
        <f>2*AVERAGE('SKU sales and Inventory'!D37:F37)</f>
        <v>2942</v>
      </c>
      <c r="D36" s="7" t="s">
        <v>824</v>
      </c>
    </row>
    <row r="37" spans="1:4" x14ac:dyDescent="0.3">
      <c r="A37" s="7" t="s">
        <v>89</v>
      </c>
      <c r="B37" s="7">
        <f>ROUND(AVERAGE('SKU sales and Inventory'!D38:Q38),0)</f>
        <v>1569</v>
      </c>
      <c r="C37" s="7">
        <f>2*AVERAGE('SKU sales and Inventory'!D38:F38)</f>
        <v>2440</v>
      </c>
      <c r="D37" s="7" t="s">
        <v>824</v>
      </c>
    </row>
    <row r="38" spans="1:4" x14ac:dyDescent="0.3">
      <c r="A38" s="7" t="s">
        <v>90</v>
      </c>
      <c r="B38" s="7">
        <f>ROUND(AVERAGE('SKU sales and Inventory'!D39:Q39),0)</f>
        <v>849</v>
      </c>
      <c r="C38" s="7">
        <f>2*AVERAGE('SKU sales and Inventory'!D39:F39)</f>
        <v>1936</v>
      </c>
      <c r="D38" s="7" t="s">
        <v>824</v>
      </c>
    </row>
    <row r="39" spans="1:4" x14ac:dyDescent="0.3">
      <c r="A39" s="7" t="s">
        <v>91</v>
      </c>
      <c r="B39" s="7">
        <f>ROUND(AVERAGE('SKU sales and Inventory'!D40:Q40),0)</f>
        <v>370</v>
      </c>
      <c r="C39" s="7">
        <f>2*AVERAGE('SKU sales and Inventory'!D40:F40)</f>
        <v>2220</v>
      </c>
      <c r="D39" s="7" t="s">
        <v>824</v>
      </c>
    </row>
    <row r="40" spans="1:4" x14ac:dyDescent="0.3">
      <c r="A40" s="7" t="s">
        <v>92</v>
      </c>
      <c r="B40" s="7">
        <f>ROUND(AVERAGE('SKU sales and Inventory'!D41:Q41),0)</f>
        <v>619</v>
      </c>
      <c r="C40" s="7">
        <f>2*AVERAGE('SKU sales and Inventory'!D41:F41)</f>
        <v>2462</v>
      </c>
      <c r="D40" s="7" t="s">
        <v>824</v>
      </c>
    </row>
    <row r="41" spans="1:4" x14ac:dyDescent="0.3">
      <c r="A41" s="7" t="s">
        <v>93</v>
      </c>
      <c r="B41" s="7">
        <f>ROUND(AVERAGE('SKU sales and Inventory'!D42:Q42),0)</f>
        <v>996</v>
      </c>
      <c r="C41" s="7">
        <f>2*AVERAGE('SKU sales and Inventory'!D42:F42)</f>
        <v>2820</v>
      </c>
      <c r="D41" s="7" t="s">
        <v>824</v>
      </c>
    </row>
    <row r="42" spans="1:4" x14ac:dyDescent="0.3">
      <c r="A42" s="7" t="s">
        <v>94</v>
      </c>
      <c r="B42" s="7">
        <f>ROUND(AVERAGE('SKU sales and Inventory'!D43:Q43),0)</f>
        <v>1101</v>
      </c>
      <c r="C42" s="7">
        <f>2*AVERAGE('SKU sales and Inventory'!D43:F43)</f>
        <v>2702</v>
      </c>
      <c r="D42" s="7" t="s">
        <v>824</v>
      </c>
    </row>
    <row r="43" spans="1:4" x14ac:dyDescent="0.3">
      <c r="A43" s="7" t="s">
        <v>95</v>
      </c>
      <c r="B43" s="7">
        <f>ROUND(AVERAGE('SKU sales and Inventory'!D44:Q44),0)</f>
        <v>738</v>
      </c>
      <c r="C43" s="7">
        <f>2*AVERAGE('SKU sales and Inventory'!D44:F44)</f>
        <v>2658</v>
      </c>
      <c r="D43" s="7" t="s">
        <v>824</v>
      </c>
    </row>
    <row r="44" spans="1:4" x14ac:dyDescent="0.3">
      <c r="A44" s="7" t="s">
        <v>96</v>
      </c>
      <c r="B44" s="7">
        <f>ROUND(AVERAGE('SKU sales and Inventory'!D45:Q45),0)</f>
        <v>150</v>
      </c>
      <c r="C44" s="7">
        <f>2*AVERAGE('SKU sales and Inventory'!D45:F45)</f>
        <v>1202</v>
      </c>
      <c r="D44" s="7" t="s">
        <v>824</v>
      </c>
    </row>
    <row r="45" spans="1:4" x14ac:dyDescent="0.3">
      <c r="A45" s="7" t="s">
        <v>97</v>
      </c>
      <c r="B45" s="7">
        <f>ROUND(AVERAGE('SKU sales and Inventory'!D46:Q46),0)</f>
        <v>791</v>
      </c>
      <c r="C45" s="7">
        <f>2*AVERAGE('SKU sales and Inventory'!D46:F46)</f>
        <v>2640</v>
      </c>
      <c r="D45" s="7" t="s">
        <v>824</v>
      </c>
    </row>
    <row r="46" spans="1:4" x14ac:dyDescent="0.3">
      <c r="A46" s="7" t="s">
        <v>98</v>
      </c>
      <c r="B46" s="7">
        <f>ROUND(AVERAGE('SKU sales and Inventory'!D47:Q47),0)</f>
        <v>140</v>
      </c>
      <c r="C46" s="7">
        <f>2*AVERAGE('SKU sales and Inventory'!D47:F47)</f>
        <v>1126</v>
      </c>
      <c r="D46" s="7" t="s">
        <v>824</v>
      </c>
    </row>
    <row r="47" spans="1:4" x14ac:dyDescent="0.3">
      <c r="A47" s="7" t="s">
        <v>99</v>
      </c>
      <c r="B47" s="7">
        <f>ROUND(AVERAGE('SKU sales and Inventory'!D48:Q48),0)</f>
        <v>1164</v>
      </c>
      <c r="C47" s="7">
        <f>2*AVERAGE('SKU sales and Inventory'!D48:F48)</f>
        <v>2026</v>
      </c>
      <c r="D47" s="7" t="s">
        <v>824</v>
      </c>
    </row>
    <row r="48" spans="1:4" x14ac:dyDescent="0.3">
      <c r="A48" s="7" t="s">
        <v>100</v>
      </c>
      <c r="B48" s="7">
        <f>ROUND(AVERAGE('SKU sales and Inventory'!D49:Q49),0)</f>
        <v>173</v>
      </c>
      <c r="C48" s="7">
        <f>2*AVERAGE('SKU sales and Inventory'!D49:F49)</f>
        <v>1608</v>
      </c>
      <c r="D48" s="7" t="s">
        <v>824</v>
      </c>
    </row>
    <row r="49" spans="1:4" x14ac:dyDescent="0.3">
      <c r="A49" s="7" t="s">
        <v>101</v>
      </c>
      <c r="B49" s="7">
        <f>ROUND(AVERAGE('SKU sales and Inventory'!D50:Q50),0)</f>
        <v>1069</v>
      </c>
      <c r="C49" s="7">
        <f>2*AVERAGE('SKU sales and Inventory'!D50:F50)</f>
        <v>2684</v>
      </c>
      <c r="D49" s="7" t="s">
        <v>824</v>
      </c>
    </row>
    <row r="50" spans="1:4" x14ac:dyDescent="0.3">
      <c r="A50" s="7" t="s">
        <v>102</v>
      </c>
      <c r="B50" s="7">
        <f>ROUND(AVERAGE('SKU sales and Inventory'!D51:Q51),0)</f>
        <v>521</v>
      </c>
      <c r="C50" s="7">
        <f>2*AVERAGE('SKU sales and Inventory'!D51:F51)</f>
        <v>2038</v>
      </c>
      <c r="D50" s="7" t="s">
        <v>824</v>
      </c>
    </row>
    <row r="51" spans="1:4" x14ac:dyDescent="0.3">
      <c r="A51" s="7" t="s">
        <v>103</v>
      </c>
      <c r="B51" s="7">
        <f>ROUND(AVERAGE('SKU sales and Inventory'!D52:Q52),0)</f>
        <v>782</v>
      </c>
      <c r="C51" s="7">
        <f>2*AVERAGE('SKU sales and Inventory'!D52:F52)</f>
        <v>2300</v>
      </c>
      <c r="D51" s="7" t="s">
        <v>824</v>
      </c>
    </row>
    <row r="52" spans="1:4" x14ac:dyDescent="0.3">
      <c r="A52" s="7" t="s">
        <v>104</v>
      </c>
      <c r="B52" s="7">
        <f>ROUND(AVERAGE('SKU sales and Inventory'!D53:Q53),0)</f>
        <v>802</v>
      </c>
      <c r="C52" s="7">
        <f>2*AVERAGE('SKU sales and Inventory'!D53:F53)</f>
        <v>2368</v>
      </c>
      <c r="D52" s="7" t="s">
        <v>824</v>
      </c>
    </row>
    <row r="53" spans="1:4" x14ac:dyDescent="0.3">
      <c r="A53" s="7" t="s">
        <v>105</v>
      </c>
      <c r="B53" s="7">
        <f>ROUND(AVERAGE('SKU sales and Inventory'!D54:Q54),0)</f>
        <v>721</v>
      </c>
      <c r="C53" s="7">
        <f>2*AVERAGE('SKU sales and Inventory'!D54:F54)</f>
        <v>2524</v>
      </c>
      <c r="D53" s="7" t="s">
        <v>824</v>
      </c>
    </row>
    <row r="54" spans="1:4" x14ac:dyDescent="0.3">
      <c r="A54" s="7" t="s">
        <v>106</v>
      </c>
      <c r="B54" s="7">
        <f>ROUND(AVERAGE('SKU sales and Inventory'!D55:Q55),0)</f>
        <v>990</v>
      </c>
      <c r="C54" s="7">
        <f>2*AVERAGE('SKU sales and Inventory'!D55:F55)</f>
        <v>1058</v>
      </c>
      <c r="D54" s="7" t="s">
        <v>824</v>
      </c>
    </row>
    <row r="55" spans="1:4" x14ac:dyDescent="0.3">
      <c r="A55" s="7" t="s">
        <v>107</v>
      </c>
      <c r="B55" s="7">
        <f>ROUND(AVERAGE('SKU sales and Inventory'!D56:Q56),0)</f>
        <v>948</v>
      </c>
      <c r="C55" s="7">
        <f>2*AVERAGE('SKU sales and Inventory'!D56:F56)</f>
        <v>2112</v>
      </c>
      <c r="D55" s="7" t="s">
        <v>824</v>
      </c>
    </row>
    <row r="56" spans="1:4" x14ac:dyDescent="0.3">
      <c r="A56" s="7" t="s">
        <v>108</v>
      </c>
      <c r="B56" s="7">
        <f>ROUND(AVERAGE('SKU sales and Inventory'!D57:Q57),0)</f>
        <v>338</v>
      </c>
      <c r="C56" s="7">
        <f>2*AVERAGE('SKU sales and Inventory'!D57:F57)</f>
        <v>1036</v>
      </c>
      <c r="D56" s="7" t="s">
        <v>824</v>
      </c>
    </row>
    <row r="57" spans="1:4" x14ac:dyDescent="0.3">
      <c r="A57" s="7" t="s">
        <v>109</v>
      </c>
      <c r="B57" s="7">
        <f>ROUND(AVERAGE('SKU sales and Inventory'!D58:Q58),0)</f>
        <v>797</v>
      </c>
      <c r="C57" s="7">
        <f>2*AVERAGE('SKU sales and Inventory'!D58:F58)</f>
        <v>2162</v>
      </c>
      <c r="D57" s="7" t="s">
        <v>824</v>
      </c>
    </row>
    <row r="58" spans="1:4" x14ac:dyDescent="0.3">
      <c r="A58" s="7" t="s">
        <v>110</v>
      </c>
      <c r="B58" s="7">
        <f>ROUND(AVERAGE('SKU sales and Inventory'!D59:Q59),0)</f>
        <v>95</v>
      </c>
      <c r="C58" s="7">
        <f>2*AVERAGE('SKU sales and Inventory'!D59:F59)</f>
        <v>884</v>
      </c>
      <c r="D58" s="7" t="s">
        <v>824</v>
      </c>
    </row>
    <row r="59" spans="1:4" x14ac:dyDescent="0.3">
      <c r="A59" s="7" t="s">
        <v>111</v>
      </c>
      <c r="B59" s="7">
        <f>ROUND(AVERAGE('SKU sales and Inventory'!D60:Q60),0)</f>
        <v>416</v>
      </c>
      <c r="C59" s="7">
        <f>2*AVERAGE('SKU sales and Inventory'!D60:F60)</f>
        <v>2148</v>
      </c>
      <c r="D59" s="7" t="s">
        <v>824</v>
      </c>
    </row>
    <row r="60" spans="1:4" x14ac:dyDescent="0.3">
      <c r="A60" s="7" t="s">
        <v>112</v>
      </c>
      <c r="B60" s="7">
        <f>ROUND(AVERAGE('SKU sales and Inventory'!D61:Q61),0)</f>
        <v>451</v>
      </c>
      <c r="C60" s="7">
        <f>2*AVERAGE('SKU sales and Inventory'!D61:F61)</f>
        <v>2388</v>
      </c>
      <c r="D60" s="7" t="s">
        <v>824</v>
      </c>
    </row>
    <row r="61" spans="1:4" x14ac:dyDescent="0.3">
      <c r="A61" s="7" t="s">
        <v>113</v>
      </c>
      <c r="B61" s="7">
        <f>ROUND(AVERAGE('SKU sales and Inventory'!D62:Q62),0)</f>
        <v>812</v>
      </c>
      <c r="C61" s="7">
        <f>2*AVERAGE('SKU sales and Inventory'!D62:F62)</f>
        <v>2670</v>
      </c>
      <c r="D61" s="7" t="s">
        <v>824</v>
      </c>
    </row>
    <row r="62" spans="1:4" x14ac:dyDescent="0.3">
      <c r="A62" s="7" t="s">
        <v>114</v>
      </c>
      <c r="B62" s="7">
        <f>ROUND(AVERAGE('SKU sales and Inventory'!D63:Q63),0)</f>
        <v>521</v>
      </c>
      <c r="C62" s="7">
        <f>2*AVERAGE('SKU sales and Inventory'!D63:F63)</f>
        <v>2836</v>
      </c>
      <c r="D62" s="7" t="s">
        <v>824</v>
      </c>
    </row>
    <row r="63" spans="1:4" x14ac:dyDescent="0.3">
      <c r="A63" s="7" t="s">
        <v>115</v>
      </c>
      <c r="B63" s="7">
        <f>ROUND(AVERAGE('SKU sales and Inventory'!D64:Q64),0)</f>
        <v>1127</v>
      </c>
      <c r="C63" s="7">
        <f>2*AVERAGE('SKU sales and Inventory'!D64:F64)</f>
        <v>2348</v>
      </c>
      <c r="D63" s="7" t="s">
        <v>824</v>
      </c>
    </row>
    <row r="64" spans="1:4" x14ac:dyDescent="0.3">
      <c r="A64" s="7" t="s">
        <v>116</v>
      </c>
      <c r="B64" s="7">
        <f>ROUND(AVERAGE('SKU sales and Inventory'!D65:Q65),0)</f>
        <v>228</v>
      </c>
      <c r="C64" s="7">
        <f>2*AVERAGE('SKU sales and Inventory'!D65:F65)</f>
        <v>1232</v>
      </c>
      <c r="D64" s="7" t="s">
        <v>824</v>
      </c>
    </row>
    <row r="65" spans="1:4" x14ac:dyDescent="0.3">
      <c r="A65" s="7" t="s">
        <v>117</v>
      </c>
      <c r="B65" s="7">
        <f>ROUND(AVERAGE('SKU sales and Inventory'!D66:Q66),0)</f>
        <v>790</v>
      </c>
      <c r="C65" s="7">
        <f>2*AVERAGE('SKU sales and Inventory'!D66:F66)</f>
        <v>2444</v>
      </c>
      <c r="D65" s="7" t="s">
        <v>824</v>
      </c>
    </row>
    <row r="66" spans="1:4" x14ac:dyDescent="0.3">
      <c r="A66" s="7" t="s">
        <v>118</v>
      </c>
      <c r="B66" s="7">
        <f>ROUND(AVERAGE('SKU sales and Inventory'!D67:Q67),0)</f>
        <v>1186</v>
      </c>
      <c r="C66" s="7">
        <f>2*AVERAGE('SKU sales and Inventory'!D67:F67)</f>
        <v>2596</v>
      </c>
      <c r="D66" s="7" t="s">
        <v>824</v>
      </c>
    </row>
    <row r="67" spans="1:4" x14ac:dyDescent="0.3">
      <c r="A67" s="7" t="s">
        <v>119</v>
      </c>
      <c r="B67" s="7">
        <f>ROUND(AVERAGE('SKU sales and Inventory'!D68:Q68),0)</f>
        <v>1053</v>
      </c>
      <c r="C67" s="7">
        <f>2*AVERAGE('SKU sales and Inventory'!D68:F68)</f>
        <v>2328</v>
      </c>
      <c r="D67" s="7" t="s">
        <v>824</v>
      </c>
    </row>
    <row r="68" spans="1:4" x14ac:dyDescent="0.3">
      <c r="A68" s="7" t="s">
        <v>120</v>
      </c>
      <c r="B68" s="7">
        <f>ROUND(AVERAGE('SKU sales and Inventory'!D69:Q69),0)</f>
        <v>1101</v>
      </c>
      <c r="C68" s="7">
        <f>2*AVERAGE('SKU sales and Inventory'!D69:F69)</f>
        <v>1852</v>
      </c>
      <c r="D68" s="7" t="s">
        <v>824</v>
      </c>
    </row>
    <row r="69" spans="1:4" x14ac:dyDescent="0.3">
      <c r="A69" s="7" t="s">
        <v>121</v>
      </c>
      <c r="B69" s="7">
        <f>ROUND(AVERAGE('SKU sales and Inventory'!D70:Q70),0)</f>
        <v>753</v>
      </c>
      <c r="C69" s="7">
        <f>2*AVERAGE('SKU sales and Inventory'!D70:F70)</f>
        <v>1770</v>
      </c>
      <c r="D69" s="7" t="s">
        <v>824</v>
      </c>
    </row>
    <row r="70" spans="1:4" x14ac:dyDescent="0.3">
      <c r="A70" s="7" t="s">
        <v>122</v>
      </c>
      <c r="B70" s="7">
        <f>ROUND(AVERAGE('SKU sales and Inventory'!D71:Q71),0)</f>
        <v>939</v>
      </c>
      <c r="C70" s="7">
        <f>2*AVERAGE('SKU sales and Inventory'!D71:F71)</f>
        <v>2684</v>
      </c>
      <c r="D70" s="7" t="s">
        <v>824</v>
      </c>
    </row>
    <row r="71" spans="1:4" x14ac:dyDescent="0.3">
      <c r="A71" s="7" t="s">
        <v>123</v>
      </c>
      <c r="B71" s="7">
        <f>ROUND(AVERAGE('SKU sales and Inventory'!D72:Q72),0)</f>
        <v>217</v>
      </c>
      <c r="C71" s="7">
        <f>2*AVERAGE('SKU sales and Inventory'!D72:F72)</f>
        <v>1312</v>
      </c>
      <c r="D71" s="7" t="s">
        <v>824</v>
      </c>
    </row>
    <row r="72" spans="1:4" x14ac:dyDescent="0.3">
      <c r="A72" s="7" t="s">
        <v>124</v>
      </c>
      <c r="B72" s="7">
        <f>ROUND(AVERAGE('SKU sales and Inventory'!D73:Q73),0)</f>
        <v>363</v>
      </c>
      <c r="C72" s="7">
        <f>2*AVERAGE('SKU sales and Inventory'!D73:F73)</f>
        <v>1676</v>
      </c>
      <c r="D72" s="7" t="s">
        <v>824</v>
      </c>
    </row>
    <row r="73" spans="1:4" x14ac:dyDescent="0.3">
      <c r="A73" s="7" t="s">
        <v>125</v>
      </c>
      <c r="B73" s="7">
        <f>ROUND(AVERAGE('SKU sales and Inventory'!D74:Q74),0)</f>
        <v>734</v>
      </c>
      <c r="C73" s="7">
        <f>2*AVERAGE('SKU sales and Inventory'!D74:F74)</f>
        <v>1584</v>
      </c>
      <c r="D73" s="7" t="s">
        <v>824</v>
      </c>
    </row>
    <row r="74" spans="1:4" x14ac:dyDescent="0.3">
      <c r="A74" s="7" t="s">
        <v>126</v>
      </c>
      <c r="B74" s="7">
        <f>ROUND(AVERAGE('SKU sales and Inventory'!D75:Q75),0)</f>
        <v>555</v>
      </c>
      <c r="C74" s="7">
        <f>2*AVERAGE('SKU sales and Inventory'!D75:F75)</f>
        <v>1944</v>
      </c>
      <c r="D74" s="7" t="s">
        <v>824</v>
      </c>
    </row>
    <row r="75" spans="1:4" x14ac:dyDescent="0.3">
      <c r="A75" s="7" t="s">
        <v>127</v>
      </c>
      <c r="B75" s="7">
        <f>ROUND(AVERAGE('SKU sales and Inventory'!D76:Q76),0)</f>
        <v>223</v>
      </c>
      <c r="C75" s="7">
        <f>2*AVERAGE('SKU sales and Inventory'!D76:F76)</f>
        <v>1258</v>
      </c>
      <c r="D75" s="7" t="s">
        <v>824</v>
      </c>
    </row>
    <row r="76" spans="1:4" x14ac:dyDescent="0.3">
      <c r="A76" s="7" t="s">
        <v>128</v>
      </c>
      <c r="B76" s="7">
        <f>ROUND(AVERAGE('SKU sales and Inventory'!D77:Q77),0)</f>
        <v>623</v>
      </c>
      <c r="C76" s="7">
        <f>2*AVERAGE('SKU sales and Inventory'!D77:F77)</f>
        <v>1428</v>
      </c>
      <c r="D76" s="7" t="s">
        <v>824</v>
      </c>
    </row>
    <row r="77" spans="1:4" x14ac:dyDescent="0.3">
      <c r="A77" s="7" t="s">
        <v>129</v>
      </c>
      <c r="B77" s="7">
        <f>ROUND(AVERAGE('SKU sales and Inventory'!D78:Q78),0)</f>
        <v>290</v>
      </c>
      <c r="C77" s="7">
        <f>2*AVERAGE('SKU sales and Inventory'!D78:F78)</f>
        <v>1370</v>
      </c>
      <c r="D77" s="7" t="s">
        <v>824</v>
      </c>
    </row>
    <row r="78" spans="1:4" x14ac:dyDescent="0.3">
      <c r="A78" s="7" t="s">
        <v>130</v>
      </c>
      <c r="B78" s="7">
        <f>ROUND(AVERAGE('SKU sales and Inventory'!D79:Q79),0)</f>
        <v>362</v>
      </c>
      <c r="C78" s="7">
        <f>2*AVERAGE('SKU sales and Inventory'!D79:F79)</f>
        <v>1400</v>
      </c>
      <c r="D78" s="7" t="s">
        <v>824</v>
      </c>
    </row>
    <row r="79" spans="1:4" x14ac:dyDescent="0.3">
      <c r="A79" s="7" t="s">
        <v>131</v>
      </c>
      <c r="B79" s="7">
        <f>ROUND(AVERAGE('SKU sales and Inventory'!D80:Q80),0)</f>
        <v>293</v>
      </c>
      <c r="C79" s="7">
        <f>2*AVERAGE('SKU sales and Inventory'!D80:F80)</f>
        <v>852</v>
      </c>
      <c r="D79" s="7" t="s">
        <v>824</v>
      </c>
    </row>
    <row r="80" spans="1:4" x14ac:dyDescent="0.3">
      <c r="A80" s="7" t="s">
        <v>132</v>
      </c>
      <c r="B80" s="7">
        <f>ROUND(AVERAGE('SKU sales and Inventory'!D81:Q81),0)</f>
        <v>699</v>
      </c>
      <c r="C80" s="7">
        <f>2*AVERAGE('SKU sales and Inventory'!D81:F81)</f>
        <v>1692</v>
      </c>
      <c r="D80" s="7" t="s">
        <v>824</v>
      </c>
    </row>
    <row r="81" spans="1:4" x14ac:dyDescent="0.3">
      <c r="A81" s="7" t="s">
        <v>133</v>
      </c>
      <c r="B81" s="7">
        <f>ROUND(AVERAGE('SKU sales and Inventory'!D82:Q82),0)</f>
        <v>299</v>
      </c>
      <c r="C81" s="7">
        <f>2*AVERAGE('SKU sales and Inventory'!D82:F82)</f>
        <v>1246</v>
      </c>
      <c r="D81" s="7" t="s">
        <v>824</v>
      </c>
    </row>
    <row r="82" spans="1:4" x14ac:dyDescent="0.3">
      <c r="A82" s="7" t="s">
        <v>134</v>
      </c>
      <c r="B82" s="7">
        <f>ROUND(AVERAGE('SKU sales and Inventory'!D83:Q83),0)</f>
        <v>95</v>
      </c>
      <c r="C82" s="7">
        <f>2*AVERAGE('SKU sales and Inventory'!D83:F83)</f>
        <v>890</v>
      </c>
      <c r="D82" s="7" t="s">
        <v>824</v>
      </c>
    </row>
    <row r="83" spans="1:4" x14ac:dyDescent="0.3">
      <c r="A83" s="7" t="s">
        <v>135</v>
      </c>
      <c r="B83" s="7">
        <f>ROUND(AVERAGE('SKU sales and Inventory'!D84:Q84),0)</f>
        <v>106</v>
      </c>
      <c r="C83" s="7">
        <f>2*AVERAGE('SKU sales and Inventory'!D84:F84)</f>
        <v>984</v>
      </c>
      <c r="D83" s="7" t="s">
        <v>824</v>
      </c>
    </row>
    <row r="84" spans="1:4" x14ac:dyDescent="0.3">
      <c r="A84" s="7" t="s">
        <v>136</v>
      </c>
      <c r="B84" s="7">
        <f>ROUND(AVERAGE('SKU sales and Inventory'!D85:Q85),0)</f>
        <v>539</v>
      </c>
      <c r="C84" s="7">
        <f>2*AVERAGE('SKU sales and Inventory'!D85:F85)</f>
        <v>1142</v>
      </c>
      <c r="D84" s="7" t="s">
        <v>824</v>
      </c>
    </row>
    <row r="85" spans="1:4" x14ac:dyDescent="0.3">
      <c r="A85" s="7" t="s">
        <v>137</v>
      </c>
      <c r="B85" s="7">
        <f>ROUND(AVERAGE('SKU sales and Inventory'!D86:Q86),0)</f>
        <v>815</v>
      </c>
      <c r="C85" s="7">
        <f>2*AVERAGE('SKU sales and Inventory'!D86:F86)</f>
        <v>1600</v>
      </c>
      <c r="D85" s="7" t="s">
        <v>824</v>
      </c>
    </row>
    <row r="86" spans="1:4" x14ac:dyDescent="0.3">
      <c r="A86" s="7" t="s">
        <v>138</v>
      </c>
      <c r="B86" s="7">
        <f>ROUND(AVERAGE('SKU sales and Inventory'!D87:Q87),0)</f>
        <v>263</v>
      </c>
      <c r="C86" s="7">
        <f>2*AVERAGE('SKU sales and Inventory'!D87:F87)</f>
        <v>1186</v>
      </c>
      <c r="D86" s="7" t="s">
        <v>824</v>
      </c>
    </row>
    <row r="87" spans="1:4" x14ac:dyDescent="0.3">
      <c r="A87" s="7" t="s">
        <v>139</v>
      </c>
      <c r="B87" s="7">
        <f>ROUND(AVERAGE('SKU sales and Inventory'!D88:Q88),0)</f>
        <v>414</v>
      </c>
      <c r="C87" s="7">
        <f>2*AVERAGE('SKU sales and Inventory'!D88:F88)</f>
        <v>732</v>
      </c>
      <c r="D87" s="7" t="s">
        <v>824</v>
      </c>
    </row>
    <row r="88" spans="1:4" x14ac:dyDescent="0.3">
      <c r="A88" s="7" t="s">
        <v>140</v>
      </c>
      <c r="B88" s="7">
        <f>ROUND(AVERAGE('SKU sales and Inventory'!D89:Q89),0)</f>
        <v>828</v>
      </c>
      <c r="C88" s="7">
        <f>2*AVERAGE('SKU sales and Inventory'!D89:F89)</f>
        <v>1662</v>
      </c>
      <c r="D88" s="7" t="s">
        <v>824</v>
      </c>
    </row>
    <row r="89" spans="1:4" x14ac:dyDescent="0.3">
      <c r="A89" s="7" t="s">
        <v>141</v>
      </c>
      <c r="B89" s="7">
        <f>ROUND(AVERAGE('SKU sales and Inventory'!D90:Q90),0)</f>
        <v>245</v>
      </c>
      <c r="C89" s="7">
        <f>2*AVERAGE('SKU sales and Inventory'!D90:F90)</f>
        <v>1398</v>
      </c>
      <c r="D89" s="7" t="s">
        <v>824</v>
      </c>
    </row>
    <row r="90" spans="1:4" x14ac:dyDescent="0.3">
      <c r="A90" s="7" t="s">
        <v>142</v>
      </c>
      <c r="B90" s="7">
        <f>ROUND(AVERAGE('SKU sales and Inventory'!D91:Q91),0)</f>
        <v>39</v>
      </c>
      <c r="C90" s="7">
        <f>2*AVERAGE('SKU sales and Inventory'!D91:F91)</f>
        <v>362</v>
      </c>
      <c r="D90" s="7" t="s">
        <v>824</v>
      </c>
    </row>
    <row r="91" spans="1:4" x14ac:dyDescent="0.3">
      <c r="A91" s="7" t="s">
        <v>143</v>
      </c>
      <c r="B91" s="7">
        <f>ROUND(AVERAGE('SKU sales and Inventory'!D92:Q92),0)</f>
        <v>441</v>
      </c>
      <c r="C91" s="7">
        <f>2*AVERAGE('SKU sales and Inventory'!D92:F92)</f>
        <v>908</v>
      </c>
      <c r="D91" s="7" t="s">
        <v>824</v>
      </c>
    </row>
    <row r="92" spans="1:4" x14ac:dyDescent="0.3">
      <c r="A92" s="7" t="s">
        <v>144</v>
      </c>
      <c r="B92" s="7">
        <f>ROUND(AVERAGE('SKU sales and Inventory'!D93:Q93),0)</f>
        <v>467</v>
      </c>
      <c r="C92" s="7">
        <f>2*AVERAGE('SKU sales and Inventory'!D93:F93)</f>
        <v>1866</v>
      </c>
      <c r="D92" s="7" t="s">
        <v>824</v>
      </c>
    </row>
    <row r="93" spans="1:4" x14ac:dyDescent="0.3">
      <c r="A93" s="7" t="s">
        <v>145</v>
      </c>
      <c r="B93" s="7">
        <f>ROUND(AVERAGE('SKU sales and Inventory'!D94:Q94),0)</f>
        <v>648</v>
      </c>
      <c r="C93" s="7">
        <f>2*AVERAGE('SKU sales and Inventory'!D94:F94)</f>
        <v>1442</v>
      </c>
      <c r="D93" s="7" t="s">
        <v>824</v>
      </c>
    </row>
    <row r="94" spans="1:4" x14ac:dyDescent="0.3">
      <c r="A94" s="7" t="s">
        <v>146</v>
      </c>
      <c r="B94" s="7">
        <f>ROUND(AVERAGE('SKU sales and Inventory'!D95:Q95),0)</f>
        <v>411</v>
      </c>
      <c r="C94" s="7">
        <f>2*AVERAGE('SKU sales and Inventory'!D95:F95)</f>
        <v>1066</v>
      </c>
      <c r="D94" s="7" t="s">
        <v>824</v>
      </c>
    </row>
    <row r="95" spans="1:4" x14ac:dyDescent="0.3">
      <c r="A95" s="7" t="s">
        <v>147</v>
      </c>
      <c r="B95" s="7">
        <f>ROUND(AVERAGE('SKU sales and Inventory'!D96:Q96),0)</f>
        <v>690</v>
      </c>
      <c r="C95" s="7">
        <f>2*AVERAGE('SKU sales and Inventory'!D96:F96)</f>
        <v>1530</v>
      </c>
      <c r="D95" s="7" t="s">
        <v>824</v>
      </c>
    </row>
    <row r="96" spans="1:4" x14ac:dyDescent="0.3">
      <c r="A96" s="7" t="s">
        <v>148</v>
      </c>
      <c r="B96" s="7">
        <f>ROUND(AVERAGE('SKU sales and Inventory'!D97:Q97),0)</f>
        <v>581</v>
      </c>
      <c r="C96" s="7">
        <f>2*AVERAGE('SKU sales and Inventory'!D97:F97)</f>
        <v>1430</v>
      </c>
      <c r="D96" s="7" t="s">
        <v>824</v>
      </c>
    </row>
    <row r="97" spans="1:4" x14ac:dyDescent="0.3">
      <c r="A97" s="7" t="s">
        <v>149</v>
      </c>
      <c r="B97" s="7">
        <f>ROUND(AVERAGE('SKU sales and Inventory'!D98:Q98),0)</f>
        <v>335</v>
      </c>
      <c r="C97" s="7">
        <f>2*AVERAGE('SKU sales and Inventory'!D98:F98)</f>
        <v>1230</v>
      </c>
      <c r="D97" s="7" t="s">
        <v>824</v>
      </c>
    </row>
    <row r="98" spans="1:4" x14ac:dyDescent="0.3">
      <c r="A98" s="7" t="s">
        <v>150</v>
      </c>
      <c r="B98" s="7">
        <f>ROUND(AVERAGE('SKU sales and Inventory'!D99:Q99),0)</f>
        <v>351</v>
      </c>
      <c r="C98" s="7">
        <f>2*AVERAGE('SKU sales and Inventory'!D99:F99)</f>
        <v>1280</v>
      </c>
      <c r="D98" s="7" t="s">
        <v>824</v>
      </c>
    </row>
    <row r="99" spans="1:4" x14ac:dyDescent="0.3">
      <c r="A99" s="7" t="s">
        <v>151</v>
      </c>
      <c r="B99" s="7">
        <f>ROUND(AVERAGE('SKU sales and Inventory'!D100:Q100),0)</f>
        <v>279</v>
      </c>
      <c r="C99" s="7">
        <f>2*AVERAGE('SKU sales and Inventory'!D100:F100)</f>
        <v>1212</v>
      </c>
      <c r="D99" s="7" t="s">
        <v>824</v>
      </c>
    </row>
    <row r="100" spans="1:4" x14ac:dyDescent="0.3">
      <c r="A100" s="7" t="s">
        <v>152</v>
      </c>
      <c r="B100" s="7">
        <f>ROUND(AVERAGE('SKU sales and Inventory'!D101:Q101),0)</f>
        <v>632</v>
      </c>
      <c r="C100" s="7">
        <f>2*AVERAGE('SKU sales and Inventory'!D101:F101)</f>
        <v>1290</v>
      </c>
      <c r="D100" s="7" t="s">
        <v>824</v>
      </c>
    </row>
    <row r="101" spans="1:4" x14ac:dyDescent="0.3">
      <c r="A101" s="7" t="s">
        <v>153</v>
      </c>
      <c r="B101" s="7">
        <f>ROUND(AVERAGE('SKU sales and Inventory'!D102:Q102),0)</f>
        <v>702</v>
      </c>
      <c r="C101" s="7">
        <f>2*AVERAGE('SKU sales and Inventory'!D102:F102)</f>
        <v>1378</v>
      </c>
      <c r="D101" s="7" t="s">
        <v>824</v>
      </c>
    </row>
    <row r="102" spans="1:4" x14ac:dyDescent="0.3">
      <c r="A102" s="7" t="s">
        <v>154</v>
      </c>
      <c r="B102" s="7">
        <f>ROUND(AVERAGE('SKU sales and Inventory'!D103:Q103),0)</f>
        <v>398</v>
      </c>
      <c r="C102" s="7">
        <f>2*AVERAGE('SKU sales and Inventory'!D103:F103)</f>
        <v>1128</v>
      </c>
      <c r="D102" s="7" t="s">
        <v>824</v>
      </c>
    </row>
    <row r="103" spans="1:4" x14ac:dyDescent="0.3">
      <c r="A103" s="7" t="s">
        <v>155</v>
      </c>
      <c r="B103" s="7">
        <f>ROUND(AVERAGE('SKU sales and Inventory'!D104:Q104),0)</f>
        <v>603</v>
      </c>
      <c r="C103" s="7">
        <f>2*AVERAGE('SKU sales and Inventory'!D104:F104)</f>
        <v>1512</v>
      </c>
      <c r="D103" s="7" t="s">
        <v>824</v>
      </c>
    </row>
    <row r="104" spans="1:4" x14ac:dyDescent="0.3">
      <c r="A104" s="7" t="s">
        <v>156</v>
      </c>
      <c r="B104" s="7">
        <f>ROUND(AVERAGE('SKU sales and Inventory'!D105:Q105),0)</f>
        <v>410</v>
      </c>
      <c r="C104" s="7">
        <f>2*AVERAGE('SKU sales and Inventory'!D105:F105)</f>
        <v>1264</v>
      </c>
      <c r="D104" s="7" t="s">
        <v>824</v>
      </c>
    </row>
    <row r="105" spans="1:4" x14ac:dyDescent="0.3">
      <c r="A105" s="7" t="s">
        <v>157</v>
      </c>
      <c r="B105" s="7">
        <f>ROUND(AVERAGE('SKU sales and Inventory'!D106:Q106),0)</f>
        <v>189</v>
      </c>
      <c r="C105" s="7">
        <f>2*AVERAGE('SKU sales and Inventory'!D106:F106)</f>
        <v>952</v>
      </c>
      <c r="D105" s="7" t="s">
        <v>824</v>
      </c>
    </row>
    <row r="106" spans="1:4" x14ac:dyDescent="0.3">
      <c r="A106" s="7" t="s">
        <v>158</v>
      </c>
      <c r="B106" s="7">
        <f>ROUND(AVERAGE('SKU sales and Inventory'!D107:Q107),0)</f>
        <v>184</v>
      </c>
      <c r="C106" s="7">
        <f>2*AVERAGE('SKU sales and Inventory'!D107:F107)</f>
        <v>1154</v>
      </c>
      <c r="D106" s="7" t="s">
        <v>824</v>
      </c>
    </row>
    <row r="107" spans="1:4" x14ac:dyDescent="0.3">
      <c r="A107" s="7" t="s">
        <v>159</v>
      </c>
      <c r="B107" s="7">
        <f>ROUND(AVERAGE('SKU sales and Inventory'!D108:Q108),0)</f>
        <v>328</v>
      </c>
      <c r="C107" s="7">
        <f>2*AVERAGE('SKU sales and Inventory'!D108:F108)</f>
        <v>1540</v>
      </c>
      <c r="D107" s="7" t="s">
        <v>824</v>
      </c>
    </row>
    <row r="108" spans="1:4" x14ac:dyDescent="0.3">
      <c r="A108" s="7" t="s">
        <v>160</v>
      </c>
      <c r="B108" s="7">
        <f>ROUND(AVERAGE('SKU sales and Inventory'!D109:Q109),0)</f>
        <v>88</v>
      </c>
      <c r="C108" s="7">
        <f>2*AVERAGE('SKU sales and Inventory'!D109:F109)</f>
        <v>668</v>
      </c>
      <c r="D108" s="7" t="s">
        <v>824</v>
      </c>
    </row>
    <row r="109" spans="1:4" x14ac:dyDescent="0.3">
      <c r="A109" s="7" t="s">
        <v>161</v>
      </c>
      <c r="B109" s="7">
        <f>ROUND(AVERAGE('SKU sales and Inventory'!D110:Q110),0)</f>
        <v>278</v>
      </c>
      <c r="C109" s="7">
        <f>2*AVERAGE('SKU sales and Inventory'!D110:F110)</f>
        <v>1266</v>
      </c>
      <c r="D109" s="7" t="s">
        <v>824</v>
      </c>
    </row>
    <row r="110" spans="1:4" x14ac:dyDescent="0.3">
      <c r="A110" s="7" t="s">
        <v>162</v>
      </c>
      <c r="B110" s="7">
        <f>ROUND(AVERAGE('SKU sales and Inventory'!D111:Q111),0)</f>
        <v>643</v>
      </c>
      <c r="C110" s="7">
        <f>2*AVERAGE('SKU sales and Inventory'!D111:F111)</f>
        <v>1288</v>
      </c>
      <c r="D110" s="7" t="s">
        <v>824</v>
      </c>
    </row>
    <row r="111" spans="1:4" x14ac:dyDescent="0.3">
      <c r="A111" s="7" t="s">
        <v>163</v>
      </c>
      <c r="B111" s="7">
        <f>ROUND(AVERAGE('SKU sales and Inventory'!D112:Q112),0)</f>
        <v>171</v>
      </c>
      <c r="C111" s="7">
        <f>2*AVERAGE('SKU sales and Inventory'!D112:F112)</f>
        <v>432</v>
      </c>
      <c r="D111" s="7" t="s">
        <v>824</v>
      </c>
    </row>
    <row r="112" spans="1:4" x14ac:dyDescent="0.3">
      <c r="A112" s="7" t="s">
        <v>164</v>
      </c>
      <c r="B112" s="7">
        <f>ROUND(AVERAGE('SKU sales and Inventory'!D113:Q113),0)</f>
        <v>385</v>
      </c>
      <c r="C112" s="7">
        <f>2*AVERAGE('SKU sales and Inventory'!D113:F113)</f>
        <v>994</v>
      </c>
      <c r="D112" s="7" t="s">
        <v>824</v>
      </c>
    </row>
    <row r="113" spans="1:4" x14ac:dyDescent="0.3">
      <c r="A113" s="7" t="s">
        <v>165</v>
      </c>
      <c r="B113" s="7">
        <f>ROUND(AVERAGE('SKU sales and Inventory'!D114:Q114),0)</f>
        <v>731</v>
      </c>
      <c r="C113" s="7">
        <f>2*AVERAGE('SKU sales and Inventory'!D114:F114)</f>
        <v>1128</v>
      </c>
      <c r="D113" s="7" t="s">
        <v>824</v>
      </c>
    </row>
    <row r="114" spans="1:4" x14ac:dyDescent="0.3">
      <c r="A114" s="7" t="s">
        <v>166</v>
      </c>
      <c r="B114" s="7">
        <f>ROUND(AVERAGE('SKU sales and Inventory'!D115:Q115),0)</f>
        <v>286</v>
      </c>
      <c r="C114" s="7">
        <f>2*AVERAGE('SKU sales and Inventory'!D115:F115)</f>
        <v>954</v>
      </c>
      <c r="D114" s="7" t="s">
        <v>824</v>
      </c>
    </row>
    <row r="115" spans="1:4" x14ac:dyDescent="0.3">
      <c r="A115" s="7" t="s">
        <v>167</v>
      </c>
      <c r="B115" s="7">
        <f>ROUND(AVERAGE('SKU sales and Inventory'!D116:Q116),0)</f>
        <v>156</v>
      </c>
      <c r="C115" s="7">
        <f>2*AVERAGE('SKU sales and Inventory'!D116:F116)</f>
        <v>906</v>
      </c>
      <c r="D115" s="7" t="s">
        <v>824</v>
      </c>
    </row>
    <row r="116" spans="1:4" x14ac:dyDescent="0.3">
      <c r="A116" s="7" t="s">
        <v>168</v>
      </c>
      <c r="B116" s="7">
        <f>ROUND(AVERAGE('SKU sales and Inventory'!D117:Q117),0)</f>
        <v>309</v>
      </c>
      <c r="C116" s="7">
        <f>2*AVERAGE('SKU sales and Inventory'!D117:F117)</f>
        <v>1078</v>
      </c>
      <c r="D116" s="7" t="s">
        <v>824</v>
      </c>
    </row>
    <row r="117" spans="1:4" x14ac:dyDescent="0.3">
      <c r="A117" s="7" t="s">
        <v>169</v>
      </c>
      <c r="B117" s="7">
        <f>ROUND(AVERAGE('SKU sales and Inventory'!D118:Q118),0)</f>
        <v>369</v>
      </c>
      <c r="C117" s="7">
        <f>2*AVERAGE('SKU sales and Inventory'!D118:F118)</f>
        <v>1144</v>
      </c>
      <c r="D117" s="7" t="s">
        <v>824</v>
      </c>
    </row>
    <row r="118" spans="1:4" x14ac:dyDescent="0.3">
      <c r="A118" s="7" t="s">
        <v>170</v>
      </c>
      <c r="B118" s="7">
        <f>ROUND(AVERAGE('SKU sales and Inventory'!D119:Q119),0)</f>
        <v>306</v>
      </c>
      <c r="C118" s="7">
        <f>2*AVERAGE('SKU sales and Inventory'!D119:F119)</f>
        <v>1562</v>
      </c>
      <c r="D118" s="7" t="s">
        <v>824</v>
      </c>
    </row>
    <row r="119" spans="1:4" x14ac:dyDescent="0.3">
      <c r="A119" s="7" t="s">
        <v>171</v>
      </c>
      <c r="B119" s="7">
        <f>ROUND(AVERAGE('SKU sales and Inventory'!D120:Q120),0)</f>
        <v>144</v>
      </c>
      <c r="C119" s="7">
        <f>2*AVERAGE('SKU sales and Inventory'!D120:F120)</f>
        <v>804</v>
      </c>
      <c r="D119" s="7" t="s">
        <v>824</v>
      </c>
    </row>
    <row r="120" spans="1:4" x14ac:dyDescent="0.3">
      <c r="A120" s="7" t="s">
        <v>172</v>
      </c>
      <c r="B120" s="7">
        <f>ROUND(AVERAGE('SKU sales and Inventory'!D121:Q121),0)</f>
        <v>64</v>
      </c>
      <c r="C120" s="7">
        <f>2*AVERAGE('SKU sales and Inventory'!D121:F121)</f>
        <v>364</v>
      </c>
      <c r="D120" s="7" t="s">
        <v>824</v>
      </c>
    </row>
    <row r="121" spans="1:4" x14ac:dyDescent="0.3">
      <c r="A121" s="7" t="s">
        <v>173</v>
      </c>
      <c r="B121" s="7">
        <f>ROUND(AVERAGE('SKU sales and Inventory'!D122:Q122),0)</f>
        <v>159</v>
      </c>
      <c r="C121" s="7">
        <f>2*AVERAGE('SKU sales and Inventory'!D122:F122)</f>
        <v>728</v>
      </c>
      <c r="D121" s="7" t="s">
        <v>824</v>
      </c>
    </row>
    <row r="122" spans="1:4" x14ac:dyDescent="0.3">
      <c r="A122" s="7" t="s">
        <v>174</v>
      </c>
      <c r="B122" s="7">
        <f>ROUND(AVERAGE('SKU sales and Inventory'!D123:Q123),0)</f>
        <v>301</v>
      </c>
      <c r="C122" s="7">
        <f>2*AVERAGE('SKU sales and Inventory'!D123:F123)</f>
        <v>992</v>
      </c>
      <c r="D122" s="7" t="s">
        <v>824</v>
      </c>
    </row>
    <row r="123" spans="1:4" x14ac:dyDescent="0.3">
      <c r="A123" s="7" t="s">
        <v>175</v>
      </c>
      <c r="B123" s="7">
        <f>ROUND(AVERAGE('SKU sales and Inventory'!D124:Q124),0)</f>
        <v>291</v>
      </c>
      <c r="C123" s="7">
        <f>2*AVERAGE('SKU sales and Inventory'!D124:F124)</f>
        <v>808</v>
      </c>
      <c r="D123" s="7" t="s">
        <v>824</v>
      </c>
    </row>
    <row r="124" spans="1:4" x14ac:dyDescent="0.3">
      <c r="A124" s="7" t="s">
        <v>176</v>
      </c>
      <c r="B124" s="7">
        <f>ROUND(AVERAGE('SKU sales and Inventory'!D125:Q125),0)</f>
        <v>538</v>
      </c>
      <c r="C124" s="7">
        <f>2*AVERAGE('SKU sales and Inventory'!D125:F125)</f>
        <v>978</v>
      </c>
      <c r="D124" s="7" t="s">
        <v>824</v>
      </c>
    </row>
    <row r="125" spans="1:4" x14ac:dyDescent="0.3">
      <c r="A125" s="7" t="s">
        <v>177</v>
      </c>
      <c r="B125" s="7">
        <f>ROUND(AVERAGE('SKU sales and Inventory'!D126:Q126),0)</f>
        <v>443</v>
      </c>
      <c r="C125" s="7">
        <f>2*AVERAGE('SKU sales and Inventory'!D126:F126)</f>
        <v>622</v>
      </c>
      <c r="D125" s="7" t="s">
        <v>824</v>
      </c>
    </row>
    <row r="126" spans="1:4" x14ac:dyDescent="0.3">
      <c r="A126" s="7" t="s">
        <v>178</v>
      </c>
      <c r="B126" s="7">
        <f>ROUND(AVERAGE('SKU sales and Inventory'!D127:Q127),0)</f>
        <v>322</v>
      </c>
      <c r="C126" s="7">
        <f>2*AVERAGE('SKU sales and Inventory'!D127:F127)</f>
        <v>1030</v>
      </c>
      <c r="D126" s="7" t="s">
        <v>824</v>
      </c>
    </row>
    <row r="127" spans="1:4" x14ac:dyDescent="0.3">
      <c r="A127" s="7" t="s">
        <v>179</v>
      </c>
      <c r="B127" s="7">
        <f>ROUND(AVERAGE('SKU sales and Inventory'!D128:Q128),0)</f>
        <v>71</v>
      </c>
      <c r="C127" s="7">
        <f>2*AVERAGE('SKU sales and Inventory'!D128:F128)</f>
        <v>660</v>
      </c>
      <c r="D127" s="7" t="s">
        <v>824</v>
      </c>
    </row>
    <row r="128" spans="1:4" x14ac:dyDescent="0.3">
      <c r="A128" s="7" t="s">
        <v>180</v>
      </c>
      <c r="B128" s="7">
        <f>ROUND(AVERAGE('SKU sales and Inventory'!D129:Q129),0)</f>
        <v>90</v>
      </c>
      <c r="C128" s="7">
        <f>2*AVERAGE('SKU sales and Inventory'!D129:F129)</f>
        <v>770</v>
      </c>
      <c r="D128" s="7" t="s">
        <v>824</v>
      </c>
    </row>
    <row r="129" spans="1:4" x14ac:dyDescent="0.3">
      <c r="A129" s="7" t="s">
        <v>181</v>
      </c>
      <c r="B129" s="7">
        <f>ROUND(AVERAGE('SKU sales and Inventory'!D130:Q130),0)</f>
        <v>602</v>
      </c>
      <c r="C129" s="7">
        <f>2*AVERAGE('SKU sales and Inventory'!D130:F130)</f>
        <v>1116</v>
      </c>
      <c r="D129" s="7" t="s">
        <v>824</v>
      </c>
    </row>
    <row r="130" spans="1:4" x14ac:dyDescent="0.3">
      <c r="A130" s="7" t="s">
        <v>182</v>
      </c>
      <c r="B130" s="7">
        <f>ROUND(AVERAGE('SKU sales and Inventory'!D131:Q131),0)</f>
        <v>55</v>
      </c>
      <c r="C130" s="7">
        <f>2*AVERAGE('SKU sales and Inventory'!D131:F131)</f>
        <v>492</v>
      </c>
      <c r="D130" s="7" t="s">
        <v>824</v>
      </c>
    </row>
    <row r="131" spans="1:4" x14ac:dyDescent="0.3">
      <c r="A131" s="7" t="s">
        <v>183</v>
      </c>
      <c r="B131" s="7">
        <f>ROUND(AVERAGE('SKU sales and Inventory'!D132:Q132),0)</f>
        <v>402</v>
      </c>
      <c r="C131" s="7">
        <f>2*AVERAGE('SKU sales and Inventory'!D132:F132)</f>
        <v>976</v>
      </c>
      <c r="D131" s="7" t="s">
        <v>824</v>
      </c>
    </row>
    <row r="132" spans="1:4" x14ac:dyDescent="0.3">
      <c r="A132" s="7" t="s">
        <v>184</v>
      </c>
      <c r="B132" s="7">
        <f>ROUND(AVERAGE('SKU sales and Inventory'!D133:Q133),0)</f>
        <v>168</v>
      </c>
      <c r="C132" s="7">
        <f>2*AVERAGE('SKU sales and Inventory'!D133:F133)</f>
        <v>674</v>
      </c>
      <c r="D132" s="7" t="s">
        <v>824</v>
      </c>
    </row>
    <row r="133" spans="1:4" x14ac:dyDescent="0.3">
      <c r="A133" s="7" t="s">
        <v>185</v>
      </c>
      <c r="B133" s="7">
        <f>ROUND(AVERAGE('SKU sales and Inventory'!D134:Q134),0)</f>
        <v>358</v>
      </c>
      <c r="C133" s="7">
        <f>2*AVERAGE('SKU sales and Inventory'!D134:F134)</f>
        <v>806</v>
      </c>
      <c r="D133" s="7" t="s">
        <v>824</v>
      </c>
    </row>
    <row r="134" spans="1:4" x14ac:dyDescent="0.3">
      <c r="A134" s="7" t="s">
        <v>186</v>
      </c>
      <c r="B134" s="7">
        <f>ROUND(AVERAGE('SKU sales and Inventory'!D135:Q135),0)</f>
        <v>44</v>
      </c>
      <c r="C134" s="7">
        <f>2*AVERAGE('SKU sales and Inventory'!D135:F135)</f>
        <v>328</v>
      </c>
      <c r="D134" s="7" t="s">
        <v>824</v>
      </c>
    </row>
    <row r="135" spans="1:4" x14ac:dyDescent="0.3">
      <c r="A135" s="7" t="s">
        <v>187</v>
      </c>
      <c r="B135" s="7">
        <f>ROUND(AVERAGE('SKU sales and Inventory'!D136:Q136),0)</f>
        <v>281</v>
      </c>
      <c r="C135" s="7">
        <f>2*AVERAGE('SKU sales and Inventory'!D136:F136)</f>
        <v>766</v>
      </c>
      <c r="D135" s="7" t="s">
        <v>824</v>
      </c>
    </row>
    <row r="136" spans="1:4" x14ac:dyDescent="0.3">
      <c r="A136" s="7" t="s">
        <v>188</v>
      </c>
      <c r="B136" s="7">
        <f>ROUND(AVERAGE('SKU sales and Inventory'!D137:Q137),0)</f>
        <v>54</v>
      </c>
      <c r="C136" s="7">
        <f>2*AVERAGE('SKU sales and Inventory'!D137:F137)</f>
        <v>506</v>
      </c>
      <c r="D136" s="7" t="s">
        <v>824</v>
      </c>
    </row>
    <row r="137" spans="1:4" x14ac:dyDescent="0.3">
      <c r="A137" s="7" t="s">
        <v>189</v>
      </c>
      <c r="B137" s="7">
        <f>ROUND(AVERAGE('SKU sales and Inventory'!D138:Q138),0)</f>
        <v>148</v>
      </c>
      <c r="C137" s="7">
        <f>2*AVERAGE('SKU sales and Inventory'!D138:F138)</f>
        <v>502</v>
      </c>
      <c r="D137" s="7" t="s">
        <v>824</v>
      </c>
    </row>
    <row r="138" spans="1:4" x14ac:dyDescent="0.3">
      <c r="A138" s="7" t="s">
        <v>190</v>
      </c>
      <c r="B138" s="7">
        <f>ROUND(AVERAGE('SKU sales and Inventory'!D139:Q139),0)</f>
        <v>106</v>
      </c>
      <c r="C138" s="7">
        <f>2*AVERAGE('SKU sales and Inventory'!D139:F139)</f>
        <v>348</v>
      </c>
      <c r="D138" s="7" t="s">
        <v>824</v>
      </c>
    </row>
    <row r="139" spans="1:4" x14ac:dyDescent="0.3">
      <c r="A139" s="7" t="s">
        <v>191</v>
      </c>
      <c r="B139" s="7">
        <f>ROUND(AVERAGE('SKU sales and Inventory'!D140:Q140),0)</f>
        <v>121</v>
      </c>
      <c r="C139" s="7">
        <f>2*AVERAGE('SKU sales and Inventory'!D140:F140)</f>
        <v>704</v>
      </c>
      <c r="D139" s="7" t="s">
        <v>824</v>
      </c>
    </row>
    <row r="140" spans="1:4" x14ac:dyDescent="0.3">
      <c r="A140" s="7" t="s">
        <v>192</v>
      </c>
      <c r="B140" s="7">
        <f>ROUND(AVERAGE('SKU sales and Inventory'!D141:Q141),0)</f>
        <v>34</v>
      </c>
      <c r="C140" s="7">
        <f>2*AVERAGE('SKU sales and Inventory'!D141:F141)</f>
        <v>318</v>
      </c>
      <c r="D140" s="7" t="s">
        <v>824</v>
      </c>
    </row>
    <row r="141" spans="1:4" x14ac:dyDescent="0.3">
      <c r="A141" s="7" t="s">
        <v>193</v>
      </c>
      <c r="B141" s="7">
        <f>ROUND(AVERAGE('SKU sales and Inventory'!D142:Q142),0)</f>
        <v>215</v>
      </c>
      <c r="C141" s="7">
        <f>2*AVERAGE('SKU sales and Inventory'!D142:F142)</f>
        <v>678</v>
      </c>
      <c r="D141" s="7" t="s">
        <v>824</v>
      </c>
    </row>
    <row r="142" spans="1:4" x14ac:dyDescent="0.3">
      <c r="A142" s="7" t="s">
        <v>194</v>
      </c>
      <c r="B142" s="7">
        <f>ROUND(AVERAGE('SKU sales and Inventory'!D143:Q143),0)</f>
        <v>296</v>
      </c>
      <c r="C142" s="7">
        <f>2*AVERAGE('SKU sales and Inventory'!D143:F143)</f>
        <v>464</v>
      </c>
      <c r="D142" s="7" t="s">
        <v>824</v>
      </c>
    </row>
    <row r="143" spans="1:4" x14ac:dyDescent="0.3">
      <c r="A143" s="7" t="s">
        <v>195</v>
      </c>
      <c r="B143" s="7">
        <f>ROUND(AVERAGE('SKU sales and Inventory'!D144:Q144),0)</f>
        <v>323</v>
      </c>
      <c r="C143" s="7">
        <f>2*AVERAGE('SKU sales and Inventory'!D144:F144)</f>
        <v>638</v>
      </c>
      <c r="D143" s="7" t="s">
        <v>824</v>
      </c>
    </row>
    <row r="144" spans="1:4" x14ac:dyDescent="0.3">
      <c r="A144" s="7" t="s">
        <v>196</v>
      </c>
      <c r="B144" s="7">
        <f>ROUND(AVERAGE('SKU sales and Inventory'!D145:Q145),0)</f>
        <v>167</v>
      </c>
      <c r="C144" s="7">
        <f>2*AVERAGE('SKU sales and Inventory'!D145:F145)</f>
        <v>384</v>
      </c>
      <c r="D144" s="7" t="s">
        <v>824</v>
      </c>
    </row>
    <row r="145" spans="1:4" x14ac:dyDescent="0.3">
      <c r="A145" s="7" t="s">
        <v>197</v>
      </c>
      <c r="B145" s="7">
        <f>ROUND(AVERAGE('SKU sales and Inventory'!D146:Q146),0)</f>
        <v>139</v>
      </c>
      <c r="C145" s="7">
        <f>2*AVERAGE('SKU sales and Inventory'!D146:F146)</f>
        <v>452</v>
      </c>
      <c r="D145" s="7" t="s">
        <v>824</v>
      </c>
    </row>
    <row r="146" spans="1:4" x14ac:dyDescent="0.3">
      <c r="A146" s="7" t="s">
        <v>198</v>
      </c>
      <c r="B146" s="7">
        <f>ROUND(AVERAGE('SKU sales and Inventory'!D147:Q147),0)</f>
        <v>129</v>
      </c>
      <c r="C146" s="7">
        <f>2*AVERAGE('SKU sales and Inventory'!D147:F147)</f>
        <v>424</v>
      </c>
      <c r="D146" s="7" t="s">
        <v>824</v>
      </c>
    </row>
    <row r="147" spans="1:4" x14ac:dyDescent="0.3">
      <c r="A147" s="7" t="s">
        <v>199</v>
      </c>
      <c r="B147" s="7">
        <f>ROUND(AVERAGE('SKU sales and Inventory'!D148:Q148),0)</f>
        <v>135</v>
      </c>
      <c r="C147" s="7">
        <f>2*AVERAGE('SKU sales and Inventory'!D148:F148)</f>
        <v>486</v>
      </c>
      <c r="D147" s="7" t="s">
        <v>824</v>
      </c>
    </row>
    <row r="148" spans="1:4" x14ac:dyDescent="0.3">
      <c r="A148" s="7" t="s">
        <v>200</v>
      </c>
      <c r="B148" s="7">
        <f>ROUND(AVERAGE('SKU sales and Inventory'!D149:Q149),0)</f>
        <v>91</v>
      </c>
      <c r="C148" s="7">
        <f>2*AVERAGE('SKU sales and Inventory'!D149:F149)</f>
        <v>448</v>
      </c>
      <c r="D148" s="7" t="s">
        <v>824</v>
      </c>
    </row>
    <row r="149" spans="1:4" x14ac:dyDescent="0.3">
      <c r="A149" s="7" t="s">
        <v>201</v>
      </c>
      <c r="B149" s="7">
        <f>ROUND(AVERAGE('SKU sales and Inventory'!D150:Q150),0)</f>
        <v>362</v>
      </c>
      <c r="C149" s="7">
        <f>2*AVERAGE('SKU sales and Inventory'!D150:F150)</f>
        <v>536</v>
      </c>
      <c r="D149" s="7" t="s">
        <v>824</v>
      </c>
    </row>
    <row r="150" spans="1:4" x14ac:dyDescent="0.3">
      <c r="A150" s="7" t="s">
        <v>202</v>
      </c>
      <c r="B150" s="7">
        <f>ROUND(AVERAGE('SKU sales and Inventory'!D151:Q151),0)</f>
        <v>160</v>
      </c>
      <c r="C150" s="7">
        <f>2*AVERAGE('SKU sales and Inventory'!D151:F151)</f>
        <v>528</v>
      </c>
      <c r="D150" s="7" t="s">
        <v>824</v>
      </c>
    </row>
    <row r="151" spans="1:4" x14ac:dyDescent="0.3">
      <c r="A151" s="7" t="s">
        <v>203</v>
      </c>
      <c r="B151" s="7">
        <f>ROUND(AVERAGE('SKU sales and Inventory'!D152:Q152),0)</f>
        <v>80</v>
      </c>
      <c r="C151" s="7">
        <f>2*AVERAGE('SKU sales and Inventory'!D152:F152)</f>
        <v>476</v>
      </c>
      <c r="D151" s="7" t="s">
        <v>824</v>
      </c>
    </row>
    <row r="152" spans="1:4" x14ac:dyDescent="0.3">
      <c r="A152" s="7" t="s">
        <v>204</v>
      </c>
      <c r="B152" s="7">
        <f>ROUND(AVERAGE('SKU sales and Inventory'!D153:Q153),0)</f>
        <v>316</v>
      </c>
      <c r="C152" s="7">
        <f>2*AVERAGE('SKU sales and Inventory'!D153:F153)</f>
        <v>1310</v>
      </c>
      <c r="D152" s="7" t="s">
        <v>824</v>
      </c>
    </row>
    <row r="153" spans="1:4" x14ac:dyDescent="0.3">
      <c r="A153" s="7" t="s">
        <v>205</v>
      </c>
      <c r="B153" s="7">
        <f>ROUND(AVERAGE('SKU sales and Inventory'!D154:Q154),0)</f>
        <v>43</v>
      </c>
      <c r="C153" s="7">
        <f>2*AVERAGE('SKU sales and Inventory'!D154:F154)</f>
        <v>392</v>
      </c>
      <c r="D153" s="7" t="s">
        <v>824</v>
      </c>
    </row>
    <row r="154" spans="1:4" x14ac:dyDescent="0.3">
      <c r="A154" s="7" t="s">
        <v>206</v>
      </c>
      <c r="B154" s="7">
        <f>ROUND(AVERAGE('SKU sales and Inventory'!D155:Q155),0)</f>
        <v>230</v>
      </c>
      <c r="C154" s="7">
        <f>2*AVERAGE('SKU sales and Inventory'!D155:F155)</f>
        <v>794</v>
      </c>
      <c r="D154" s="7" t="s">
        <v>824</v>
      </c>
    </row>
    <row r="155" spans="1:4" x14ac:dyDescent="0.3">
      <c r="A155" s="7" t="s">
        <v>207</v>
      </c>
      <c r="B155" s="7">
        <f>ROUND(AVERAGE('SKU sales and Inventory'!D156:Q156),0)</f>
        <v>115</v>
      </c>
      <c r="C155" s="7">
        <f>2*AVERAGE('SKU sales and Inventory'!D156:F156)</f>
        <v>400</v>
      </c>
      <c r="D155" s="7" t="s">
        <v>824</v>
      </c>
    </row>
    <row r="156" spans="1:4" x14ac:dyDescent="0.3">
      <c r="A156" s="7" t="s">
        <v>208</v>
      </c>
      <c r="B156" s="7">
        <f>ROUND(AVERAGE('SKU sales and Inventory'!D157:Q157),0)</f>
        <v>223</v>
      </c>
      <c r="C156" s="7">
        <f>2*AVERAGE('SKU sales and Inventory'!D157:F157)</f>
        <v>412</v>
      </c>
      <c r="D156" s="7" t="s">
        <v>824</v>
      </c>
    </row>
    <row r="157" spans="1:4" x14ac:dyDescent="0.3">
      <c r="A157" s="7" t="s">
        <v>209</v>
      </c>
      <c r="B157" s="7">
        <f>ROUND(AVERAGE('SKU sales and Inventory'!D158:Q158),0)</f>
        <v>92</v>
      </c>
      <c r="C157" s="7">
        <f>2*AVERAGE('SKU sales and Inventory'!D158:F158)</f>
        <v>494</v>
      </c>
      <c r="D157" s="7" t="s">
        <v>824</v>
      </c>
    </row>
    <row r="158" spans="1:4" x14ac:dyDescent="0.3">
      <c r="A158" s="7" t="s">
        <v>210</v>
      </c>
      <c r="B158" s="7">
        <f>ROUND(AVERAGE('SKU sales and Inventory'!D159:Q159),0)</f>
        <v>43</v>
      </c>
      <c r="C158" s="7">
        <f>2*AVERAGE('SKU sales and Inventory'!D159:F159)</f>
        <v>320</v>
      </c>
      <c r="D158" s="7" t="s">
        <v>824</v>
      </c>
    </row>
    <row r="159" spans="1:4" x14ac:dyDescent="0.3">
      <c r="A159" s="7" t="s">
        <v>211</v>
      </c>
      <c r="B159" s="7">
        <f>ROUND(AVERAGE('SKU sales and Inventory'!D160:Q160),0)</f>
        <v>146</v>
      </c>
      <c r="C159" s="7">
        <f>2*AVERAGE('SKU sales and Inventory'!D160:F160)</f>
        <v>266</v>
      </c>
      <c r="D159" s="7" t="s">
        <v>824</v>
      </c>
    </row>
    <row r="160" spans="1:4" x14ac:dyDescent="0.3">
      <c r="A160" s="7" t="s">
        <v>212</v>
      </c>
      <c r="B160" s="7">
        <f>ROUND(AVERAGE('SKU sales and Inventory'!D161:Q161),0)</f>
        <v>316</v>
      </c>
      <c r="C160" s="7">
        <f>2*AVERAGE('SKU sales and Inventory'!D161:F161)</f>
        <v>656</v>
      </c>
      <c r="D160" s="7" t="s">
        <v>824</v>
      </c>
    </row>
    <row r="161" spans="1:4" x14ac:dyDescent="0.3">
      <c r="A161" s="7" t="s">
        <v>213</v>
      </c>
      <c r="B161" s="7">
        <f>ROUND(AVERAGE('SKU sales and Inventory'!D162:Q162),0)</f>
        <v>99</v>
      </c>
      <c r="C161" s="7">
        <f>2*AVERAGE('SKU sales and Inventory'!D162:F162)</f>
        <v>342</v>
      </c>
      <c r="D161" s="7" t="s">
        <v>824</v>
      </c>
    </row>
    <row r="162" spans="1:4" x14ac:dyDescent="0.3">
      <c r="A162" s="7" t="s">
        <v>214</v>
      </c>
      <c r="B162" s="7">
        <f>ROUND(AVERAGE('SKU sales and Inventory'!D163:Q163),0)</f>
        <v>327</v>
      </c>
      <c r="C162" s="7">
        <f>2*AVERAGE('SKU sales and Inventory'!D163:F163)</f>
        <v>476</v>
      </c>
      <c r="D162" s="7" t="s">
        <v>824</v>
      </c>
    </row>
    <row r="163" spans="1:4" x14ac:dyDescent="0.3">
      <c r="A163" s="7" t="s">
        <v>215</v>
      </c>
      <c r="B163" s="7">
        <f>ROUND(AVERAGE('SKU sales and Inventory'!D164:Q164),0)</f>
        <v>322</v>
      </c>
      <c r="C163" s="7">
        <f>2*AVERAGE('SKU sales and Inventory'!D164:F164)</f>
        <v>642</v>
      </c>
      <c r="D163" s="7" t="s">
        <v>824</v>
      </c>
    </row>
    <row r="164" spans="1:4" x14ac:dyDescent="0.3">
      <c r="A164" s="7" t="s">
        <v>216</v>
      </c>
      <c r="B164" s="7">
        <f>ROUND(AVERAGE('SKU sales and Inventory'!D165:Q165),0)</f>
        <v>32</v>
      </c>
      <c r="C164" s="7">
        <f>2*AVERAGE('SKU sales and Inventory'!D165:F165)</f>
        <v>166</v>
      </c>
      <c r="D164" s="7" t="s">
        <v>824</v>
      </c>
    </row>
    <row r="165" spans="1:4" x14ac:dyDescent="0.3">
      <c r="A165" s="7" t="s">
        <v>217</v>
      </c>
      <c r="B165" s="7">
        <f>ROUND(AVERAGE('SKU sales and Inventory'!D166:Q166),0)</f>
        <v>127</v>
      </c>
      <c r="C165" s="7">
        <f>2*AVERAGE('SKU sales and Inventory'!D166:F166)</f>
        <v>326</v>
      </c>
      <c r="D165" s="7" t="s">
        <v>824</v>
      </c>
    </row>
    <row r="166" spans="1:4" x14ac:dyDescent="0.3">
      <c r="A166" s="7" t="s">
        <v>218</v>
      </c>
      <c r="B166" s="7">
        <f>ROUND(AVERAGE('SKU sales and Inventory'!D167:Q167),0)</f>
        <v>200</v>
      </c>
      <c r="C166" s="7">
        <f>2*AVERAGE('SKU sales and Inventory'!D167:F167)</f>
        <v>488</v>
      </c>
      <c r="D166" s="7" t="s">
        <v>824</v>
      </c>
    </row>
    <row r="167" spans="1:4" x14ac:dyDescent="0.3">
      <c r="A167" s="7" t="s">
        <v>219</v>
      </c>
      <c r="B167" s="7">
        <f>ROUND(AVERAGE('SKU sales and Inventory'!D168:Q168),0)</f>
        <v>240</v>
      </c>
      <c r="C167" s="7">
        <f>2*AVERAGE('SKU sales and Inventory'!D168:F168)</f>
        <v>530</v>
      </c>
      <c r="D167" s="7" t="s">
        <v>824</v>
      </c>
    </row>
    <row r="168" spans="1:4" x14ac:dyDescent="0.3">
      <c r="A168" s="7" t="s">
        <v>220</v>
      </c>
      <c r="B168" s="7">
        <f>ROUND(AVERAGE('SKU sales and Inventory'!D169:Q169),0)</f>
        <v>121</v>
      </c>
      <c r="C168" s="7">
        <f>2*AVERAGE('SKU sales and Inventory'!D169:F169)</f>
        <v>624</v>
      </c>
      <c r="D168" s="7" t="s">
        <v>824</v>
      </c>
    </row>
    <row r="169" spans="1:4" x14ac:dyDescent="0.3">
      <c r="A169" s="7" t="s">
        <v>221</v>
      </c>
      <c r="B169" s="7">
        <f>ROUND(AVERAGE('SKU sales and Inventory'!D170:Q170),0)</f>
        <v>283</v>
      </c>
      <c r="C169" s="7">
        <f>2*AVERAGE('SKU sales and Inventory'!D170:F170)</f>
        <v>494</v>
      </c>
      <c r="D169" s="7" t="s">
        <v>824</v>
      </c>
    </row>
    <row r="170" spans="1:4" x14ac:dyDescent="0.3">
      <c r="A170" s="7" t="s">
        <v>222</v>
      </c>
      <c r="B170" s="7">
        <f>ROUND(AVERAGE('SKU sales and Inventory'!D171:Q171),0)</f>
        <v>524</v>
      </c>
      <c r="C170" s="7">
        <f>2*AVERAGE('SKU sales and Inventory'!D171:F171)</f>
        <v>554</v>
      </c>
      <c r="D170" s="7" t="s">
        <v>824</v>
      </c>
    </row>
    <row r="171" spans="1:4" x14ac:dyDescent="0.3">
      <c r="A171" s="7" t="s">
        <v>223</v>
      </c>
      <c r="B171" s="7">
        <f>ROUND(AVERAGE('SKU sales and Inventory'!D172:Q172),0)</f>
        <v>32</v>
      </c>
      <c r="C171" s="7">
        <f>2*AVERAGE('SKU sales and Inventory'!D172:F172)</f>
        <v>272</v>
      </c>
      <c r="D171" s="7" t="s">
        <v>824</v>
      </c>
    </row>
    <row r="172" spans="1:4" x14ac:dyDescent="0.3">
      <c r="A172" s="7" t="s">
        <v>224</v>
      </c>
      <c r="B172" s="7">
        <f>ROUND(AVERAGE('SKU sales and Inventory'!D173:Q173),0)</f>
        <v>380</v>
      </c>
      <c r="C172" s="7">
        <f>2*AVERAGE('SKU sales and Inventory'!D173:F173)</f>
        <v>616</v>
      </c>
      <c r="D172" s="7" t="s">
        <v>824</v>
      </c>
    </row>
    <row r="173" spans="1:4" x14ac:dyDescent="0.3">
      <c r="A173" s="7" t="s">
        <v>225</v>
      </c>
      <c r="B173" s="7">
        <f>ROUND(AVERAGE('SKU sales and Inventory'!D174:Q174),0)</f>
        <v>476</v>
      </c>
      <c r="C173" s="7">
        <f>2*AVERAGE('SKU sales and Inventory'!D174:F174)</f>
        <v>634</v>
      </c>
      <c r="D173" s="7" t="s">
        <v>824</v>
      </c>
    </row>
    <row r="174" spans="1:4" x14ac:dyDescent="0.3">
      <c r="A174" s="7" t="s">
        <v>226</v>
      </c>
      <c r="B174" s="7">
        <f>ROUND(AVERAGE('SKU sales and Inventory'!D175:Q175),0)</f>
        <v>233</v>
      </c>
      <c r="C174" s="7">
        <f>2*AVERAGE('SKU sales and Inventory'!D175:F175)</f>
        <v>536</v>
      </c>
      <c r="D174" s="7" t="s">
        <v>824</v>
      </c>
    </row>
    <row r="175" spans="1:4" x14ac:dyDescent="0.3">
      <c r="A175" s="7" t="s">
        <v>227</v>
      </c>
      <c r="B175" s="7">
        <f>ROUND(AVERAGE('SKU sales and Inventory'!D176:Q176),0)</f>
        <v>31</v>
      </c>
      <c r="C175" s="7">
        <f>2*AVERAGE('SKU sales and Inventory'!D176:F176)</f>
        <v>288</v>
      </c>
      <c r="D175" s="7" t="s">
        <v>824</v>
      </c>
    </row>
    <row r="176" spans="1:4" x14ac:dyDescent="0.3">
      <c r="A176" s="7" t="s">
        <v>228</v>
      </c>
      <c r="B176" s="7">
        <f>ROUND(AVERAGE('SKU sales and Inventory'!D177:Q177),0)</f>
        <v>38</v>
      </c>
      <c r="C176" s="7">
        <f>2*AVERAGE('SKU sales and Inventory'!D177:F177)</f>
        <v>300</v>
      </c>
      <c r="D176" s="7" t="s">
        <v>824</v>
      </c>
    </row>
    <row r="177" spans="1:4" x14ac:dyDescent="0.3">
      <c r="A177" s="7" t="s">
        <v>229</v>
      </c>
      <c r="B177" s="7">
        <f>ROUND(AVERAGE('SKU sales and Inventory'!D178:Q178),0)</f>
        <v>44</v>
      </c>
      <c r="C177" s="7">
        <f>2*AVERAGE('SKU sales and Inventory'!D178:F178)</f>
        <v>334</v>
      </c>
      <c r="D177" s="7" t="s">
        <v>824</v>
      </c>
    </row>
    <row r="178" spans="1:4" x14ac:dyDescent="0.3">
      <c r="A178" s="7" t="s">
        <v>230</v>
      </c>
      <c r="B178" s="7">
        <f>ROUND(AVERAGE('SKU sales and Inventory'!D179:Q179),0)</f>
        <v>77</v>
      </c>
      <c r="C178" s="7">
        <f>2*AVERAGE('SKU sales and Inventory'!D179:F179)</f>
        <v>340</v>
      </c>
      <c r="D178" s="7" t="s">
        <v>824</v>
      </c>
    </row>
    <row r="179" spans="1:4" x14ac:dyDescent="0.3">
      <c r="A179" s="7" t="s">
        <v>231</v>
      </c>
      <c r="B179" s="7">
        <f>ROUND(AVERAGE('SKU sales and Inventory'!D180:Q180),0)</f>
        <v>189</v>
      </c>
      <c r="C179" s="7">
        <f>2*AVERAGE('SKU sales and Inventory'!D180:F180)</f>
        <v>526</v>
      </c>
      <c r="D179" s="7" t="s">
        <v>824</v>
      </c>
    </row>
    <row r="180" spans="1:4" x14ac:dyDescent="0.3">
      <c r="A180" s="7" t="s">
        <v>232</v>
      </c>
      <c r="B180" s="7">
        <f>ROUND(AVERAGE('SKU sales and Inventory'!D181:Q181),0)</f>
        <v>122</v>
      </c>
      <c r="C180" s="7">
        <f>2*AVERAGE('SKU sales and Inventory'!D181:F181)</f>
        <v>608</v>
      </c>
      <c r="D180" s="7" t="s">
        <v>824</v>
      </c>
    </row>
    <row r="181" spans="1:4" x14ac:dyDescent="0.3">
      <c r="A181" s="7" t="s">
        <v>233</v>
      </c>
      <c r="B181" s="7">
        <f>ROUND(AVERAGE('SKU sales and Inventory'!D182:Q182),0)</f>
        <v>108</v>
      </c>
      <c r="C181" s="7">
        <f>2*AVERAGE('SKU sales and Inventory'!D182:F182)</f>
        <v>294</v>
      </c>
      <c r="D181" s="7" t="s">
        <v>824</v>
      </c>
    </row>
    <row r="182" spans="1:4" x14ac:dyDescent="0.3">
      <c r="A182" s="7" t="s">
        <v>234</v>
      </c>
      <c r="B182" s="7">
        <f>ROUND(AVERAGE('SKU sales and Inventory'!D183:Q183),0)</f>
        <v>66</v>
      </c>
      <c r="C182" s="7">
        <f>2*AVERAGE('SKU sales and Inventory'!D183:F183)</f>
        <v>178</v>
      </c>
      <c r="D182" s="7" t="s">
        <v>824</v>
      </c>
    </row>
    <row r="183" spans="1:4" x14ac:dyDescent="0.3">
      <c r="A183" s="7" t="s">
        <v>235</v>
      </c>
      <c r="B183" s="7">
        <f>ROUND(AVERAGE('SKU sales and Inventory'!D184:Q184),0)</f>
        <v>110</v>
      </c>
      <c r="C183" s="7">
        <f>2*AVERAGE('SKU sales and Inventory'!D184:F184)</f>
        <v>516</v>
      </c>
      <c r="D183" s="7" t="s">
        <v>824</v>
      </c>
    </row>
    <row r="184" spans="1:4" x14ac:dyDescent="0.3">
      <c r="A184" s="7" t="s">
        <v>236</v>
      </c>
      <c r="B184" s="7">
        <f>ROUND(AVERAGE('SKU sales and Inventory'!D185:Q185),0)</f>
        <v>139</v>
      </c>
      <c r="C184" s="7">
        <f>2*AVERAGE('SKU sales and Inventory'!D185:F185)</f>
        <v>276</v>
      </c>
      <c r="D184" s="7" t="s">
        <v>824</v>
      </c>
    </row>
    <row r="185" spans="1:4" x14ac:dyDescent="0.3">
      <c r="A185" s="7" t="s">
        <v>237</v>
      </c>
      <c r="B185" s="7">
        <f>ROUND(AVERAGE('SKU sales and Inventory'!D186:Q186),0)</f>
        <v>260</v>
      </c>
      <c r="C185" s="7">
        <f>2*AVERAGE('SKU sales and Inventory'!D186:F186)</f>
        <v>630</v>
      </c>
      <c r="D185" s="7" t="s">
        <v>824</v>
      </c>
    </row>
    <row r="186" spans="1:4" x14ac:dyDescent="0.3">
      <c r="A186" s="7" t="s">
        <v>238</v>
      </c>
      <c r="B186" s="7">
        <f>ROUND(AVERAGE('SKU sales and Inventory'!D187:Q187),0)</f>
        <v>223</v>
      </c>
      <c r="C186" s="7">
        <f>2*AVERAGE('SKU sales and Inventory'!D187:F187)</f>
        <v>572</v>
      </c>
      <c r="D186" s="7" t="s">
        <v>824</v>
      </c>
    </row>
    <row r="187" spans="1:4" x14ac:dyDescent="0.3">
      <c r="A187" s="7" t="s">
        <v>239</v>
      </c>
      <c r="B187" s="7">
        <f>ROUND(AVERAGE('SKU sales and Inventory'!D188:Q188),0)</f>
        <v>123</v>
      </c>
      <c r="C187" s="7">
        <f>2*AVERAGE('SKU sales and Inventory'!D188:F188)</f>
        <v>308</v>
      </c>
      <c r="D187" s="7" t="s">
        <v>824</v>
      </c>
    </row>
    <row r="188" spans="1:4" x14ac:dyDescent="0.3">
      <c r="A188" s="7" t="s">
        <v>240</v>
      </c>
      <c r="B188" s="7">
        <f>ROUND(AVERAGE('SKU sales and Inventory'!D189:Q189),0)</f>
        <v>92</v>
      </c>
      <c r="C188" s="7">
        <f>2*AVERAGE('SKU sales and Inventory'!D189:F189)</f>
        <v>458</v>
      </c>
      <c r="D188" s="7" t="s">
        <v>824</v>
      </c>
    </row>
    <row r="189" spans="1:4" x14ac:dyDescent="0.3">
      <c r="A189" s="7" t="s">
        <v>241</v>
      </c>
      <c r="B189" s="7">
        <f>ROUND(AVERAGE('SKU sales and Inventory'!D190:Q190),0)</f>
        <v>450</v>
      </c>
      <c r="C189" s="7">
        <f>2*AVERAGE('SKU sales and Inventory'!D190:F190)</f>
        <v>776</v>
      </c>
      <c r="D189" s="7" t="s">
        <v>824</v>
      </c>
    </row>
    <row r="190" spans="1:4" x14ac:dyDescent="0.3">
      <c r="A190" s="7" t="s">
        <v>242</v>
      </c>
      <c r="B190" s="7">
        <f>ROUND(AVERAGE('SKU sales and Inventory'!D191:Q191),0)</f>
        <v>196</v>
      </c>
      <c r="C190" s="7">
        <f>2*AVERAGE('SKU sales and Inventory'!D191:F191)</f>
        <v>374</v>
      </c>
      <c r="D190" s="7" t="s">
        <v>824</v>
      </c>
    </row>
    <row r="191" spans="1:4" x14ac:dyDescent="0.3">
      <c r="A191" s="7" t="s">
        <v>243</v>
      </c>
      <c r="B191" s="7">
        <f>ROUND(AVERAGE('SKU sales and Inventory'!D192:Q192),0)</f>
        <v>113</v>
      </c>
      <c r="C191" s="7">
        <f>2*AVERAGE('SKU sales and Inventory'!D192:F192)</f>
        <v>544</v>
      </c>
      <c r="D191" s="7" t="s">
        <v>824</v>
      </c>
    </row>
    <row r="192" spans="1:4" x14ac:dyDescent="0.3">
      <c r="A192" s="7" t="s">
        <v>244</v>
      </c>
      <c r="B192" s="7">
        <f>ROUND(AVERAGE('SKU sales and Inventory'!D193:Q193),0)</f>
        <v>128</v>
      </c>
      <c r="C192" s="7">
        <f>2*AVERAGE('SKU sales and Inventory'!D193:F193)</f>
        <v>312</v>
      </c>
      <c r="D192" s="7" t="s">
        <v>824</v>
      </c>
    </row>
    <row r="193" spans="1:4" x14ac:dyDescent="0.3">
      <c r="A193" s="7" t="s">
        <v>245</v>
      </c>
      <c r="B193" s="7">
        <f>ROUND(AVERAGE('SKU sales and Inventory'!D194:Q194),0)</f>
        <v>86</v>
      </c>
      <c r="C193" s="7">
        <f>2*AVERAGE('SKU sales and Inventory'!D194:F194)</f>
        <v>188</v>
      </c>
      <c r="D193" s="7" t="s">
        <v>824</v>
      </c>
    </row>
    <row r="194" spans="1:4" x14ac:dyDescent="0.3">
      <c r="A194" s="7" t="s">
        <v>246</v>
      </c>
      <c r="B194" s="7">
        <f>ROUND(AVERAGE('SKU sales and Inventory'!D195:Q195),0)</f>
        <v>201</v>
      </c>
      <c r="C194" s="7">
        <f>2*AVERAGE('SKU sales and Inventory'!D195:F195)</f>
        <v>370</v>
      </c>
      <c r="D194" s="7" t="s">
        <v>824</v>
      </c>
    </row>
    <row r="195" spans="1:4" x14ac:dyDescent="0.3">
      <c r="A195" s="7" t="s">
        <v>247</v>
      </c>
      <c r="B195" s="7">
        <f>ROUND(AVERAGE('SKU sales and Inventory'!D196:Q196),0)</f>
        <v>30</v>
      </c>
      <c r="C195" s="7">
        <f>2*AVERAGE('SKU sales and Inventory'!D196:F196)</f>
        <v>198</v>
      </c>
      <c r="D195" s="7" t="s">
        <v>824</v>
      </c>
    </row>
    <row r="196" spans="1:4" x14ac:dyDescent="0.3">
      <c r="A196" s="7" t="s">
        <v>248</v>
      </c>
      <c r="B196" s="7">
        <f>ROUND(AVERAGE('SKU sales and Inventory'!D197:Q197),0)</f>
        <v>69</v>
      </c>
      <c r="C196" s="7">
        <f>2*AVERAGE('SKU sales and Inventory'!D197:F197)</f>
        <v>370</v>
      </c>
      <c r="D196" s="7" t="s">
        <v>824</v>
      </c>
    </row>
    <row r="197" spans="1:4" x14ac:dyDescent="0.3">
      <c r="A197" s="7" t="s">
        <v>249</v>
      </c>
      <c r="B197" s="7">
        <f>ROUND(AVERAGE('SKU sales and Inventory'!D198:Q198),0)</f>
        <v>99</v>
      </c>
      <c r="C197" s="7">
        <f>2*AVERAGE('SKU sales and Inventory'!D198:F198)</f>
        <v>374</v>
      </c>
      <c r="D197" s="7" t="s">
        <v>824</v>
      </c>
    </row>
    <row r="198" spans="1:4" x14ac:dyDescent="0.3">
      <c r="A198" s="7" t="s">
        <v>250</v>
      </c>
      <c r="B198" s="7">
        <f>ROUND(AVERAGE('SKU sales and Inventory'!D199:Q199),0)</f>
        <v>58</v>
      </c>
      <c r="C198" s="7">
        <f>2*AVERAGE('SKU sales and Inventory'!D199:F199)</f>
        <v>304</v>
      </c>
      <c r="D198" s="7" t="s">
        <v>824</v>
      </c>
    </row>
    <row r="199" spans="1:4" x14ac:dyDescent="0.3">
      <c r="A199" s="7" t="s">
        <v>251</v>
      </c>
      <c r="B199" s="7">
        <f>ROUND(AVERAGE('SKU sales and Inventory'!D200:Q200),0)</f>
        <v>128</v>
      </c>
      <c r="C199" s="7">
        <f>2*AVERAGE('SKU sales and Inventory'!D200:F200)</f>
        <v>358</v>
      </c>
      <c r="D199" s="7" t="s">
        <v>824</v>
      </c>
    </row>
    <row r="200" spans="1:4" x14ac:dyDescent="0.3">
      <c r="A200" s="7" t="s">
        <v>252</v>
      </c>
      <c r="B200" s="7">
        <f>ROUND(AVERAGE('SKU sales and Inventory'!D201:Q201),0)</f>
        <v>138</v>
      </c>
      <c r="C200" s="7">
        <f>2*AVERAGE('SKU sales and Inventory'!D201:F201)</f>
        <v>302</v>
      </c>
      <c r="D200" s="7" t="s">
        <v>824</v>
      </c>
    </row>
    <row r="201" spans="1:4" x14ac:dyDescent="0.3">
      <c r="A201" s="7" t="s">
        <v>253</v>
      </c>
      <c r="B201" s="7">
        <f>ROUND(AVERAGE('SKU sales and Inventory'!D202:Q202),0)</f>
        <v>196</v>
      </c>
      <c r="C201" s="7">
        <f>2*AVERAGE('SKU sales and Inventory'!D202:F202)</f>
        <v>374</v>
      </c>
      <c r="D201" s="7" t="s">
        <v>824</v>
      </c>
    </row>
    <row r="202" spans="1:4" x14ac:dyDescent="0.3">
      <c r="A202" s="7" t="s">
        <v>254</v>
      </c>
      <c r="B202" s="7">
        <f>ROUND(AVERAGE('SKU sales and Inventory'!D203:Q203),0)</f>
        <v>239</v>
      </c>
      <c r="C202" s="7">
        <f>2*AVERAGE('SKU sales and Inventory'!D203:F203)</f>
        <v>466</v>
      </c>
      <c r="D202" s="7" t="s">
        <v>824</v>
      </c>
    </row>
    <row r="203" spans="1:4" x14ac:dyDescent="0.3">
      <c r="A203" s="7" t="s">
        <v>255</v>
      </c>
      <c r="B203" s="7">
        <f>ROUND(AVERAGE('SKU sales and Inventory'!D204:Q204),0)</f>
        <v>146</v>
      </c>
      <c r="C203" s="7">
        <f>2*AVERAGE('SKU sales and Inventory'!D204:F204)</f>
        <v>506</v>
      </c>
      <c r="D203" s="7" t="s">
        <v>824</v>
      </c>
    </row>
    <row r="204" spans="1:4" x14ac:dyDescent="0.3">
      <c r="A204" s="7" t="s">
        <v>256</v>
      </c>
      <c r="B204" s="7">
        <f>ROUND(AVERAGE('SKU sales and Inventory'!D205:Q205),0)</f>
        <v>171</v>
      </c>
      <c r="C204" s="7">
        <f>2*AVERAGE('SKU sales and Inventory'!D205:F205)</f>
        <v>482</v>
      </c>
      <c r="D204" s="7" t="s">
        <v>824</v>
      </c>
    </row>
    <row r="205" spans="1:4" x14ac:dyDescent="0.3">
      <c r="A205" s="7" t="s">
        <v>257</v>
      </c>
      <c r="B205" s="7">
        <f>ROUND(AVERAGE('SKU sales and Inventory'!D206:Q206),0)</f>
        <v>26</v>
      </c>
      <c r="C205" s="7">
        <f>2*AVERAGE('SKU sales and Inventory'!D206:F206)</f>
        <v>212</v>
      </c>
      <c r="D205" s="7" t="s">
        <v>824</v>
      </c>
    </row>
    <row r="206" spans="1:4" x14ac:dyDescent="0.3">
      <c r="A206" s="7" t="s">
        <v>258</v>
      </c>
      <c r="B206" s="7">
        <f>ROUND(AVERAGE('SKU sales and Inventory'!D207:Q207),0)</f>
        <v>185</v>
      </c>
      <c r="C206" s="7">
        <f>2*AVERAGE('SKU sales and Inventory'!D207:F207)</f>
        <v>602</v>
      </c>
      <c r="D206" s="7" t="s">
        <v>824</v>
      </c>
    </row>
    <row r="207" spans="1:4" x14ac:dyDescent="0.3">
      <c r="A207" s="7" t="s">
        <v>259</v>
      </c>
      <c r="B207" s="7">
        <f>ROUND(AVERAGE('SKU sales and Inventory'!D208:Q208),0)</f>
        <v>41</v>
      </c>
      <c r="C207" s="7">
        <f>2*AVERAGE('SKU sales and Inventory'!D208:F208)</f>
        <v>246</v>
      </c>
      <c r="D207" s="7" t="s">
        <v>824</v>
      </c>
    </row>
    <row r="208" spans="1:4" x14ac:dyDescent="0.3">
      <c r="A208" s="7" t="s">
        <v>260</v>
      </c>
      <c r="B208" s="7">
        <f>ROUND(AVERAGE('SKU sales and Inventory'!D209:Q209),0)</f>
        <v>25</v>
      </c>
      <c r="C208" s="7">
        <f>2*AVERAGE('SKU sales and Inventory'!D209:F209)</f>
        <v>194</v>
      </c>
      <c r="D208" s="7" t="s">
        <v>824</v>
      </c>
    </row>
    <row r="209" spans="1:4" x14ac:dyDescent="0.3">
      <c r="A209" s="7" t="s">
        <v>261</v>
      </c>
      <c r="B209" s="7">
        <f>ROUND(AVERAGE('SKU sales and Inventory'!D210:Q210),0)</f>
        <v>149</v>
      </c>
      <c r="C209" s="7">
        <f>2*AVERAGE('SKU sales and Inventory'!D210:F210)</f>
        <v>334</v>
      </c>
      <c r="D209" s="7" t="s">
        <v>824</v>
      </c>
    </row>
    <row r="210" spans="1:4" x14ac:dyDescent="0.3">
      <c r="A210" s="7" t="s">
        <v>262</v>
      </c>
      <c r="B210" s="7">
        <f>ROUND(AVERAGE('SKU sales and Inventory'!D211:Q211),0)</f>
        <v>248</v>
      </c>
      <c r="C210" s="7">
        <f>2*AVERAGE('SKU sales and Inventory'!D211:F211)</f>
        <v>262</v>
      </c>
      <c r="D210" s="7" t="s">
        <v>824</v>
      </c>
    </row>
    <row r="211" spans="1:4" x14ac:dyDescent="0.3">
      <c r="A211" s="7" t="s">
        <v>263</v>
      </c>
      <c r="B211" s="7">
        <f>ROUND(AVERAGE('SKU sales and Inventory'!D212:Q212),0)</f>
        <v>40</v>
      </c>
      <c r="C211" s="7">
        <f>2*AVERAGE('SKU sales and Inventory'!D212:F212)</f>
        <v>310</v>
      </c>
      <c r="D211" s="7" t="s">
        <v>824</v>
      </c>
    </row>
    <row r="212" spans="1:4" x14ac:dyDescent="0.3">
      <c r="A212" s="7" t="s">
        <v>264</v>
      </c>
      <c r="B212" s="7">
        <f>ROUND(AVERAGE('SKU sales and Inventory'!D213:Q213),0)</f>
        <v>26</v>
      </c>
      <c r="C212" s="7">
        <f>2*AVERAGE('SKU sales and Inventory'!D213:F213)</f>
        <v>182</v>
      </c>
      <c r="D212" s="7" t="s">
        <v>824</v>
      </c>
    </row>
    <row r="213" spans="1:4" x14ac:dyDescent="0.3">
      <c r="A213" s="7" t="s">
        <v>265</v>
      </c>
      <c r="B213" s="7">
        <f>ROUND(AVERAGE('SKU sales and Inventory'!D214:Q214),0)</f>
        <v>20</v>
      </c>
      <c r="C213" s="7">
        <f>2*AVERAGE('SKU sales and Inventory'!D214:F214)</f>
        <v>154</v>
      </c>
      <c r="D213" s="7" t="s">
        <v>824</v>
      </c>
    </row>
    <row r="214" spans="1:4" x14ac:dyDescent="0.3">
      <c r="A214" s="7" t="s">
        <v>266</v>
      </c>
      <c r="B214" s="7">
        <f>ROUND(AVERAGE('SKU sales and Inventory'!D215:Q215),0)</f>
        <v>35</v>
      </c>
      <c r="C214" s="7">
        <f>2*AVERAGE('SKU sales and Inventory'!D215:F215)</f>
        <v>324</v>
      </c>
      <c r="D214" s="7" t="s">
        <v>824</v>
      </c>
    </row>
    <row r="215" spans="1:4" x14ac:dyDescent="0.3">
      <c r="A215" s="7" t="s">
        <v>267</v>
      </c>
      <c r="B215" s="7">
        <f>ROUND(AVERAGE('SKU sales and Inventory'!D216:Q216),0)</f>
        <v>26</v>
      </c>
      <c r="C215" s="7">
        <f>2*AVERAGE('SKU sales and Inventory'!D216:F216)</f>
        <v>238</v>
      </c>
      <c r="D215" s="7" t="s">
        <v>824</v>
      </c>
    </row>
    <row r="216" spans="1:4" x14ac:dyDescent="0.3">
      <c r="A216" s="7" t="s">
        <v>268</v>
      </c>
      <c r="B216" s="7">
        <f>ROUND(AVERAGE('SKU sales and Inventory'!D217:Q217),0)</f>
        <v>290</v>
      </c>
      <c r="C216" s="7">
        <f>2*AVERAGE('SKU sales and Inventory'!D217:F217)</f>
        <v>756</v>
      </c>
      <c r="D216" s="7" t="s">
        <v>824</v>
      </c>
    </row>
    <row r="217" spans="1:4" x14ac:dyDescent="0.3">
      <c r="A217" s="7" t="s">
        <v>269</v>
      </c>
      <c r="B217" s="7">
        <f>ROUND(AVERAGE('SKU sales and Inventory'!D218:Q218),0)</f>
        <v>222</v>
      </c>
      <c r="C217" s="7">
        <f>2*AVERAGE('SKU sales and Inventory'!D218:F218)</f>
        <v>524</v>
      </c>
      <c r="D217" s="7" t="s">
        <v>824</v>
      </c>
    </row>
    <row r="218" spans="1:4" x14ac:dyDescent="0.3">
      <c r="A218" s="7" t="s">
        <v>270</v>
      </c>
      <c r="B218" s="7">
        <f>ROUND(AVERAGE('SKU sales and Inventory'!D219:Q219),0)</f>
        <v>199</v>
      </c>
      <c r="C218" s="7">
        <f>2*AVERAGE('SKU sales and Inventory'!D219:F219)</f>
        <v>454</v>
      </c>
      <c r="D218" s="7" t="s">
        <v>824</v>
      </c>
    </row>
    <row r="219" spans="1:4" x14ac:dyDescent="0.3">
      <c r="A219" s="7" t="s">
        <v>271</v>
      </c>
      <c r="B219" s="7">
        <f>ROUND(AVERAGE('SKU sales and Inventory'!D220:Q220),0)</f>
        <v>113</v>
      </c>
      <c r="C219" s="7">
        <f>2*AVERAGE('SKU sales and Inventory'!D220:F220)</f>
        <v>390</v>
      </c>
      <c r="D219" s="7" t="s">
        <v>824</v>
      </c>
    </row>
    <row r="220" spans="1:4" x14ac:dyDescent="0.3">
      <c r="A220" s="7" t="s">
        <v>272</v>
      </c>
      <c r="B220" s="7">
        <f>ROUND(AVERAGE('SKU sales and Inventory'!D221:Q221),0)</f>
        <v>58</v>
      </c>
      <c r="C220" s="7">
        <f>2*AVERAGE('SKU sales and Inventory'!D221:F221)</f>
        <v>176</v>
      </c>
      <c r="D220" s="7" t="s">
        <v>824</v>
      </c>
    </row>
    <row r="221" spans="1:4" x14ac:dyDescent="0.3">
      <c r="A221" s="7" t="s">
        <v>273</v>
      </c>
      <c r="B221" s="7">
        <f>ROUND(AVERAGE('SKU sales and Inventory'!D222:Q222),0)</f>
        <v>176</v>
      </c>
      <c r="C221" s="7">
        <f>2*AVERAGE('SKU sales and Inventory'!D222:F222)</f>
        <v>414</v>
      </c>
      <c r="D221" s="7" t="s">
        <v>824</v>
      </c>
    </row>
    <row r="222" spans="1:4" x14ac:dyDescent="0.3">
      <c r="A222" s="7" t="s">
        <v>274</v>
      </c>
      <c r="B222" s="7">
        <f>ROUND(AVERAGE('SKU sales and Inventory'!D223:Q223),0)</f>
        <v>54</v>
      </c>
      <c r="C222" s="7">
        <f>2*AVERAGE('SKU sales and Inventory'!D223:F223)</f>
        <v>306</v>
      </c>
      <c r="D222" s="7" t="s">
        <v>824</v>
      </c>
    </row>
    <row r="223" spans="1:4" x14ac:dyDescent="0.3">
      <c r="A223" s="7" t="s">
        <v>275</v>
      </c>
      <c r="B223" s="7">
        <f>ROUND(AVERAGE('SKU sales and Inventory'!D224:Q224),0)</f>
        <v>89</v>
      </c>
      <c r="C223" s="7">
        <f>2*AVERAGE('SKU sales and Inventory'!D224:F224)</f>
        <v>278</v>
      </c>
      <c r="D223" s="7" t="s">
        <v>824</v>
      </c>
    </row>
    <row r="224" spans="1:4" x14ac:dyDescent="0.3">
      <c r="A224" s="7" t="s">
        <v>276</v>
      </c>
      <c r="B224" s="7">
        <f>ROUND(AVERAGE('SKU sales and Inventory'!D225:Q225),0)</f>
        <v>122</v>
      </c>
      <c r="C224" s="7">
        <f>2*AVERAGE('SKU sales and Inventory'!D225:F225)</f>
        <v>178</v>
      </c>
      <c r="D224" s="7" t="s">
        <v>824</v>
      </c>
    </row>
    <row r="225" spans="1:4" x14ac:dyDescent="0.3">
      <c r="A225" s="7" t="s">
        <v>277</v>
      </c>
      <c r="B225" s="7">
        <f>ROUND(AVERAGE('SKU sales and Inventory'!D226:Q226),0)</f>
        <v>235</v>
      </c>
      <c r="C225" s="7">
        <f>2*AVERAGE('SKU sales and Inventory'!D226:F226)</f>
        <v>536</v>
      </c>
      <c r="D225" s="7" t="s">
        <v>824</v>
      </c>
    </row>
    <row r="226" spans="1:4" x14ac:dyDescent="0.3">
      <c r="A226" s="7" t="s">
        <v>278</v>
      </c>
      <c r="B226" s="7">
        <f>ROUND(AVERAGE('SKU sales and Inventory'!D227:Q227),0)</f>
        <v>204</v>
      </c>
      <c r="C226" s="7">
        <f>2*AVERAGE('SKU sales and Inventory'!D227:F227)</f>
        <v>346</v>
      </c>
      <c r="D226" s="7" t="s">
        <v>824</v>
      </c>
    </row>
    <row r="227" spans="1:4" x14ac:dyDescent="0.3">
      <c r="A227" s="7" t="s">
        <v>279</v>
      </c>
      <c r="B227" s="7">
        <f>ROUND(AVERAGE('SKU sales and Inventory'!D228:Q228),0)</f>
        <v>81</v>
      </c>
      <c r="C227" s="7">
        <f>2*AVERAGE('SKU sales and Inventory'!D228:F228)</f>
        <v>316</v>
      </c>
      <c r="D227" s="7" t="s">
        <v>824</v>
      </c>
    </row>
    <row r="228" spans="1:4" x14ac:dyDescent="0.3">
      <c r="A228" s="7" t="s">
        <v>280</v>
      </c>
      <c r="B228" s="7">
        <f>ROUND(AVERAGE('SKU sales and Inventory'!D229:Q229),0)</f>
        <v>89</v>
      </c>
      <c r="C228" s="7">
        <f>2*AVERAGE('SKU sales and Inventory'!D229:F229)</f>
        <v>488</v>
      </c>
      <c r="D228" s="7" t="s">
        <v>824</v>
      </c>
    </row>
    <row r="229" spans="1:4" x14ac:dyDescent="0.3">
      <c r="A229" s="7" t="s">
        <v>281</v>
      </c>
      <c r="B229" s="7">
        <f>ROUND(AVERAGE('SKU sales and Inventory'!D230:Q230),0)</f>
        <v>56</v>
      </c>
      <c r="C229" s="7">
        <f>2*AVERAGE('SKU sales and Inventory'!D230:F230)</f>
        <v>322</v>
      </c>
      <c r="D229" s="7" t="s">
        <v>824</v>
      </c>
    </row>
    <row r="230" spans="1:4" x14ac:dyDescent="0.3">
      <c r="A230" s="7" t="s">
        <v>282</v>
      </c>
      <c r="B230" s="7">
        <f>ROUND(AVERAGE('SKU sales and Inventory'!D231:Q231),0)</f>
        <v>93</v>
      </c>
      <c r="C230" s="7">
        <f>2*AVERAGE('SKU sales and Inventory'!D231:F231)</f>
        <v>272</v>
      </c>
      <c r="D230" s="7" t="s">
        <v>824</v>
      </c>
    </row>
    <row r="231" spans="1:4" x14ac:dyDescent="0.3">
      <c r="A231" s="7" t="s">
        <v>283</v>
      </c>
      <c r="B231" s="7">
        <f>ROUND(AVERAGE('SKU sales and Inventory'!D232:Q232),0)</f>
        <v>90</v>
      </c>
      <c r="C231" s="7">
        <f>2*AVERAGE('SKU sales and Inventory'!D232:F232)</f>
        <v>318</v>
      </c>
      <c r="D231" s="7" t="s">
        <v>824</v>
      </c>
    </row>
    <row r="232" spans="1:4" x14ac:dyDescent="0.3">
      <c r="A232" s="7" t="s">
        <v>284</v>
      </c>
      <c r="B232" s="7">
        <f>ROUND(AVERAGE('SKU sales and Inventory'!D233:Q233),0)</f>
        <v>49</v>
      </c>
      <c r="C232" s="7">
        <f>2*AVERAGE('SKU sales and Inventory'!D233:F233)</f>
        <v>236</v>
      </c>
      <c r="D232" s="7" t="s">
        <v>824</v>
      </c>
    </row>
    <row r="233" spans="1:4" x14ac:dyDescent="0.3">
      <c r="A233" s="7" t="s">
        <v>285</v>
      </c>
      <c r="B233" s="7">
        <f>ROUND(AVERAGE('SKU sales and Inventory'!D234:Q234),0)</f>
        <v>41</v>
      </c>
      <c r="C233" s="7">
        <f>2*AVERAGE('SKU sales and Inventory'!D234:F234)</f>
        <v>170</v>
      </c>
      <c r="D233" s="7" t="s">
        <v>824</v>
      </c>
    </row>
    <row r="234" spans="1:4" x14ac:dyDescent="0.3">
      <c r="A234" s="7" t="s">
        <v>286</v>
      </c>
      <c r="B234" s="7">
        <f>ROUND(AVERAGE('SKU sales and Inventory'!D235:Q235),0)</f>
        <v>153</v>
      </c>
      <c r="C234" s="7">
        <f>2*AVERAGE('SKU sales and Inventory'!D235:F235)</f>
        <v>174</v>
      </c>
      <c r="D234" s="7" t="s">
        <v>824</v>
      </c>
    </row>
    <row r="235" spans="1:4" x14ac:dyDescent="0.3">
      <c r="A235" s="7" t="s">
        <v>287</v>
      </c>
      <c r="B235" s="7">
        <f>ROUND(AVERAGE('SKU sales and Inventory'!D236:Q236),0)</f>
        <v>98</v>
      </c>
      <c r="C235" s="7">
        <f>2*AVERAGE('SKU sales and Inventory'!D236:F236)</f>
        <v>588</v>
      </c>
      <c r="D235" s="7" t="s">
        <v>824</v>
      </c>
    </row>
    <row r="236" spans="1:4" x14ac:dyDescent="0.3">
      <c r="A236" s="7" t="s">
        <v>288</v>
      </c>
      <c r="B236" s="7">
        <f>ROUND(AVERAGE('SKU sales and Inventory'!D237:Q237),0)</f>
        <v>21</v>
      </c>
      <c r="C236" s="7">
        <f>2*AVERAGE('SKU sales and Inventory'!D237:F237)</f>
        <v>194</v>
      </c>
      <c r="D236" s="7" t="s">
        <v>824</v>
      </c>
    </row>
    <row r="237" spans="1:4" x14ac:dyDescent="0.3">
      <c r="A237" s="7" t="s">
        <v>289</v>
      </c>
      <c r="B237" s="7">
        <f>ROUND(AVERAGE('SKU sales and Inventory'!D238:Q238),0)</f>
        <v>43</v>
      </c>
      <c r="C237" s="7">
        <f>2*AVERAGE('SKU sales and Inventory'!D238:F238)</f>
        <v>268</v>
      </c>
      <c r="D237" s="7" t="s">
        <v>824</v>
      </c>
    </row>
    <row r="238" spans="1:4" x14ac:dyDescent="0.3">
      <c r="A238" s="7" t="s">
        <v>290</v>
      </c>
      <c r="B238" s="7">
        <f>ROUND(AVERAGE('SKU sales and Inventory'!D239:Q239),0)</f>
        <v>33</v>
      </c>
      <c r="C238" s="7">
        <f>2*AVERAGE('SKU sales and Inventory'!D239:F239)</f>
        <v>148</v>
      </c>
      <c r="D238" s="7" t="s">
        <v>824</v>
      </c>
    </row>
    <row r="239" spans="1:4" x14ac:dyDescent="0.3">
      <c r="A239" s="7" t="s">
        <v>291</v>
      </c>
      <c r="B239" s="7">
        <f>ROUND(AVERAGE('SKU sales and Inventory'!D240:Q240),0)</f>
        <v>16</v>
      </c>
      <c r="C239" s="7">
        <f>2*AVERAGE('SKU sales and Inventory'!D240:F240)</f>
        <v>152</v>
      </c>
      <c r="D239" s="7" t="s">
        <v>824</v>
      </c>
    </row>
    <row r="240" spans="1:4" x14ac:dyDescent="0.3">
      <c r="A240" s="7" t="s">
        <v>292</v>
      </c>
      <c r="B240" s="7">
        <f>ROUND(AVERAGE('SKU sales and Inventory'!D241:Q241),0)</f>
        <v>22</v>
      </c>
      <c r="C240" s="7">
        <f>2*AVERAGE('SKU sales and Inventory'!D241:F241)</f>
        <v>182</v>
      </c>
      <c r="D240" s="7" t="s">
        <v>824</v>
      </c>
    </row>
    <row r="241" spans="1:4" x14ac:dyDescent="0.3">
      <c r="A241" s="7" t="s">
        <v>293</v>
      </c>
      <c r="B241" s="7">
        <f>ROUND(AVERAGE('SKU sales and Inventory'!D242:Q242),0)</f>
        <v>13</v>
      </c>
      <c r="C241" s="7">
        <f>2*AVERAGE('SKU sales and Inventory'!D242:F242)</f>
        <v>124</v>
      </c>
      <c r="D241" s="7" t="s">
        <v>824</v>
      </c>
    </row>
    <row r="242" spans="1:4" x14ac:dyDescent="0.3">
      <c r="A242" s="7" t="s">
        <v>294</v>
      </c>
      <c r="B242" s="7">
        <f>ROUND(AVERAGE('SKU sales and Inventory'!D243:Q243),0)</f>
        <v>18</v>
      </c>
      <c r="C242" s="7">
        <f>2*AVERAGE('SKU sales and Inventory'!D243:F243)</f>
        <v>150</v>
      </c>
      <c r="D242" s="7" t="s">
        <v>824</v>
      </c>
    </row>
    <row r="243" spans="1:4" x14ac:dyDescent="0.3">
      <c r="A243" s="7" t="s">
        <v>295</v>
      </c>
      <c r="B243" s="7">
        <f>ROUND(AVERAGE('SKU sales and Inventory'!D244:Q244),0)</f>
        <v>123</v>
      </c>
      <c r="C243" s="7">
        <f>2*AVERAGE('SKU sales and Inventory'!D244:F244)</f>
        <v>228</v>
      </c>
      <c r="D243" s="7" t="s">
        <v>824</v>
      </c>
    </row>
    <row r="244" spans="1:4" x14ac:dyDescent="0.3">
      <c r="A244" s="7" t="s">
        <v>296</v>
      </c>
      <c r="B244" s="7">
        <f>ROUND(AVERAGE('SKU sales and Inventory'!D245:Q245),0)</f>
        <v>58</v>
      </c>
      <c r="C244" s="7">
        <f>2*AVERAGE('SKU sales and Inventory'!D245:F245)</f>
        <v>318</v>
      </c>
      <c r="D244" s="7" t="s">
        <v>824</v>
      </c>
    </row>
    <row r="245" spans="1:4" x14ac:dyDescent="0.3">
      <c r="A245" s="7" t="s">
        <v>297</v>
      </c>
      <c r="B245" s="7">
        <f>ROUND(AVERAGE('SKU sales and Inventory'!D246:Q246),0)</f>
        <v>23</v>
      </c>
      <c r="C245" s="7">
        <f>2*AVERAGE('SKU sales and Inventory'!D246:F246)</f>
        <v>192</v>
      </c>
      <c r="D245" s="7" t="s">
        <v>824</v>
      </c>
    </row>
    <row r="246" spans="1:4" x14ac:dyDescent="0.3">
      <c r="A246" s="7" t="s">
        <v>298</v>
      </c>
      <c r="B246" s="7">
        <f>ROUND(AVERAGE('SKU sales and Inventory'!D247:Q247),0)</f>
        <v>28</v>
      </c>
      <c r="C246" s="7">
        <f>2*AVERAGE('SKU sales and Inventory'!D247:F247)</f>
        <v>214</v>
      </c>
      <c r="D246" s="7" t="s">
        <v>824</v>
      </c>
    </row>
    <row r="247" spans="1:4" x14ac:dyDescent="0.3">
      <c r="A247" s="7" t="s">
        <v>299</v>
      </c>
      <c r="B247" s="7">
        <f>ROUND(AVERAGE('SKU sales and Inventory'!D248:Q248),0)</f>
        <v>271</v>
      </c>
      <c r="C247" s="7">
        <f>2*AVERAGE('SKU sales and Inventory'!D248:F248)</f>
        <v>292</v>
      </c>
      <c r="D247" s="7" t="s">
        <v>824</v>
      </c>
    </row>
    <row r="248" spans="1:4" x14ac:dyDescent="0.3">
      <c r="A248" s="7" t="s">
        <v>300</v>
      </c>
      <c r="B248" s="7">
        <f>ROUND(AVERAGE('SKU sales and Inventory'!D249:Q249),0)</f>
        <v>160</v>
      </c>
      <c r="C248" s="7">
        <f>2*AVERAGE('SKU sales and Inventory'!D249:F249)</f>
        <v>360</v>
      </c>
      <c r="D248" s="7" t="s">
        <v>824</v>
      </c>
    </row>
    <row r="249" spans="1:4" x14ac:dyDescent="0.3">
      <c r="A249" s="7" t="s">
        <v>301</v>
      </c>
      <c r="B249" s="7">
        <f>ROUND(AVERAGE('SKU sales and Inventory'!D250:Q250),0)</f>
        <v>16</v>
      </c>
      <c r="C249" s="7">
        <f>2*AVERAGE('SKU sales and Inventory'!D250:F250)</f>
        <v>152</v>
      </c>
      <c r="D249" s="7" t="s">
        <v>824</v>
      </c>
    </row>
    <row r="250" spans="1:4" x14ac:dyDescent="0.3">
      <c r="A250" s="7" t="s">
        <v>302</v>
      </c>
      <c r="B250" s="7">
        <f>ROUND(AVERAGE('SKU sales and Inventory'!D251:Q251),0)</f>
        <v>21</v>
      </c>
      <c r="C250" s="7">
        <f>2*AVERAGE('SKU sales and Inventory'!D251:F251)</f>
        <v>180</v>
      </c>
      <c r="D250" s="7" t="s">
        <v>824</v>
      </c>
    </row>
    <row r="251" spans="1:4" x14ac:dyDescent="0.3">
      <c r="A251" s="7" t="s">
        <v>303</v>
      </c>
      <c r="B251" s="7">
        <f>ROUND(AVERAGE('SKU sales and Inventory'!D252:Q252),0)</f>
        <v>57</v>
      </c>
      <c r="C251" s="7">
        <f>2*AVERAGE('SKU sales and Inventory'!D252:F252)</f>
        <v>476</v>
      </c>
      <c r="D251" s="7" t="s">
        <v>824</v>
      </c>
    </row>
    <row r="252" spans="1:4" x14ac:dyDescent="0.3">
      <c r="A252" s="7" t="s">
        <v>304</v>
      </c>
      <c r="B252" s="7">
        <f>ROUND(AVERAGE('SKU sales and Inventory'!D253:Q253),0)</f>
        <v>30</v>
      </c>
      <c r="C252" s="7">
        <f>2*AVERAGE('SKU sales and Inventory'!D253:F253)</f>
        <v>232</v>
      </c>
      <c r="D252" s="7" t="s">
        <v>824</v>
      </c>
    </row>
    <row r="253" spans="1:4" x14ac:dyDescent="0.3">
      <c r="A253" s="7" t="s">
        <v>305</v>
      </c>
      <c r="B253" s="7">
        <f>ROUND(AVERAGE('SKU sales and Inventory'!D254:Q254),0)</f>
        <v>24</v>
      </c>
      <c r="C253" s="7">
        <f>2*AVERAGE('SKU sales and Inventory'!D254:F254)</f>
        <v>220</v>
      </c>
      <c r="D253" s="7" t="s">
        <v>824</v>
      </c>
    </row>
    <row r="254" spans="1:4" x14ac:dyDescent="0.3">
      <c r="A254" s="7" t="s">
        <v>306</v>
      </c>
      <c r="B254" s="7">
        <f>ROUND(AVERAGE('SKU sales and Inventory'!D255:Q255),0)</f>
        <v>32</v>
      </c>
      <c r="C254" s="7">
        <f>2*AVERAGE('SKU sales and Inventory'!D255:F255)</f>
        <v>246</v>
      </c>
      <c r="D254" s="7" t="s">
        <v>824</v>
      </c>
    </row>
    <row r="255" spans="1:4" x14ac:dyDescent="0.3">
      <c r="A255" s="7" t="s">
        <v>307</v>
      </c>
      <c r="B255" s="7">
        <f>ROUND(AVERAGE('SKU sales and Inventory'!D256:Q256),0)</f>
        <v>17</v>
      </c>
      <c r="C255" s="7">
        <f>2*AVERAGE('SKU sales and Inventory'!D256:F256)</f>
        <v>148</v>
      </c>
      <c r="D255" s="7" t="s">
        <v>824</v>
      </c>
    </row>
    <row r="256" spans="1:4" x14ac:dyDescent="0.3">
      <c r="A256" s="7" t="s">
        <v>308</v>
      </c>
      <c r="B256" s="7">
        <f>ROUND(AVERAGE('SKU sales and Inventory'!D257:Q257),0)</f>
        <v>27</v>
      </c>
      <c r="C256" s="7">
        <f>2*AVERAGE('SKU sales and Inventory'!D257:F257)</f>
        <v>82</v>
      </c>
      <c r="D256" s="7" t="s">
        <v>824</v>
      </c>
    </row>
    <row r="257" spans="1:4" x14ac:dyDescent="0.3">
      <c r="A257" s="7" t="s">
        <v>309</v>
      </c>
      <c r="B257" s="7">
        <f>ROUND(AVERAGE('SKU sales and Inventory'!D258:Q258),0)</f>
        <v>75</v>
      </c>
      <c r="C257" s="7">
        <f>2*AVERAGE('SKU sales and Inventory'!D258:F258)</f>
        <v>164</v>
      </c>
      <c r="D257" s="7" t="s">
        <v>824</v>
      </c>
    </row>
    <row r="258" spans="1:4" x14ac:dyDescent="0.3">
      <c r="A258" s="7" t="s">
        <v>310</v>
      </c>
      <c r="B258" s="7">
        <f>ROUND(AVERAGE('SKU sales and Inventory'!D259:Q259),0)</f>
        <v>31</v>
      </c>
      <c r="C258" s="7">
        <f>2*AVERAGE('SKU sales and Inventory'!D259:F259)</f>
        <v>154</v>
      </c>
      <c r="D258" s="7" t="s">
        <v>824</v>
      </c>
    </row>
    <row r="259" spans="1:4" x14ac:dyDescent="0.3">
      <c r="A259" s="7" t="s">
        <v>311</v>
      </c>
      <c r="B259" s="7">
        <f>ROUND(AVERAGE('SKU sales and Inventory'!D260:Q260),0)</f>
        <v>73</v>
      </c>
      <c r="C259" s="7">
        <f>2*AVERAGE('SKU sales and Inventory'!D260:F260)</f>
        <v>266</v>
      </c>
      <c r="D259" s="7" t="s">
        <v>824</v>
      </c>
    </row>
    <row r="260" spans="1:4" x14ac:dyDescent="0.3">
      <c r="A260" s="7" t="s">
        <v>312</v>
      </c>
      <c r="B260" s="7">
        <f>ROUND(AVERAGE('SKU sales and Inventory'!D261:Q261),0)</f>
        <v>69</v>
      </c>
      <c r="C260" s="7">
        <f>2*AVERAGE('SKU sales and Inventory'!D261:F261)</f>
        <v>242</v>
      </c>
      <c r="D260" s="7" t="s">
        <v>824</v>
      </c>
    </row>
    <row r="261" spans="1:4" x14ac:dyDescent="0.3">
      <c r="A261" s="7" t="s">
        <v>313</v>
      </c>
      <c r="B261" s="7">
        <f>ROUND(AVERAGE('SKU sales and Inventory'!D262:Q262),0)</f>
        <v>23</v>
      </c>
      <c r="C261" s="7">
        <f>2*AVERAGE('SKU sales and Inventory'!D262:F262)</f>
        <v>202</v>
      </c>
      <c r="D261" s="7" t="s">
        <v>824</v>
      </c>
    </row>
    <row r="262" spans="1:4" x14ac:dyDescent="0.3">
      <c r="A262" s="7" t="s">
        <v>314</v>
      </c>
      <c r="B262" s="7">
        <f>ROUND(AVERAGE('SKU sales and Inventory'!D263:Q263),0)</f>
        <v>59</v>
      </c>
      <c r="C262" s="7">
        <f>2*AVERAGE('SKU sales and Inventory'!D263:F263)</f>
        <v>240</v>
      </c>
      <c r="D262" s="7" t="s">
        <v>824</v>
      </c>
    </row>
    <row r="263" spans="1:4" x14ac:dyDescent="0.3">
      <c r="A263" s="7" t="s">
        <v>315</v>
      </c>
      <c r="B263" s="7">
        <f>ROUND(AVERAGE('SKU sales and Inventory'!D264:Q264),0)</f>
        <v>66</v>
      </c>
      <c r="C263" s="7">
        <f>2*AVERAGE('SKU sales and Inventory'!D264:F264)</f>
        <v>126</v>
      </c>
      <c r="D263" s="7" t="s">
        <v>824</v>
      </c>
    </row>
    <row r="264" spans="1:4" x14ac:dyDescent="0.3">
      <c r="A264" s="7" t="s">
        <v>316</v>
      </c>
      <c r="B264" s="7">
        <f>ROUND(AVERAGE('SKU sales and Inventory'!D265:Q265),0)</f>
        <v>34</v>
      </c>
      <c r="C264" s="7">
        <f>2*AVERAGE('SKU sales and Inventory'!D265:F265)</f>
        <v>214</v>
      </c>
      <c r="D264" s="7" t="s">
        <v>824</v>
      </c>
    </row>
    <row r="265" spans="1:4" x14ac:dyDescent="0.3">
      <c r="A265" s="7" t="s">
        <v>317</v>
      </c>
      <c r="B265" s="7">
        <f>ROUND(AVERAGE('SKU sales and Inventory'!D266:Q266),0)</f>
        <v>22</v>
      </c>
      <c r="C265" s="7">
        <f>2*AVERAGE('SKU sales and Inventory'!D266:F266)</f>
        <v>176</v>
      </c>
      <c r="D265" s="7" t="s">
        <v>824</v>
      </c>
    </row>
    <row r="266" spans="1:4" x14ac:dyDescent="0.3">
      <c r="A266" s="7" t="s">
        <v>318</v>
      </c>
      <c r="B266" s="7">
        <f>ROUND(AVERAGE('SKU sales and Inventory'!D267:Q267),0)</f>
        <v>20</v>
      </c>
      <c r="C266" s="7">
        <f>2*AVERAGE('SKU sales and Inventory'!D267:F267)</f>
        <v>184</v>
      </c>
      <c r="D266" s="7" t="s">
        <v>824</v>
      </c>
    </row>
    <row r="267" spans="1:4" x14ac:dyDescent="0.3">
      <c r="A267" s="7" t="s">
        <v>319</v>
      </c>
      <c r="B267" s="7">
        <f>ROUND(AVERAGE('SKU sales and Inventory'!D268:Q268),0)</f>
        <v>83</v>
      </c>
      <c r="C267" s="7">
        <f>2*AVERAGE('SKU sales and Inventory'!D268:F268)</f>
        <v>342</v>
      </c>
      <c r="D267" s="7" t="s">
        <v>824</v>
      </c>
    </row>
    <row r="268" spans="1:4" x14ac:dyDescent="0.3">
      <c r="A268" s="7" t="s">
        <v>320</v>
      </c>
      <c r="B268" s="7">
        <f>ROUND(AVERAGE('SKU sales and Inventory'!D269:Q269),0)</f>
        <v>19</v>
      </c>
      <c r="C268" s="7">
        <f>2*AVERAGE('SKU sales and Inventory'!D269:F269)</f>
        <v>174</v>
      </c>
      <c r="D268" s="7" t="s">
        <v>824</v>
      </c>
    </row>
    <row r="269" spans="1:4" x14ac:dyDescent="0.3">
      <c r="A269" s="7" t="s">
        <v>321</v>
      </c>
      <c r="B269" s="7">
        <f>ROUND(AVERAGE('SKU sales and Inventory'!D270:Q270),0)</f>
        <v>43</v>
      </c>
      <c r="C269" s="7">
        <f>2*AVERAGE('SKU sales and Inventory'!D270:F270)</f>
        <v>216</v>
      </c>
      <c r="D269" s="7" t="s">
        <v>824</v>
      </c>
    </row>
    <row r="270" spans="1:4" x14ac:dyDescent="0.3">
      <c r="A270" s="7" t="s">
        <v>322</v>
      </c>
      <c r="B270" s="7">
        <f>ROUND(AVERAGE('SKU sales and Inventory'!D271:Q271),0)</f>
        <v>134</v>
      </c>
      <c r="C270" s="7">
        <f>2*AVERAGE('SKU sales and Inventory'!D271:F271)</f>
        <v>318</v>
      </c>
      <c r="D270" s="7" t="s">
        <v>824</v>
      </c>
    </row>
    <row r="271" spans="1:4" x14ac:dyDescent="0.3">
      <c r="A271" s="7" t="s">
        <v>323</v>
      </c>
      <c r="B271" s="7">
        <f>ROUND(AVERAGE('SKU sales and Inventory'!D272:Q272),0)</f>
        <v>280</v>
      </c>
      <c r="C271" s="7">
        <f>2*AVERAGE('SKU sales and Inventory'!D272:F272)</f>
        <v>278</v>
      </c>
      <c r="D271" s="7" t="s">
        <v>824</v>
      </c>
    </row>
    <row r="272" spans="1:4" x14ac:dyDescent="0.3">
      <c r="A272" s="7" t="s">
        <v>324</v>
      </c>
      <c r="B272" s="7">
        <f>ROUND(AVERAGE('SKU sales and Inventory'!D273:Q273),0)</f>
        <v>15</v>
      </c>
      <c r="C272" s="7">
        <f>2*AVERAGE('SKU sales and Inventory'!D273:F273)</f>
        <v>138</v>
      </c>
      <c r="D272" s="7" t="s">
        <v>824</v>
      </c>
    </row>
    <row r="273" spans="1:4" x14ac:dyDescent="0.3">
      <c r="A273" s="7" t="s">
        <v>325</v>
      </c>
      <c r="B273" s="7">
        <f>ROUND(AVERAGE('SKU sales and Inventory'!D274:Q274),0)</f>
        <v>124</v>
      </c>
      <c r="C273" s="7">
        <f>2*AVERAGE('SKU sales and Inventory'!D274:F274)</f>
        <v>198</v>
      </c>
      <c r="D273" s="7" t="s">
        <v>824</v>
      </c>
    </row>
    <row r="274" spans="1:4" x14ac:dyDescent="0.3">
      <c r="A274" s="7" t="s">
        <v>326</v>
      </c>
      <c r="B274" s="7">
        <f>ROUND(AVERAGE('SKU sales and Inventory'!D275:Q275),0)</f>
        <v>28</v>
      </c>
      <c r="C274" s="7">
        <f>2*AVERAGE('SKU sales and Inventory'!D275:F275)</f>
        <v>212</v>
      </c>
      <c r="D274" s="7" t="s">
        <v>824</v>
      </c>
    </row>
    <row r="275" spans="1:4" x14ac:dyDescent="0.3">
      <c r="A275" s="7" t="s">
        <v>327</v>
      </c>
      <c r="B275" s="7">
        <f>ROUND(AVERAGE('SKU sales and Inventory'!D276:Q276),0)</f>
        <v>30</v>
      </c>
      <c r="C275" s="7">
        <f>2*AVERAGE('SKU sales and Inventory'!D276:F276)</f>
        <v>228</v>
      </c>
      <c r="D275" s="7" t="s">
        <v>824</v>
      </c>
    </row>
    <row r="276" spans="1:4" x14ac:dyDescent="0.3">
      <c r="A276" s="7" t="s">
        <v>328</v>
      </c>
      <c r="B276" s="7">
        <f>ROUND(AVERAGE('SKU sales and Inventory'!D277:Q277),0)</f>
        <v>48</v>
      </c>
      <c r="C276" s="7">
        <f>2*AVERAGE('SKU sales and Inventory'!D277:F277)</f>
        <v>130</v>
      </c>
      <c r="D276" s="7" t="s">
        <v>824</v>
      </c>
    </row>
    <row r="277" spans="1:4" x14ac:dyDescent="0.3">
      <c r="A277" s="7" t="s">
        <v>329</v>
      </c>
      <c r="B277" s="7">
        <f>ROUND(AVERAGE('SKU sales and Inventory'!D278:Q278),0)</f>
        <v>101</v>
      </c>
      <c r="C277" s="7">
        <f>2*AVERAGE('SKU sales and Inventory'!D278:F278)</f>
        <v>268</v>
      </c>
      <c r="D277" s="7" t="s">
        <v>824</v>
      </c>
    </row>
    <row r="278" spans="1:4" x14ac:dyDescent="0.3">
      <c r="A278" s="7" t="s">
        <v>330</v>
      </c>
      <c r="B278" s="7">
        <f>ROUND(AVERAGE('SKU sales and Inventory'!D279:Q279),0)</f>
        <v>55</v>
      </c>
      <c r="C278" s="7">
        <f>2*AVERAGE('SKU sales and Inventory'!D279:F279)</f>
        <v>208</v>
      </c>
      <c r="D278" s="7" t="s">
        <v>824</v>
      </c>
    </row>
    <row r="279" spans="1:4" x14ac:dyDescent="0.3">
      <c r="A279" s="7" t="s">
        <v>331</v>
      </c>
      <c r="B279" s="7">
        <f>ROUND(AVERAGE('SKU sales and Inventory'!D280:Q280),0)</f>
        <v>44</v>
      </c>
      <c r="C279" s="7">
        <f>2*AVERAGE('SKU sales and Inventory'!D280:F280)</f>
        <v>216</v>
      </c>
      <c r="D279" s="7" t="s">
        <v>824</v>
      </c>
    </row>
    <row r="280" spans="1:4" x14ac:dyDescent="0.3">
      <c r="A280" s="7" t="s">
        <v>332</v>
      </c>
      <c r="B280" s="7">
        <f>ROUND(AVERAGE('SKU sales and Inventory'!D281:Q281),0)</f>
        <v>23</v>
      </c>
      <c r="C280" s="7">
        <f>2*AVERAGE('SKU sales and Inventory'!D281:F281)</f>
        <v>210</v>
      </c>
      <c r="D280" s="7" t="s">
        <v>824</v>
      </c>
    </row>
    <row r="281" spans="1:4" x14ac:dyDescent="0.3">
      <c r="A281" s="7" t="s">
        <v>333</v>
      </c>
      <c r="B281" s="7">
        <f>ROUND(AVERAGE('SKU sales and Inventory'!D282:Q282),0)</f>
        <v>120</v>
      </c>
      <c r="C281" s="7">
        <f>2*AVERAGE('SKU sales and Inventory'!D282:F282)</f>
        <v>278</v>
      </c>
      <c r="D281" s="7" t="s">
        <v>824</v>
      </c>
    </row>
    <row r="282" spans="1:4" x14ac:dyDescent="0.3">
      <c r="A282" s="7" t="s">
        <v>334</v>
      </c>
      <c r="B282" s="7">
        <f>ROUND(AVERAGE('SKU sales and Inventory'!D283:Q283),0)</f>
        <v>51</v>
      </c>
      <c r="C282" s="7">
        <f>2*AVERAGE('SKU sales and Inventory'!D283:F283)</f>
        <v>264</v>
      </c>
      <c r="D282" s="7" t="s">
        <v>824</v>
      </c>
    </row>
    <row r="283" spans="1:4" x14ac:dyDescent="0.3">
      <c r="A283" s="7" t="s">
        <v>335</v>
      </c>
      <c r="B283" s="7">
        <f>ROUND(AVERAGE('SKU sales and Inventory'!D284:Q284),0)</f>
        <v>126</v>
      </c>
      <c r="C283" s="7">
        <f>2*AVERAGE('SKU sales and Inventory'!D284:F284)</f>
        <v>242</v>
      </c>
      <c r="D283" s="7" t="s">
        <v>824</v>
      </c>
    </row>
    <row r="284" spans="1:4" x14ac:dyDescent="0.3">
      <c r="A284" s="7" t="s">
        <v>336</v>
      </c>
      <c r="B284" s="7">
        <f>ROUND(AVERAGE('SKU sales and Inventory'!D285:Q285),0)</f>
        <v>34</v>
      </c>
      <c r="C284" s="7">
        <f>2*AVERAGE('SKU sales and Inventory'!D285:F285)</f>
        <v>218</v>
      </c>
      <c r="D284" s="7" t="s">
        <v>824</v>
      </c>
    </row>
    <row r="285" spans="1:4" x14ac:dyDescent="0.3">
      <c r="A285" s="7" t="s">
        <v>337</v>
      </c>
      <c r="B285" s="7">
        <f>ROUND(AVERAGE('SKU sales and Inventory'!D286:Q286),0)</f>
        <v>66</v>
      </c>
      <c r="C285" s="7">
        <f>2*AVERAGE('SKU sales and Inventory'!D286:F286)</f>
        <v>206</v>
      </c>
      <c r="D285" s="7" t="s">
        <v>824</v>
      </c>
    </row>
    <row r="286" spans="1:4" x14ac:dyDescent="0.3">
      <c r="A286" s="7" t="s">
        <v>338</v>
      </c>
      <c r="B286" s="7">
        <f>ROUND(AVERAGE('SKU sales and Inventory'!D287:Q287),0)</f>
        <v>49</v>
      </c>
      <c r="C286" s="7">
        <f>2*AVERAGE('SKU sales and Inventory'!D287:F287)</f>
        <v>136</v>
      </c>
      <c r="D286" s="7" t="s">
        <v>824</v>
      </c>
    </row>
    <row r="287" spans="1:4" x14ac:dyDescent="0.3">
      <c r="A287" s="7" t="s">
        <v>339</v>
      </c>
      <c r="B287" s="7">
        <f>ROUND(AVERAGE('SKU sales and Inventory'!D288:Q288),0)</f>
        <v>19</v>
      </c>
      <c r="C287" s="7">
        <f>2*AVERAGE('SKU sales and Inventory'!D288:F288)</f>
        <v>76</v>
      </c>
      <c r="D287" s="7" t="s">
        <v>824</v>
      </c>
    </row>
    <row r="288" spans="1:4" x14ac:dyDescent="0.3">
      <c r="A288" s="7" t="s">
        <v>340</v>
      </c>
      <c r="B288" s="7">
        <f>ROUND(AVERAGE('SKU sales and Inventory'!D289:Q289),0)</f>
        <v>164</v>
      </c>
      <c r="C288" s="7">
        <f>2*AVERAGE('SKU sales and Inventory'!D289:F289)</f>
        <v>154</v>
      </c>
      <c r="D288" s="7" t="s">
        <v>824</v>
      </c>
    </row>
    <row r="289" spans="1:4" x14ac:dyDescent="0.3">
      <c r="A289" s="7" t="s">
        <v>341</v>
      </c>
      <c r="B289" s="7">
        <f>ROUND(AVERAGE('SKU sales and Inventory'!D290:Q290),0)</f>
        <v>83</v>
      </c>
      <c r="C289" s="7">
        <f>2*AVERAGE('SKU sales and Inventory'!D290:F290)</f>
        <v>326</v>
      </c>
      <c r="D289" s="7" t="s">
        <v>824</v>
      </c>
    </row>
    <row r="290" spans="1:4" x14ac:dyDescent="0.3">
      <c r="A290" s="7" t="s">
        <v>342</v>
      </c>
      <c r="B290" s="7">
        <f>ROUND(AVERAGE('SKU sales and Inventory'!D291:Q291),0)</f>
        <v>67</v>
      </c>
      <c r="C290" s="7">
        <f>2*AVERAGE('SKU sales and Inventory'!D291:F291)</f>
        <v>146</v>
      </c>
      <c r="D290" s="7" t="s">
        <v>824</v>
      </c>
    </row>
    <row r="291" spans="1:4" x14ac:dyDescent="0.3">
      <c r="A291" s="7" t="s">
        <v>343</v>
      </c>
      <c r="B291" s="7">
        <f>ROUND(AVERAGE('SKU sales and Inventory'!D292:Q292),0)</f>
        <v>19</v>
      </c>
      <c r="C291" s="7">
        <f>2*AVERAGE('SKU sales and Inventory'!D292:F292)</f>
        <v>136</v>
      </c>
      <c r="D291" s="7" t="s">
        <v>824</v>
      </c>
    </row>
    <row r="292" spans="1:4" x14ac:dyDescent="0.3">
      <c r="A292" s="7" t="s">
        <v>344</v>
      </c>
      <c r="B292" s="7">
        <f>ROUND(AVERAGE('SKU sales and Inventory'!D293:Q293),0)</f>
        <v>129</v>
      </c>
      <c r="C292" s="7">
        <f>2*AVERAGE('SKU sales and Inventory'!D293:F293)</f>
        <v>124</v>
      </c>
      <c r="D292" s="7" t="s">
        <v>824</v>
      </c>
    </row>
    <row r="293" spans="1:4" x14ac:dyDescent="0.3">
      <c r="A293" s="7" t="s">
        <v>345</v>
      </c>
      <c r="B293" s="7">
        <f>ROUND(AVERAGE('SKU sales and Inventory'!D294:Q294),0)</f>
        <v>35</v>
      </c>
      <c r="C293" s="7">
        <f>2*AVERAGE('SKU sales and Inventory'!D294:F294)</f>
        <v>148</v>
      </c>
      <c r="D293" s="7" t="s">
        <v>824</v>
      </c>
    </row>
    <row r="294" spans="1:4" x14ac:dyDescent="0.3">
      <c r="A294" s="7" t="s">
        <v>346</v>
      </c>
      <c r="B294" s="7">
        <f>ROUND(AVERAGE('SKU sales and Inventory'!D295:Q295),0)</f>
        <v>32</v>
      </c>
      <c r="C294" s="7">
        <f>2*AVERAGE('SKU sales and Inventory'!D295:F295)</f>
        <v>202</v>
      </c>
      <c r="D294" s="7" t="s">
        <v>824</v>
      </c>
    </row>
    <row r="295" spans="1:4" x14ac:dyDescent="0.3">
      <c r="A295" s="7" t="s">
        <v>347</v>
      </c>
      <c r="B295" s="7">
        <f>ROUND(AVERAGE('SKU sales and Inventory'!D296:Q296),0)</f>
        <v>59</v>
      </c>
      <c r="C295" s="7">
        <f>2*AVERAGE('SKU sales and Inventory'!D296:F296)</f>
        <v>282</v>
      </c>
      <c r="D295" s="7" t="s">
        <v>824</v>
      </c>
    </row>
    <row r="296" spans="1:4" x14ac:dyDescent="0.3">
      <c r="A296" s="7" t="s">
        <v>348</v>
      </c>
      <c r="B296" s="7">
        <f>ROUND(AVERAGE('SKU sales and Inventory'!D297:Q297),0)</f>
        <v>30</v>
      </c>
      <c r="C296" s="7">
        <f>2*AVERAGE('SKU sales and Inventory'!D297:F297)</f>
        <v>156</v>
      </c>
      <c r="D296" s="7" t="s">
        <v>824</v>
      </c>
    </row>
    <row r="297" spans="1:4" x14ac:dyDescent="0.3">
      <c r="A297" s="7" t="s">
        <v>349</v>
      </c>
      <c r="B297" s="7">
        <f>ROUND(AVERAGE('SKU sales and Inventory'!D298:Q298),0)</f>
        <v>91</v>
      </c>
      <c r="C297" s="7">
        <f>2*AVERAGE('SKU sales and Inventory'!D298:F298)</f>
        <v>182</v>
      </c>
      <c r="D297" s="7" t="s">
        <v>824</v>
      </c>
    </row>
    <row r="298" spans="1:4" x14ac:dyDescent="0.3">
      <c r="A298" s="7" t="s">
        <v>350</v>
      </c>
      <c r="B298" s="7">
        <f>ROUND(AVERAGE('SKU sales and Inventory'!D299:Q299),0)</f>
        <v>56</v>
      </c>
      <c r="C298" s="7">
        <f>2*AVERAGE('SKU sales and Inventory'!D299:F299)</f>
        <v>172</v>
      </c>
      <c r="D298" s="7" t="s">
        <v>824</v>
      </c>
    </row>
    <row r="299" spans="1:4" x14ac:dyDescent="0.3">
      <c r="A299" s="7" t="s">
        <v>351</v>
      </c>
      <c r="B299" s="7">
        <f>ROUND(AVERAGE('SKU sales and Inventory'!D300:Q300),0)</f>
        <v>11</v>
      </c>
      <c r="C299" s="7">
        <f>2*AVERAGE('SKU sales and Inventory'!D300:F300)</f>
        <v>98</v>
      </c>
      <c r="D299" s="7" t="s">
        <v>824</v>
      </c>
    </row>
    <row r="300" spans="1:4" x14ac:dyDescent="0.3">
      <c r="A300" s="7" t="s">
        <v>352</v>
      </c>
      <c r="B300" s="7">
        <f>ROUND(AVERAGE('SKU sales and Inventory'!D301:Q301),0)</f>
        <v>28</v>
      </c>
      <c r="C300" s="7">
        <f>2*AVERAGE('SKU sales and Inventory'!D301:F301)</f>
        <v>94</v>
      </c>
      <c r="D300" s="7" t="s">
        <v>824</v>
      </c>
    </row>
    <row r="301" spans="1:4" x14ac:dyDescent="0.3">
      <c r="A301" s="7" t="s">
        <v>353</v>
      </c>
      <c r="B301" s="7">
        <f>ROUND(AVERAGE('SKU sales and Inventory'!D302:Q302),0)</f>
        <v>103</v>
      </c>
      <c r="C301" s="7">
        <f>2*AVERAGE('SKU sales and Inventory'!D302:F302)</f>
        <v>268</v>
      </c>
      <c r="D301" s="7" t="s">
        <v>824</v>
      </c>
    </row>
    <row r="302" spans="1:4" x14ac:dyDescent="0.3">
      <c r="A302" s="7" t="s">
        <v>354</v>
      </c>
      <c r="B302" s="7">
        <f>ROUND(AVERAGE('SKU sales and Inventory'!D303:Q303),0)</f>
        <v>30</v>
      </c>
      <c r="C302" s="7">
        <f>2*AVERAGE('SKU sales and Inventory'!D303:F303)</f>
        <v>208</v>
      </c>
      <c r="D302" s="7" t="s">
        <v>824</v>
      </c>
    </row>
    <row r="303" spans="1:4" x14ac:dyDescent="0.3">
      <c r="A303" s="7" t="s">
        <v>355</v>
      </c>
      <c r="B303" s="7">
        <f>ROUND(AVERAGE('SKU sales and Inventory'!D304:Q304),0)</f>
        <v>20</v>
      </c>
      <c r="C303" s="7">
        <f>2*AVERAGE('SKU sales and Inventory'!D304:F304)</f>
        <v>162</v>
      </c>
      <c r="D303" s="7" t="s">
        <v>824</v>
      </c>
    </row>
    <row r="304" spans="1:4" x14ac:dyDescent="0.3">
      <c r="A304" s="7" t="s">
        <v>356</v>
      </c>
      <c r="B304" s="7">
        <f>ROUND(AVERAGE('SKU sales and Inventory'!D305:Q305),0)</f>
        <v>91</v>
      </c>
      <c r="C304" s="7">
        <f>2*AVERAGE('SKU sales and Inventory'!D305:F305)</f>
        <v>152</v>
      </c>
      <c r="D304" s="7" t="s">
        <v>824</v>
      </c>
    </row>
    <row r="305" spans="1:4" x14ac:dyDescent="0.3">
      <c r="A305" s="7" t="s">
        <v>357</v>
      </c>
      <c r="B305" s="7">
        <f>ROUND(AVERAGE('SKU sales and Inventory'!D306:Q306),0)</f>
        <v>37</v>
      </c>
      <c r="C305" s="7">
        <f>2*AVERAGE('SKU sales and Inventory'!D306:F306)</f>
        <v>84</v>
      </c>
      <c r="D305" s="7" t="s">
        <v>824</v>
      </c>
    </row>
    <row r="306" spans="1:4" x14ac:dyDescent="0.3">
      <c r="A306" s="7" t="s">
        <v>358</v>
      </c>
      <c r="B306" s="7">
        <f>ROUND(AVERAGE('SKU sales and Inventory'!D307:Q307),0)</f>
        <v>8</v>
      </c>
      <c r="C306" s="7">
        <f>2*AVERAGE('SKU sales and Inventory'!D307:F307)</f>
        <v>64</v>
      </c>
      <c r="D306" s="7" t="s">
        <v>824</v>
      </c>
    </row>
    <row r="307" spans="1:4" x14ac:dyDescent="0.3">
      <c r="A307" s="7" t="s">
        <v>359</v>
      </c>
      <c r="B307" s="7">
        <f>ROUND(AVERAGE('SKU sales and Inventory'!D308:Q308),0)</f>
        <v>159</v>
      </c>
      <c r="C307" s="7">
        <f>2*AVERAGE('SKU sales and Inventory'!D308:F308)</f>
        <v>238</v>
      </c>
      <c r="D307" s="7" t="s">
        <v>824</v>
      </c>
    </row>
    <row r="308" spans="1:4" x14ac:dyDescent="0.3">
      <c r="A308" s="7" t="s">
        <v>360</v>
      </c>
      <c r="B308" s="7">
        <f>ROUND(AVERAGE('SKU sales and Inventory'!D309:Q309),0)</f>
        <v>304</v>
      </c>
      <c r="C308" s="7">
        <f>2*AVERAGE('SKU sales and Inventory'!D309:F309)</f>
        <v>388</v>
      </c>
      <c r="D308" s="7" t="s">
        <v>824</v>
      </c>
    </row>
    <row r="309" spans="1:4" x14ac:dyDescent="0.3">
      <c r="A309" s="7" t="s">
        <v>361</v>
      </c>
      <c r="B309" s="7">
        <f>ROUND(AVERAGE('SKU sales and Inventory'!D310:Q310),0)</f>
        <v>35</v>
      </c>
      <c r="C309" s="7">
        <f>2*AVERAGE('SKU sales and Inventory'!D310:F310)</f>
        <v>314</v>
      </c>
      <c r="D309" s="7" t="s">
        <v>824</v>
      </c>
    </row>
    <row r="310" spans="1:4" x14ac:dyDescent="0.3">
      <c r="A310" s="7" t="s">
        <v>362</v>
      </c>
      <c r="B310" s="7">
        <f>ROUND(AVERAGE('SKU sales and Inventory'!D311:Q311),0)</f>
        <v>24</v>
      </c>
      <c r="C310" s="7">
        <f>2*AVERAGE('SKU sales and Inventory'!D311:F311)</f>
        <v>176</v>
      </c>
      <c r="D310" s="7" t="s">
        <v>824</v>
      </c>
    </row>
    <row r="311" spans="1:4" x14ac:dyDescent="0.3">
      <c r="A311" s="7" t="s">
        <v>363</v>
      </c>
      <c r="B311" s="7">
        <f>ROUND(AVERAGE('SKU sales and Inventory'!D312:Q312),0)</f>
        <v>17</v>
      </c>
      <c r="C311" s="7">
        <f>2*AVERAGE('SKU sales and Inventory'!D312:F312)</f>
        <v>154</v>
      </c>
      <c r="D311" s="7" t="s">
        <v>824</v>
      </c>
    </row>
    <row r="312" spans="1:4" x14ac:dyDescent="0.3">
      <c r="A312" s="7" t="s">
        <v>364</v>
      </c>
      <c r="B312" s="7">
        <f>ROUND(AVERAGE('SKU sales and Inventory'!D313:Q313),0)</f>
        <v>35</v>
      </c>
      <c r="C312" s="7">
        <f>2*AVERAGE('SKU sales and Inventory'!D313:F313)</f>
        <v>206</v>
      </c>
      <c r="D312" s="7" t="s">
        <v>824</v>
      </c>
    </row>
    <row r="313" spans="1:4" x14ac:dyDescent="0.3">
      <c r="A313" s="7" t="s">
        <v>365</v>
      </c>
      <c r="B313" s="7">
        <f>ROUND(AVERAGE('SKU sales and Inventory'!D314:Q314),0)</f>
        <v>61</v>
      </c>
      <c r="C313" s="7">
        <f>2*AVERAGE('SKU sales and Inventory'!D314:F314)</f>
        <v>198</v>
      </c>
      <c r="D313" s="7" t="s">
        <v>824</v>
      </c>
    </row>
    <row r="314" spans="1:4" x14ac:dyDescent="0.3">
      <c r="A314" s="7" t="s">
        <v>366</v>
      </c>
      <c r="B314" s="7">
        <f>ROUND(AVERAGE('SKU sales and Inventory'!D315:Q315),0)</f>
        <v>38</v>
      </c>
      <c r="C314" s="7">
        <f>2*AVERAGE('SKU sales and Inventory'!D315:F315)</f>
        <v>108</v>
      </c>
      <c r="D314" s="7" t="s">
        <v>824</v>
      </c>
    </row>
    <row r="315" spans="1:4" x14ac:dyDescent="0.3">
      <c r="A315" s="7" t="s">
        <v>367</v>
      </c>
      <c r="B315" s="7">
        <f>ROUND(AVERAGE('SKU sales and Inventory'!D316:Q316),0)</f>
        <v>15</v>
      </c>
      <c r="C315" s="7">
        <f>2*AVERAGE('SKU sales and Inventory'!D316:F316)</f>
        <v>134</v>
      </c>
      <c r="D315" s="7" t="s">
        <v>824</v>
      </c>
    </row>
    <row r="316" spans="1:4" x14ac:dyDescent="0.3">
      <c r="A316" s="7" t="s">
        <v>368</v>
      </c>
      <c r="B316" s="7">
        <f>ROUND(AVERAGE('SKU sales and Inventory'!D317:Q317),0)</f>
        <v>23</v>
      </c>
      <c r="C316" s="7">
        <f>2*AVERAGE('SKU sales and Inventory'!D317:F317)</f>
        <v>98</v>
      </c>
      <c r="D316" s="7" t="s">
        <v>824</v>
      </c>
    </row>
    <row r="317" spans="1:4" x14ac:dyDescent="0.3">
      <c r="A317" s="7" t="s">
        <v>369</v>
      </c>
      <c r="B317" s="7">
        <f>ROUND(AVERAGE('SKU sales and Inventory'!D318:Q318),0)</f>
        <v>15</v>
      </c>
      <c r="C317" s="7">
        <f>2*AVERAGE('SKU sales and Inventory'!D318:F318)</f>
        <v>140</v>
      </c>
      <c r="D317" s="7" t="s">
        <v>824</v>
      </c>
    </row>
    <row r="318" spans="1:4" x14ac:dyDescent="0.3">
      <c r="A318" s="7" t="s">
        <v>370</v>
      </c>
      <c r="B318" s="7">
        <f>ROUND(AVERAGE('SKU sales and Inventory'!D319:Q319),0)</f>
        <v>8</v>
      </c>
      <c r="C318" s="7">
        <f>2*AVERAGE('SKU sales and Inventory'!D319:F319)</f>
        <v>78</v>
      </c>
      <c r="D318" s="7" t="s">
        <v>824</v>
      </c>
    </row>
    <row r="319" spans="1:4" x14ac:dyDescent="0.3">
      <c r="A319" s="7" t="s">
        <v>371</v>
      </c>
      <c r="B319" s="7">
        <f>ROUND(AVERAGE('SKU sales and Inventory'!D320:Q320),0)</f>
        <v>59</v>
      </c>
      <c r="C319" s="7">
        <f>2*AVERAGE('SKU sales and Inventory'!D320:F320)</f>
        <v>472</v>
      </c>
      <c r="D319" s="7" t="s">
        <v>824</v>
      </c>
    </row>
    <row r="320" spans="1:4" x14ac:dyDescent="0.3">
      <c r="A320" s="7" t="s">
        <v>372</v>
      </c>
      <c r="B320" s="7">
        <f>ROUND(AVERAGE('SKU sales and Inventory'!D321:Q321),0)</f>
        <v>67</v>
      </c>
      <c r="C320" s="7">
        <f>2*AVERAGE('SKU sales and Inventory'!D321:F321)</f>
        <v>232</v>
      </c>
      <c r="D320" s="7" t="s">
        <v>824</v>
      </c>
    </row>
    <row r="321" spans="1:4" x14ac:dyDescent="0.3">
      <c r="A321" s="7" t="s">
        <v>373</v>
      </c>
      <c r="B321" s="7">
        <f>ROUND(AVERAGE('SKU sales and Inventory'!D322:Q322),0)</f>
        <v>50</v>
      </c>
      <c r="C321" s="7">
        <f>2*AVERAGE('SKU sales and Inventory'!D322:F322)</f>
        <v>154</v>
      </c>
      <c r="D321" s="7" t="s">
        <v>824</v>
      </c>
    </row>
    <row r="322" spans="1:4" x14ac:dyDescent="0.3">
      <c r="A322" s="7" t="s">
        <v>374</v>
      </c>
      <c r="B322" s="7">
        <f>ROUND(AVERAGE('SKU sales and Inventory'!D323:Q323),0)</f>
        <v>120</v>
      </c>
      <c r="C322" s="7">
        <f>2*AVERAGE('SKU sales and Inventory'!D323:F323)</f>
        <v>244</v>
      </c>
      <c r="D322" s="7" t="s">
        <v>824</v>
      </c>
    </row>
    <row r="323" spans="1:4" x14ac:dyDescent="0.3">
      <c r="A323" s="7" t="s">
        <v>375</v>
      </c>
      <c r="B323" s="7">
        <f>ROUND(AVERAGE('SKU sales and Inventory'!D324:Q324),0)</f>
        <v>37</v>
      </c>
      <c r="C323" s="7">
        <f>2*AVERAGE('SKU sales and Inventory'!D324:F324)</f>
        <v>60</v>
      </c>
      <c r="D323" s="7" t="s">
        <v>824</v>
      </c>
    </row>
    <row r="324" spans="1:4" x14ac:dyDescent="0.3">
      <c r="A324" s="7" t="s">
        <v>376</v>
      </c>
      <c r="B324" s="7">
        <f>ROUND(AVERAGE('SKU sales and Inventory'!D325:Q325),0)</f>
        <v>62</v>
      </c>
      <c r="C324" s="7">
        <f>2*AVERAGE('SKU sales and Inventory'!D325:F325)</f>
        <v>140</v>
      </c>
      <c r="D324" s="7" t="s">
        <v>824</v>
      </c>
    </row>
    <row r="325" spans="1:4" x14ac:dyDescent="0.3">
      <c r="A325" s="7" t="s">
        <v>377</v>
      </c>
      <c r="B325" s="7">
        <f>ROUND(AVERAGE('SKU sales and Inventory'!D326:Q326),0)</f>
        <v>25</v>
      </c>
      <c r="C325" s="7">
        <f>2*AVERAGE('SKU sales and Inventory'!D326:F326)</f>
        <v>234</v>
      </c>
      <c r="D325" s="7" t="s">
        <v>824</v>
      </c>
    </row>
    <row r="326" spans="1:4" x14ac:dyDescent="0.3">
      <c r="A326" s="7" t="s">
        <v>378</v>
      </c>
      <c r="B326" s="7">
        <f>ROUND(AVERAGE('SKU sales and Inventory'!D327:Q327),0)</f>
        <v>101</v>
      </c>
      <c r="C326" s="7">
        <f>2*AVERAGE('SKU sales and Inventory'!D327:F327)</f>
        <v>226</v>
      </c>
      <c r="D326" s="7" t="s">
        <v>824</v>
      </c>
    </row>
    <row r="327" spans="1:4" x14ac:dyDescent="0.3">
      <c r="A327" s="7" t="s">
        <v>379</v>
      </c>
      <c r="B327" s="7">
        <f>ROUND(AVERAGE('SKU sales and Inventory'!D328:Q328),0)</f>
        <v>96</v>
      </c>
      <c r="C327" s="7">
        <f>2*AVERAGE('SKU sales and Inventory'!D328:F328)</f>
        <v>194</v>
      </c>
      <c r="D327" s="7" t="s">
        <v>824</v>
      </c>
    </row>
    <row r="328" spans="1:4" x14ac:dyDescent="0.3">
      <c r="A328" s="7" t="s">
        <v>380</v>
      </c>
      <c r="B328" s="7">
        <f>ROUND(AVERAGE('SKU sales and Inventory'!D329:Q329),0)</f>
        <v>38</v>
      </c>
      <c r="C328" s="7">
        <f>2*AVERAGE('SKU sales and Inventory'!D329:F329)</f>
        <v>206</v>
      </c>
      <c r="D328" s="7" t="s">
        <v>824</v>
      </c>
    </row>
    <row r="329" spans="1:4" x14ac:dyDescent="0.3">
      <c r="A329" s="7" t="s">
        <v>381</v>
      </c>
      <c r="B329" s="7">
        <f>ROUND(AVERAGE('SKU sales and Inventory'!D330:Q330),0)</f>
        <v>115</v>
      </c>
      <c r="C329" s="7">
        <f>2*AVERAGE('SKU sales and Inventory'!D330:F330)</f>
        <v>192</v>
      </c>
      <c r="D329" s="7" t="s">
        <v>824</v>
      </c>
    </row>
    <row r="330" spans="1:4" x14ac:dyDescent="0.3">
      <c r="A330" s="7" t="s">
        <v>382</v>
      </c>
      <c r="B330" s="7">
        <f>ROUND(AVERAGE('SKU sales and Inventory'!D331:Q331),0)</f>
        <v>21</v>
      </c>
      <c r="C330" s="7">
        <f>2*AVERAGE('SKU sales and Inventory'!D331:F331)</f>
        <v>158</v>
      </c>
      <c r="D330" s="7" t="s">
        <v>824</v>
      </c>
    </row>
    <row r="331" spans="1:4" x14ac:dyDescent="0.3">
      <c r="A331" s="7" t="s">
        <v>383</v>
      </c>
      <c r="B331" s="7">
        <f>ROUND(AVERAGE('SKU sales and Inventory'!D332:Q332),0)</f>
        <v>103</v>
      </c>
      <c r="C331" s="7">
        <f>2*AVERAGE('SKU sales and Inventory'!D332:F332)</f>
        <v>144</v>
      </c>
      <c r="D331" s="7" t="s">
        <v>824</v>
      </c>
    </row>
    <row r="332" spans="1:4" x14ac:dyDescent="0.3">
      <c r="A332" s="7" t="s">
        <v>384</v>
      </c>
      <c r="B332" s="7">
        <f>ROUND(AVERAGE('SKU sales and Inventory'!D333:Q333),0)</f>
        <v>46</v>
      </c>
      <c r="C332" s="7">
        <f>2*AVERAGE('SKU sales and Inventory'!D333:F333)</f>
        <v>214</v>
      </c>
      <c r="D332" s="7" t="s">
        <v>824</v>
      </c>
    </row>
    <row r="333" spans="1:4" x14ac:dyDescent="0.3">
      <c r="A333" s="7" t="s">
        <v>385</v>
      </c>
      <c r="B333" s="7">
        <f>ROUND(AVERAGE('SKU sales and Inventory'!D334:Q334),0)</f>
        <v>82</v>
      </c>
      <c r="C333" s="7">
        <f>2*AVERAGE('SKU sales and Inventory'!D334:F334)</f>
        <v>140</v>
      </c>
      <c r="D333" s="7" t="s">
        <v>824</v>
      </c>
    </row>
    <row r="334" spans="1:4" x14ac:dyDescent="0.3">
      <c r="A334" s="7" t="s">
        <v>386</v>
      </c>
      <c r="B334" s="7">
        <f>ROUND(AVERAGE('SKU sales and Inventory'!D335:Q335),0)</f>
        <v>10</v>
      </c>
      <c r="C334" s="7">
        <f>2*AVERAGE('SKU sales and Inventory'!D335:F335)</f>
        <v>46</v>
      </c>
      <c r="D334" s="7" t="s">
        <v>824</v>
      </c>
    </row>
    <row r="335" spans="1:4" x14ac:dyDescent="0.3">
      <c r="A335" s="7" t="s">
        <v>387</v>
      </c>
      <c r="B335" s="7">
        <f>ROUND(AVERAGE('SKU sales and Inventory'!D336:Q336),0)</f>
        <v>65</v>
      </c>
      <c r="C335" s="7">
        <f>2*AVERAGE('SKU sales and Inventory'!D336:F336)</f>
        <v>130</v>
      </c>
      <c r="D335" s="7" t="s">
        <v>824</v>
      </c>
    </row>
    <row r="336" spans="1:4" x14ac:dyDescent="0.3">
      <c r="A336" s="7" t="s">
        <v>388</v>
      </c>
      <c r="B336" s="7">
        <f>ROUND(AVERAGE('SKU sales and Inventory'!D337:Q337),0)</f>
        <v>36</v>
      </c>
      <c r="C336" s="7">
        <f>2*AVERAGE('SKU sales and Inventory'!D337:F337)</f>
        <v>114</v>
      </c>
      <c r="D336" s="7" t="s">
        <v>824</v>
      </c>
    </row>
    <row r="337" spans="1:4" x14ac:dyDescent="0.3">
      <c r="A337" s="7" t="s">
        <v>389</v>
      </c>
      <c r="B337" s="7">
        <f>ROUND(AVERAGE('SKU sales and Inventory'!D338:Q338),0)</f>
        <v>24</v>
      </c>
      <c r="C337" s="7">
        <f>2*AVERAGE('SKU sales and Inventory'!D338:F338)</f>
        <v>132</v>
      </c>
      <c r="D337" s="7" t="s">
        <v>824</v>
      </c>
    </row>
    <row r="338" spans="1:4" x14ac:dyDescent="0.3">
      <c r="A338" s="7" t="s">
        <v>390</v>
      </c>
      <c r="B338" s="7">
        <f>ROUND(AVERAGE('SKU sales and Inventory'!D339:Q339),0)</f>
        <v>113</v>
      </c>
      <c r="C338" s="7">
        <f>2*AVERAGE('SKU sales and Inventory'!D339:F339)</f>
        <v>140</v>
      </c>
      <c r="D338" s="7" t="s">
        <v>824</v>
      </c>
    </row>
    <row r="339" spans="1:4" x14ac:dyDescent="0.3">
      <c r="A339" s="7" t="s">
        <v>391</v>
      </c>
      <c r="B339" s="7">
        <f>ROUND(AVERAGE('SKU sales and Inventory'!D340:Q340),0)</f>
        <v>26</v>
      </c>
      <c r="C339" s="7">
        <f>2*AVERAGE('SKU sales and Inventory'!D340:F340)</f>
        <v>96</v>
      </c>
      <c r="D339" s="7" t="s">
        <v>824</v>
      </c>
    </row>
    <row r="340" spans="1:4" x14ac:dyDescent="0.3">
      <c r="A340" s="7" t="s">
        <v>392</v>
      </c>
      <c r="B340" s="7">
        <f>ROUND(AVERAGE('SKU sales and Inventory'!D341:Q341),0)</f>
        <v>146</v>
      </c>
      <c r="C340" s="7">
        <f>2*AVERAGE('SKU sales and Inventory'!D341:F341)</f>
        <v>188</v>
      </c>
      <c r="D340" s="7" t="s">
        <v>824</v>
      </c>
    </row>
    <row r="341" spans="1:4" x14ac:dyDescent="0.3">
      <c r="A341" s="7" t="s">
        <v>393</v>
      </c>
      <c r="B341" s="7">
        <f>ROUND(AVERAGE('SKU sales and Inventory'!D342:Q342),0)</f>
        <v>108</v>
      </c>
      <c r="C341" s="7">
        <f>2*AVERAGE('SKU sales and Inventory'!D342:F342)</f>
        <v>364</v>
      </c>
      <c r="D341" s="7" t="s">
        <v>824</v>
      </c>
    </row>
    <row r="342" spans="1:4" x14ac:dyDescent="0.3">
      <c r="A342" s="7" t="s">
        <v>394</v>
      </c>
      <c r="B342" s="7">
        <f>ROUND(AVERAGE('SKU sales and Inventory'!D343:Q343),0)</f>
        <v>24</v>
      </c>
      <c r="C342" s="7">
        <f>2*AVERAGE('SKU sales and Inventory'!D343:F343)</f>
        <v>180</v>
      </c>
      <c r="D342" s="7" t="s">
        <v>824</v>
      </c>
    </row>
    <row r="343" spans="1:4" x14ac:dyDescent="0.3">
      <c r="A343" s="7" t="s">
        <v>395</v>
      </c>
      <c r="B343" s="7">
        <f>ROUND(AVERAGE('SKU sales and Inventory'!D344:Q344),0)</f>
        <v>51</v>
      </c>
      <c r="C343" s="7">
        <f>2*AVERAGE('SKU sales and Inventory'!D344:F344)</f>
        <v>132</v>
      </c>
      <c r="D343" s="7" t="s">
        <v>824</v>
      </c>
    </row>
    <row r="344" spans="1:4" x14ac:dyDescent="0.3">
      <c r="A344" s="7" t="s">
        <v>396</v>
      </c>
      <c r="B344" s="7">
        <f>ROUND(AVERAGE('SKU sales and Inventory'!D345:Q345),0)</f>
        <v>26</v>
      </c>
      <c r="C344" s="7">
        <f>2*AVERAGE('SKU sales and Inventory'!D345:F345)</f>
        <v>136</v>
      </c>
      <c r="D344" s="7" t="s">
        <v>824</v>
      </c>
    </row>
    <row r="345" spans="1:4" x14ac:dyDescent="0.3">
      <c r="A345" s="7" t="s">
        <v>397</v>
      </c>
      <c r="B345" s="7">
        <f>ROUND(AVERAGE('SKU sales and Inventory'!D346:Q346),0)</f>
        <v>15</v>
      </c>
      <c r="C345" s="7">
        <f>2*AVERAGE('SKU sales and Inventory'!D346:F346)</f>
        <v>134</v>
      </c>
      <c r="D345" s="7" t="s">
        <v>824</v>
      </c>
    </row>
    <row r="346" spans="1:4" x14ac:dyDescent="0.3">
      <c r="A346" s="7" t="s">
        <v>398</v>
      </c>
      <c r="B346" s="7">
        <f>ROUND(AVERAGE('SKU sales and Inventory'!D347:Q347),0)</f>
        <v>69</v>
      </c>
      <c r="C346" s="7">
        <f>2*AVERAGE('SKU sales and Inventory'!D347:F347)</f>
        <v>144</v>
      </c>
      <c r="D346" s="7" t="s">
        <v>824</v>
      </c>
    </row>
    <row r="347" spans="1:4" x14ac:dyDescent="0.3">
      <c r="A347" s="7" t="s">
        <v>399</v>
      </c>
      <c r="B347" s="7">
        <f>ROUND(AVERAGE('SKU sales and Inventory'!D348:Q348),0)</f>
        <v>7</v>
      </c>
      <c r="C347" s="7">
        <f>2*AVERAGE('SKU sales and Inventory'!D348:F348)</f>
        <v>68</v>
      </c>
      <c r="D347" s="7" t="s">
        <v>824</v>
      </c>
    </row>
    <row r="348" spans="1:4" x14ac:dyDescent="0.3">
      <c r="A348" s="7" t="s">
        <v>400</v>
      </c>
      <c r="B348" s="7">
        <f>ROUND(AVERAGE('SKU sales and Inventory'!D349:Q349),0)</f>
        <v>105</v>
      </c>
      <c r="C348" s="7">
        <f>2*AVERAGE('SKU sales and Inventory'!D349:F349)</f>
        <v>90</v>
      </c>
      <c r="D348" s="7" t="s">
        <v>824</v>
      </c>
    </row>
    <row r="349" spans="1:4" x14ac:dyDescent="0.3">
      <c r="A349" s="7" t="s">
        <v>401</v>
      </c>
      <c r="B349" s="7">
        <f>ROUND(AVERAGE('SKU sales and Inventory'!D350:Q350),0)</f>
        <v>492</v>
      </c>
      <c r="C349" s="7">
        <f>2*AVERAGE('SKU sales and Inventory'!D350:F350)</f>
        <v>52</v>
      </c>
      <c r="D349" s="7" t="s">
        <v>824</v>
      </c>
    </row>
    <row r="350" spans="1:4" x14ac:dyDescent="0.3">
      <c r="A350" s="7" t="s">
        <v>402</v>
      </c>
      <c r="B350" s="7">
        <f>ROUND(AVERAGE('SKU sales and Inventory'!D351:Q351),0)</f>
        <v>102</v>
      </c>
      <c r="C350" s="7">
        <f>2*AVERAGE('SKU sales and Inventory'!D351:F351)</f>
        <v>226</v>
      </c>
      <c r="D350" s="7" t="s">
        <v>824</v>
      </c>
    </row>
    <row r="351" spans="1:4" x14ac:dyDescent="0.3">
      <c r="A351" s="7" t="s">
        <v>403</v>
      </c>
      <c r="B351" s="7">
        <f>ROUND(AVERAGE('SKU sales and Inventory'!D352:Q352),0)</f>
        <v>36</v>
      </c>
      <c r="C351" s="7">
        <f>2*AVERAGE('SKU sales and Inventory'!D352:F352)</f>
        <v>154</v>
      </c>
      <c r="D351" s="7" t="s">
        <v>824</v>
      </c>
    </row>
    <row r="352" spans="1:4" x14ac:dyDescent="0.3">
      <c r="A352" s="7" t="s">
        <v>404</v>
      </c>
      <c r="B352" s="7">
        <f>ROUND(AVERAGE('SKU sales and Inventory'!D353:Q353),0)</f>
        <v>68</v>
      </c>
      <c r="C352" s="7">
        <f>2*AVERAGE('SKU sales and Inventory'!D353:F353)</f>
        <v>188</v>
      </c>
      <c r="D352" s="7" t="s">
        <v>824</v>
      </c>
    </row>
    <row r="353" spans="1:4" x14ac:dyDescent="0.3">
      <c r="A353" s="7" t="s">
        <v>405</v>
      </c>
      <c r="B353" s="7">
        <f>ROUND(AVERAGE('SKU sales and Inventory'!D354:Q354),0)</f>
        <v>10</v>
      </c>
      <c r="C353" s="7">
        <f>2*AVERAGE('SKU sales and Inventory'!D354:F354)</f>
        <v>90</v>
      </c>
      <c r="D353" s="7" t="s">
        <v>824</v>
      </c>
    </row>
    <row r="354" spans="1:4" x14ac:dyDescent="0.3">
      <c r="A354" s="7" t="s">
        <v>406</v>
      </c>
      <c r="B354" s="7">
        <f>ROUND(AVERAGE('SKU sales and Inventory'!D355:Q355),0)</f>
        <v>10</v>
      </c>
      <c r="C354" s="7">
        <f>2*AVERAGE('SKU sales and Inventory'!D355:F355)</f>
        <v>90</v>
      </c>
      <c r="D354" s="7" t="s">
        <v>824</v>
      </c>
    </row>
    <row r="355" spans="1:4" x14ac:dyDescent="0.3">
      <c r="A355" s="7" t="s">
        <v>407</v>
      </c>
      <c r="B355" s="7">
        <f>ROUND(AVERAGE('SKU sales and Inventory'!D356:Q356),0)</f>
        <v>15</v>
      </c>
      <c r="C355" s="7">
        <f>2*AVERAGE('SKU sales and Inventory'!D356:F356)</f>
        <v>120</v>
      </c>
      <c r="D355" s="7" t="s">
        <v>824</v>
      </c>
    </row>
    <row r="356" spans="1:4" x14ac:dyDescent="0.3">
      <c r="A356" s="7" t="s">
        <v>408</v>
      </c>
      <c r="B356" s="7">
        <f>ROUND(AVERAGE('SKU sales and Inventory'!D357:Q357),0)</f>
        <v>22</v>
      </c>
      <c r="C356" s="7">
        <f>2*AVERAGE('SKU sales and Inventory'!D357:F357)</f>
        <v>80</v>
      </c>
      <c r="D356" s="7" t="s">
        <v>824</v>
      </c>
    </row>
    <row r="357" spans="1:4" x14ac:dyDescent="0.3">
      <c r="A357" s="7" t="s">
        <v>409</v>
      </c>
      <c r="B357" s="7">
        <f>ROUND(AVERAGE('SKU sales and Inventory'!D358:Q358),0)</f>
        <v>10</v>
      </c>
      <c r="C357" s="7">
        <f>2*AVERAGE('SKU sales and Inventory'!D358:F358)</f>
        <v>94</v>
      </c>
      <c r="D357" s="7" t="s">
        <v>824</v>
      </c>
    </row>
    <row r="358" spans="1:4" x14ac:dyDescent="0.3">
      <c r="A358" s="7" t="s">
        <v>410</v>
      </c>
      <c r="B358" s="7">
        <f>ROUND(AVERAGE('SKU sales and Inventory'!D359:Q359),0)</f>
        <v>219</v>
      </c>
      <c r="C358" s="7">
        <f>2*AVERAGE('SKU sales and Inventory'!D359:F359)</f>
        <v>490</v>
      </c>
      <c r="D358" s="7" t="s">
        <v>824</v>
      </c>
    </row>
    <row r="359" spans="1:4" x14ac:dyDescent="0.3">
      <c r="A359" s="7" t="s">
        <v>411</v>
      </c>
      <c r="B359" s="7">
        <f>ROUND(AVERAGE('SKU sales and Inventory'!D360:Q360),0)</f>
        <v>124</v>
      </c>
      <c r="C359" s="7">
        <f>2*AVERAGE('SKU sales and Inventory'!D360:F360)</f>
        <v>102</v>
      </c>
      <c r="D359" s="7" t="s">
        <v>824</v>
      </c>
    </row>
    <row r="360" spans="1:4" x14ac:dyDescent="0.3">
      <c r="A360" s="7" t="s">
        <v>412</v>
      </c>
      <c r="B360" s="7">
        <f>ROUND(AVERAGE('SKU sales and Inventory'!D361:Q361),0)</f>
        <v>70</v>
      </c>
      <c r="C360" s="7">
        <f>2*AVERAGE('SKU sales and Inventory'!D361:F361)</f>
        <v>228</v>
      </c>
      <c r="D360" s="7" t="s">
        <v>824</v>
      </c>
    </row>
    <row r="361" spans="1:4" x14ac:dyDescent="0.3">
      <c r="A361" s="7" t="s">
        <v>413</v>
      </c>
      <c r="B361" s="7">
        <f>ROUND(AVERAGE('SKU sales and Inventory'!D362:Q362),0)</f>
        <v>63</v>
      </c>
      <c r="C361" s="7">
        <f>2*AVERAGE('SKU sales and Inventory'!D362:F362)</f>
        <v>152</v>
      </c>
      <c r="D361" s="7" t="s">
        <v>824</v>
      </c>
    </row>
    <row r="362" spans="1:4" x14ac:dyDescent="0.3">
      <c r="A362" s="7" t="s">
        <v>414</v>
      </c>
      <c r="B362" s="7">
        <f>ROUND(AVERAGE('SKU sales and Inventory'!D363:Q363),0)</f>
        <v>29</v>
      </c>
      <c r="C362" s="7">
        <f>2*AVERAGE('SKU sales and Inventory'!D363:F363)</f>
        <v>170</v>
      </c>
      <c r="D362" s="7" t="s">
        <v>824</v>
      </c>
    </row>
    <row r="363" spans="1:4" x14ac:dyDescent="0.3">
      <c r="A363" s="7" t="s">
        <v>415</v>
      </c>
      <c r="B363" s="7">
        <f>ROUND(AVERAGE('SKU sales and Inventory'!D364:Q364),0)</f>
        <v>22</v>
      </c>
      <c r="C363" s="7">
        <f>2*AVERAGE('SKU sales and Inventory'!D364:F364)</f>
        <v>136</v>
      </c>
      <c r="D363" s="7" t="s">
        <v>824</v>
      </c>
    </row>
    <row r="364" spans="1:4" x14ac:dyDescent="0.3">
      <c r="A364" s="7" t="s">
        <v>416</v>
      </c>
      <c r="B364" s="7">
        <f>ROUND(AVERAGE('SKU sales and Inventory'!D365:Q365),0)</f>
        <v>16</v>
      </c>
      <c r="C364" s="7">
        <f>2*AVERAGE('SKU sales and Inventory'!D365:F365)</f>
        <v>100</v>
      </c>
      <c r="D364" s="7" t="s">
        <v>824</v>
      </c>
    </row>
    <row r="365" spans="1:4" x14ac:dyDescent="0.3">
      <c r="A365" s="7" t="s">
        <v>417</v>
      </c>
      <c r="B365" s="7">
        <f>ROUND(AVERAGE('SKU sales and Inventory'!D366:Q366),0)</f>
        <v>55</v>
      </c>
      <c r="C365" s="7">
        <f>2*AVERAGE('SKU sales and Inventory'!D366:F366)</f>
        <v>84</v>
      </c>
      <c r="D365" s="7" t="s">
        <v>824</v>
      </c>
    </row>
    <row r="366" spans="1:4" x14ac:dyDescent="0.3">
      <c r="A366" s="7" t="s">
        <v>418</v>
      </c>
      <c r="B366" s="7">
        <f>ROUND(AVERAGE('SKU sales and Inventory'!D367:Q367),0)</f>
        <v>18</v>
      </c>
      <c r="C366" s="7">
        <f>2*AVERAGE('SKU sales and Inventory'!D367:F367)</f>
        <v>132</v>
      </c>
      <c r="D366" s="7" t="s">
        <v>824</v>
      </c>
    </row>
    <row r="367" spans="1:4" x14ac:dyDescent="0.3">
      <c r="A367" s="7" t="s">
        <v>419</v>
      </c>
      <c r="B367" s="7">
        <f>ROUND(AVERAGE('SKU sales and Inventory'!D368:Q368),0)</f>
        <v>9</v>
      </c>
      <c r="C367" s="7">
        <f>2*AVERAGE('SKU sales and Inventory'!D368:F368)</f>
        <v>62</v>
      </c>
      <c r="D367" s="7" t="s">
        <v>824</v>
      </c>
    </row>
    <row r="368" spans="1:4" x14ac:dyDescent="0.3">
      <c r="A368" s="7" t="s">
        <v>420</v>
      </c>
      <c r="B368" s="7">
        <f>ROUND(AVERAGE('SKU sales and Inventory'!D369:Q369),0)</f>
        <v>11</v>
      </c>
      <c r="C368" s="7">
        <f>2*AVERAGE('SKU sales and Inventory'!D369:F369)</f>
        <v>100</v>
      </c>
      <c r="D368" s="7" t="s">
        <v>824</v>
      </c>
    </row>
    <row r="369" spans="1:4" x14ac:dyDescent="0.3">
      <c r="A369" s="7" t="s">
        <v>421</v>
      </c>
      <c r="B369" s="7">
        <f>ROUND(AVERAGE('SKU sales and Inventory'!D370:Q370),0)</f>
        <v>76</v>
      </c>
      <c r="C369" s="7">
        <f>2*AVERAGE('SKU sales and Inventory'!D370:F370)</f>
        <v>144</v>
      </c>
      <c r="D369" s="7" t="s">
        <v>824</v>
      </c>
    </row>
    <row r="370" spans="1:4" x14ac:dyDescent="0.3">
      <c r="A370" s="7" t="s">
        <v>422</v>
      </c>
      <c r="B370" s="7">
        <f>ROUND(AVERAGE('SKU sales and Inventory'!D371:Q371),0)</f>
        <v>37</v>
      </c>
      <c r="C370" s="7">
        <f>2*AVERAGE('SKU sales and Inventory'!D371:F371)</f>
        <v>130</v>
      </c>
      <c r="D370" s="7" t="s">
        <v>824</v>
      </c>
    </row>
    <row r="371" spans="1:4" x14ac:dyDescent="0.3">
      <c r="A371" s="7" t="s">
        <v>423</v>
      </c>
      <c r="B371" s="7">
        <f>ROUND(AVERAGE('SKU sales and Inventory'!D372:Q372),0)</f>
        <v>75</v>
      </c>
      <c r="C371" s="7">
        <f>2*AVERAGE('SKU sales and Inventory'!D372:F372)</f>
        <v>194</v>
      </c>
      <c r="D371" s="7" t="s">
        <v>824</v>
      </c>
    </row>
    <row r="372" spans="1:4" x14ac:dyDescent="0.3">
      <c r="A372" s="7" t="s">
        <v>424</v>
      </c>
      <c r="B372" s="7">
        <f>ROUND(AVERAGE('SKU sales and Inventory'!D373:Q373),0)</f>
        <v>88</v>
      </c>
      <c r="C372" s="7">
        <f>2*AVERAGE('SKU sales and Inventory'!D373:F373)</f>
        <v>144</v>
      </c>
      <c r="D372" s="7" t="s">
        <v>824</v>
      </c>
    </row>
    <row r="373" spans="1:4" x14ac:dyDescent="0.3">
      <c r="A373" s="7" t="s">
        <v>425</v>
      </c>
      <c r="B373" s="7">
        <f>ROUND(AVERAGE('SKU sales and Inventory'!D374:Q374),0)</f>
        <v>43</v>
      </c>
      <c r="C373" s="7">
        <f>2*AVERAGE('SKU sales and Inventory'!D374:F374)</f>
        <v>136</v>
      </c>
      <c r="D373" s="7" t="s">
        <v>824</v>
      </c>
    </row>
    <row r="374" spans="1:4" x14ac:dyDescent="0.3">
      <c r="A374" s="7" t="s">
        <v>426</v>
      </c>
      <c r="B374" s="7">
        <f>ROUND(AVERAGE('SKU sales and Inventory'!D375:Q375),0)</f>
        <v>33</v>
      </c>
      <c r="C374" s="7">
        <f>2*AVERAGE('SKU sales and Inventory'!D375:F375)</f>
        <v>168</v>
      </c>
      <c r="D374" s="7" t="s">
        <v>824</v>
      </c>
    </row>
    <row r="375" spans="1:4" x14ac:dyDescent="0.3">
      <c r="A375" s="7" t="s">
        <v>427</v>
      </c>
      <c r="B375" s="7">
        <f>ROUND(AVERAGE('SKU sales and Inventory'!D376:Q376),0)</f>
        <v>96</v>
      </c>
      <c r="C375" s="7">
        <f>2*AVERAGE('SKU sales and Inventory'!D376:F376)</f>
        <v>98</v>
      </c>
      <c r="D375" s="7" t="s">
        <v>824</v>
      </c>
    </row>
    <row r="376" spans="1:4" x14ac:dyDescent="0.3">
      <c r="A376" s="7" t="s">
        <v>428</v>
      </c>
      <c r="B376" s="7">
        <f>ROUND(AVERAGE('SKU sales and Inventory'!D377:Q377),0)</f>
        <v>13</v>
      </c>
      <c r="C376" s="7">
        <f>2*AVERAGE('SKU sales and Inventory'!D377:F377)</f>
        <v>62</v>
      </c>
      <c r="D376" s="7" t="s">
        <v>824</v>
      </c>
    </row>
    <row r="377" spans="1:4" x14ac:dyDescent="0.3">
      <c r="A377" s="7" t="s">
        <v>429</v>
      </c>
      <c r="B377" s="7">
        <f>ROUND(AVERAGE('SKU sales and Inventory'!D378:Q378),0)</f>
        <v>7</v>
      </c>
      <c r="C377" s="7">
        <f>2*AVERAGE('SKU sales and Inventory'!D378:F378)</f>
        <v>68</v>
      </c>
      <c r="D377" s="7" t="s">
        <v>824</v>
      </c>
    </row>
    <row r="378" spans="1:4" x14ac:dyDescent="0.3">
      <c r="A378" s="7" t="s">
        <v>430</v>
      </c>
      <c r="B378" s="7">
        <f>ROUND(AVERAGE('SKU sales and Inventory'!D379:Q379),0)</f>
        <v>5</v>
      </c>
      <c r="C378" s="7">
        <f>2*AVERAGE('SKU sales and Inventory'!D379:F379)</f>
        <v>42</v>
      </c>
      <c r="D378" s="7" t="s">
        <v>824</v>
      </c>
    </row>
    <row r="379" spans="1:4" x14ac:dyDescent="0.3">
      <c r="A379" s="7" t="s">
        <v>431</v>
      </c>
      <c r="B379" s="7">
        <f>ROUND(AVERAGE('SKU sales and Inventory'!D380:Q380),0)</f>
        <v>12</v>
      </c>
      <c r="C379" s="7">
        <f>2*AVERAGE('SKU sales and Inventory'!D380:F380)</f>
        <v>102</v>
      </c>
      <c r="D379" s="7" t="s">
        <v>824</v>
      </c>
    </row>
    <row r="380" spans="1:4" x14ac:dyDescent="0.3">
      <c r="A380" s="7" t="s">
        <v>432</v>
      </c>
      <c r="B380" s="7">
        <f>ROUND(AVERAGE('SKU sales and Inventory'!D381:Q381),0)</f>
        <v>11</v>
      </c>
      <c r="C380" s="7">
        <f>2*AVERAGE('SKU sales and Inventory'!D381:F381)</f>
        <v>92</v>
      </c>
      <c r="D380" s="7" t="s">
        <v>824</v>
      </c>
    </row>
    <row r="381" spans="1:4" x14ac:dyDescent="0.3">
      <c r="A381" s="7" t="s">
        <v>433</v>
      </c>
      <c r="B381" s="7">
        <f>ROUND(AVERAGE('SKU sales and Inventory'!D382:Q382),0)</f>
        <v>39</v>
      </c>
      <c r="C381" s="7">
        <f>2*AVERAGE('SKU sales and Inventory'!D382:F382)</f>
        <v>122</v>
      </c>
      <c r="D381" s="7" t="s">
        <v>824</v>
      </c>
    </row>
    <row r="382" spans="1:4" x14ac:dyDescent="0.3">
      <c r="A382" s="7" t="s">
        <v>434</v>
      </c>
      <c r="B382" s="7">
        <f>ROUND(AVERAGE('SKU sales and Inventory'!D383:Q383),0)</f>
        <v>28</v>
      </c>
      <c r="C382" s="7">
        <f>2*AVERAGE('SKU sales and Inventory'!D383:F383)</f>
        <v>108</v>
      </c>
      <c r="D382" s="7" t="s">
        <v>824</v>
      </c>
    </row>
    <row r="383" spans="1:4" x14ac:dyDescent="0.3">
      <c r="A383" s="7" t="s">
        <v>435</v>
      </c>
      <c r="B383" s="7">
        <f>ROUND(AVERAGE('SKU sales and Inventory'!D384:Q384),0)</f>
        <v>90</v>
      </c>
      <c r="C383" s="7">
        <f>2*AVERAGE('SKU sales and Inventory'!D384:F384)</f>
        <v>194</v>
      </c>
      <c r="D383" s="7" t="s">
        <v>824</v>
      </c>
    </row>
    <row r="384" spans="1:4" x14ac:dyDescent="0.3">
      <c r="A384" s="7" t="s">
        <v>436</v>
      </c>
      <c r="B384" s="7">
        <f>ROUND(AVERAGE('SKU sales and Inventory'!D385:Q385),0)</f>
        <v>48</v>
      </c>
      <c r="C384" s="7">
        <f>2*AVERAGE('SKU sales and Inventory'!D385:F385)</f>
        <v>152</v>
      </c>
      <c r="D384" s="7" t="s">
        <v>824</v>
      </c>
    </row>
    <row r="385" spans="1:4" x14ac:dyDescent="0.3">
      <c r="A385" s="7" t="s">
        <v>437</v>
      </c>
      <c r="B385" s="7">
        <f>ROUND(AVERAGE('SKU sales and Inventory'!D386:Q386),0)</f>
        <v>12</v>
      </c>
      <c r="C385" s="7">
        <f>2*AVERAGE('SKU sales and Inventory'!D386:F386)</f>
        <v>114</v>
      </c>
      <c r="D385" s="7" t="s">
        <v>824</v>
      </c>
    </row>
    <row r="386" spans="1:4" x14ac:dyDescent="0.3">
      <c r="A386" s="7" t="s">
        <v>438</v>
      </c>
      <c r="B386" s="7">
        <f>ROUND(AVERAGE('SKU sales and Inventory'!D387:Q387),0)</f>
        <v>28</v>
      </c>
      <c r="C386" s="7">
        <f>2*AVERAGE('SKU sales and Inventory'!D387:F387)</f>
        <v>36</v>
      </c>
      <c r="D386" s="7" t="s">
        <v>824</v>
      </c>
    </row>
    <row r="387" spans="1:4" x14ac:dyDescent="0.3">
      <c r="A387" s="7" t="s">
        <v>439</v>
      </c>
      <c r="B387" s="7">
        <f>ROUND(AVERAGE('SKU sales and Inventory'!D388:Q388),0)</f>
        <v>9</v>
      </c>
      <c r="C387" s="7">
        <f>2*AVERAGE('SKU sales and Inventory'!D388:F388)</f>
        <v>42</v>
      </c>
      <c r="D387" s="7" t="s">
        <v>824</v>
      </c>
    </row>
    <row r="388" spans="1:4" x14ac:dyDescent="0.3">
      <c r="A388" s="7" t="s">
        <v>440</v>
      </c>
      <c r="B388" s="7">
        <f>ROUND(AVERAGE('SKU sales and Inventory'!D389:Q389),0)</f>
        <v>36</v>
      </c>
      <c r="C388" s="7">
        <f>2*AVERAGE('SKU sales and Inventory'!D389:F389)</f>
        <v>214</v>
      </c>
      <c r="D388" s="7" t="s">
        <v>824</v>
      </c>
    </row>
    <row r="389" spans="1:4" x14ac:dyDescent="0.3">
      <c r="A389" s="7" t="s">
        <v>441</v>
      </c>
      <c r="B389" s="7">
        <f>ROUND(AVERAGE('SKU sales and Inventory'!D390:Q390),0)</f>
        <v>57</v>
      </c>
      <c r="C389" s="7">
        <f>2*AVERAGE('SKU sales and Inventory'!D390:F390)</f>
        <v>434</v>
      </c>
      <c r="D389" s="7" t="s">
        <v>824</v>
      </c>
    </row>
    <row r="390" spans="1:4" x14ac:dyDescent="0.3">
      <c r="A390" s="7" t="s">
        <v>442</v>
      </c>
      <c r="B390" s="7">
        <f>ROUND(AVERAGE('SKU sales and Inventory'!D391:Q391),0)</f>
        <v>27</v>
      </c>
      <c r="C390" s="7">
        <f>2*AVERAGE('SKU sales and Inventory'!D391:F391)</f>
        <v>118</v>
      </c>
      <c r="D390" s="7" t="s">
        <v>824</v>
      </c>
    </row>
    <row r="391" spans="1:4" x14ac:dyDescent="0.3">
      <c r="A391" s="7" t="s">
        <v>443</v>
      </c>
      <c r="B391" s="7">
        <f>ROUND(AVERAGE('SKU sales and Inventory'!D392:Q392),0)</f>
        <v>64</v>
      </c>
      <c r="C391" s="7">
        <f>2*AVERAGE('SKU sales and Inventory'!D392:F392)</f>
        <v>130</v>
      </c>
      <c r="D391" s="7" t="s">
        <v>824</v>
      </c>
    </row>
    <row r="392" spans="1:4" x14ac:dyDescent="0.3">
      <c r="A392" s="7" t="s">
        <v>444</v>
      </c>
      <c r="B392" s="7">
        <f>ROUND(AVERAGE('SKU sales and Inventory'!D393:Q393),0)</f>
        <v>65</v>
      </c>
      <c r="C392" s="7">
        <f>2*AVERAGE('SKU sales and Inventory'!D393:F393)</f>
        <v>84</v>
      </c>
      <c r="D392" s="7" t="s">
        <v>824</v>
      </c>
    </row>
    <row r="393" spans="1:4" x14ac:dyDescent="0.3">
      <c r="A393" s="7" t="s">
        <v>445</v>
      </c>
      <c r="B393" s="7">
        <f>ROUND(AVERAGE('SKU sales and Inventory'!D394:Q394),0)</f>
        <v>84</v>
      </c>
      <c r="C393" s="7">
        <f>2*AVERAGE('SKU sales and Inventory'!D394:F394)</f>
        <v>122</v>
      </c>
      <c r="D393" s="7" t="s">
        <v>824</v>
      </c>
    </row>
    <row r="394" spans="1:4" x14ac:dyDescent="0.3">
      <c r="A394" s="7" t="s">
        <v>446</v>
      </c>
      <c r="B394" s="7">
        <f>ROUND(AVERAGE('SKU sales and Inventory'!D395:Q395),0)</f>
        <v>49</v>
      </c>
      <c r="C394" s="7">
        <f>2*AVERAGE('SKU sales and Inventory'!D395:F395)</f>
        <v>56</v>
      </c>
      <c r="D394" s="7" t="s">
        <v>824</v>
      </c>
    </row>
    <row r="395" spans="1:4" x14ac:dyDescent="0.3">
      <c r="A395" s="7" t="s">
        <v>447</v>
      </c>
      <c r="B395" s="7">
        <f>ROUND(AVERAGE('SKU sales and Inventory'!D396:Q396),0)</f>
        <v>20</v>
      </c>
      <c r="C395" s="7">
        <f>2*AVERAGE('SKU sales and Inventory'!D396:F396)</f>
        <v>68</v>
      </c>
      <c r="D395" s="7" t="s">
        <v>824</v>
      </c>
    </row>
    <row r="396" spans="1:4" x14ac:dyDescent="0.3">
      <c r="A396" s="7" t="s">
        <v>448</v>
      </c>
      <c r="B396" s="7">
        <f>ROUND(AVERAGE('SKU sales and Inventory'!D397:Q397),0)</f>
        <v>126</v>
      </c>
      <c r="C396" s="7">
        <f>2*AVERAGE('SKU sales and Inventory'!D397:F397)</f>
        <v>120</v>
      </c>
      <c r="D396" s="7" t="s">
        <v>824</v>
      </c>
    </row>
    <row r="397" spans="1:4" x14ac:dyDescent="0.3">
      <c r="A397" s="7" t="s">
        <v>449</v>
      </c>
      <c r="B397" s="7">
        <f>ROUND(AVERAGE('SKU sales and Inventory'!D398:Q398),0)</f>
        <v>23</v>
      </c>
      <c r="C397" s="7">
        <f>2*AVERAGE('SKU sales and Inventory'!D398:F398)</f>
        <v>140</v>
      </c>
      <c r="D397" s="7" t="s">
        <v>824</v>
      </c>
    </row>
    <row r="398" spans="1:4" x14ac:dyDescent="0.3">
      <c r="A398" s="7" t="s">
        <v>450</v>
      </c>
      <c r="B398" s="7">
        <f>ROUND(AVERAGE('SKU sales and Inventory'!D399:Q399),0)</f>
        <v>4</v>
      </c>
      <c r="C398" s="7">
        <f>2*AVERAGE('SKU sales and Inventory'!D399:F399)</f>
        <v>34</v>
      </c>
      <c r="D398" s="7" t="s">
        <v>824</v>
      </c>
    </row>
    <row r="399" spans="1:4" x14ac:dyDescent="0.3">
      <c r="A399" s="7" t="s">
        <v>451</v>
      </c>
      <c r="B399" s="7">
        <f>ROUND(AVERAGE('SKU sales and Inventory'!D400:Q400),0)</f>
        <v>3</v>
      </c>
      <c r="C399" s="7">
        <f>2*AVERAGE('SKU sales and Inventory'!D400:F400)</f>
        <v>32</v>
      </c>
      <c r="D399" s="7" t="s">
        <v>824</v>
      </c>
    </row>
    <row r="400" spans="1:4" x14ac:dyDescent="0.3">
      <c r="A400" s="7" t="s">
        <v>452</v>
      </c>
      <c r="B400" s="7">
        <f>ROUND(AVERAGE('SKU sales and Inventory'!D401:Q401),0)</f>
        <v>55</v>
      </c>
      <c r="C400" s="7">
        <f>2*AVERAGE('SKU sales and Inventory'!D401:F401)</f>
        <v>196</v>
      </c>
      <c r="D400" s="7" t="s">
        <v>824</v>
      </c>
    </row>
    <row r="401" spans="1:4" x14ac:dyDescent="0.3">
      <c r="A401" s="7" t="s">
        <v>453</v>
      </c>
      <c r="B401" s="7">
        <f>ROUND(AVERAGE('SKU sales and Inventory'!D402:Q402),0)</f>
        <v>24</v>
      </c>
      <c r="C401" s="7">
        <f>2*AVERAGE('SKU sales and Inventory'!D402:F402)</f>
        <v>70</v>
      </c>
      <c r="D401" s="7" t="s">
        <v>824</v>
      </c>
    </row>
    <row r="402" spans="1:4" x14ac:dyDescent="0.3">
      <c r="A402" s="7" t="s">
        <v>454</v>
      </c>
      <c r="B402" s="7">
        <f>ROUND(AVERAGE('SKU sales and Inventory'!D403:Q403),0)</f>
        <v>33</v>
      </c>
      <c r="C402" s="7">
        <f>2*AVERAGE('SKU sales and Inventory'!D403:F403)</f>
        <v>58</v>
      </c>
      <c r="D402" s="7" t="s">
        <v>824</v>
      </c>
    </row>
    <row r="403" spans="1:4" x14ac:dyDescent="0.3">
      <c r="A403" s="7" t="s">
        <v>455</v>
      </c>
      <c r="B403" s="7">
        <f>ROUND(AVERAGE('SKU sales and Inventory'!D404:Q404),0)</f>
        <v>20</v>
      </c>
      <c r="C403" s="7">
        <f>2*AVERAGE('SKU sales and Inventory'!D404:F404)</f>
        <v>104</v>
      </c>
      <c r="D403" s="7" t="s">
        <v>824</v>
      </c>
    </row>
    <row r="404" spans="1:4" x14ac:dyDescent="0.3">
      <c r="A404" s="7" t="s">
        <v>456</v>
      </c>
      <c r="B404" s="7">
        <f>ROUND(AVERAGE('SKU sales and Inventory'!D405:Q405),0)</f>
        <v>9</v>
      </c>
      <c r="C404" s="7">
        <f>2*AVERAGE('SKU sales and Inventory'!D405:F405)</f>
        <v>42</v>
      </c>
      <c r="D404" s="7" t="s">
        <v>824</v>
      </c>
    </row>
    <row r="405" spans="1:4" x14ac:dyDescent="0.3">
      <c r="A405" s="7" t="s">
        <v>457</v>
      </c>
      <c r="B405" s="7">
        <f>ROUND(AVERAGE('SKU sales and Inventory'!D406:Q406),0)</f>
        <v>4</v>
      </c>
      <c r="C405" s="7">
        <f>2*AVERAGE('SKU sales and Inventory'!D406:F406)</f>
        <v>38</v>
      </c>
      <c r="D405" s="7" t="s">
        <v>824</v>
      </c>
    </row>
    <row r="406" spans="1:4" x14ac:dyDescent="0.3">
      <c r="A406" s="7" t="s">
        <v>458</v>
      </c>
      <c r="B406" s="7">
        <f>ROUND(AVERAGE('SKU sales and Inventory'!D407:Q407),0)</f>
        <v>16</v>
      </c>
      <c r="C406" s="7">
        <f>2*AVERAGE('SKU sales and Inventory'!D407:F407)</f>
        <v>52</v>
      </c>
      <c r="D406" s="7" t="s">
        <v>824</v>
      </c>
    </row>
    <row r="407" spans="1:4" x14ac:dyDescent="0.3">
      <c r="A407" s="7" t="s">
        <v>459</v>
      </c>
      <c r="B407" s="7">
        <f>ROUND(AVERAGE('SKU sales and Inventory'!D408:Q408),0)</f>
        <v>11</v>
      </c>
      <c r="C407" s="7">
        <f>2*AVERAGE('SKU sales and Inventory'!D408:F408)</f>
        <v>34</v>
      </c>
      <c r="D407" s="7" t="s">
        <v>824</v>
      </c>
    </row>
    <row r="408" spans="1:4" x14ac:dyDescent="0.3">
      <c r="A408" s="7" t="s">
        <v>460</v>
      </c>
      <c r="B408" s="7">
        <f>ROUND(AVERAGE('SKU sales and Inventory'!D409:Q409),0)</f>
        <v>22</v>
      </c>
      <c r="C408" s="7">
        <f>2*AVERAGE('SKU sales and Inventory'!D409:F409)</f>
        <v>36</v>
      </c>
      <c r="D408" s="7" t="s">
        <v>824</v>
      </c>
    </row>
    <row r="409" spans="1:4" x14ac:dyDescent="0.3">
      <c r="A409" s="7" t="s">
        <v>461</v>
      </c>
      <c r="B409" s="7">
        <f>ROUND(AVERAGE('SKU sales and Inventory'!D410:Q410),0)</f>
        <v>6</v>
      </c>
      <c r="C409" s="7">
        <f>2*AVERAGE('SKU sales and Inventory'!D410:F410)</f>
        <v>56</v>
      </c>
      <c r="D409" s="7" t="s">
        <v>824</v>
      </c>
    </row>
    <row r="410" spans="1:4" x14ac:dyDescent="0.3">
      <c r="A410" s="7" t="s">
        <v>462</v>
      </c>
      <c r="B410" s="7">
        <f>ROUND(AVERAGE('SKU sales and Inventory'!D411:Q411),0)</f>
        <v>37</v>
      </c>
      <c r="C410" s="7">
        <f>2*AVERAGE('SKU sales and Inventory'!D411:F411)</f>
        <v>140</v>
      </c>
      <c r="D410" s="7" t="s">
        <v>824</v>
      </c>
    </row>
    <row r="411" spans="1:4" x14ac:dyDescent="0.3">
      <c r="A411" s="7" t="s">
        <v>463</v>
      </c>
      <c r="B411" s="7">
        <f>ROUND(AVERAGE('SKU sales and Inventory'!D412:Q412),0)</f>
        <v>73</v>
      </c>
      <c r="C411" s="7">
        <f>2*AVERAGE('SKU sales and Inventory'!D412:F412)</f>
        <v>82</v>
      </c>
      <c r="D411" s="7" t="s">
        <v>824</v>
      </c>
    </row>
    <row r="412" spans="1:4" x14ac:dyDescent="0.3">
      <c r="A412" s="7" t="s">
        <v>464</v>
      </c>
      <c r="B412" s="7">
        <f>ROUND(AVERAGE('SKU sales and Inventory'!D413:Q413),0)</f>
        <v>193</v>
      </c>
      <c r="C412" s="7">
        <f>2*AVERAGE('SKU sales and Inventory'!D413:F413)</f>
        <v>208</v>
      </c>
      <c r="D412" s="7" t="s">
        <v>824</v>
      </c>
    </row>
    <row r="413" spans="1:4" x14ac:dyDescent="0.3">
      <c r="A413" s="7" t="s">
        <v>465</v>
      </c>
      <c r="B413" s="7">
        <f>ROUND(AVERAGE('SKU sales and Inventory'!D414:Q414),0)</f>
        <v>47</v>
      </c>
      <c r="C413" s="7">
        <f>2*AVERAGE('SKU sales and Inventory'!D414:F414)</f>
        <v>116</v>
      </c>
      <c r="D413" s="7" t="s">
        <v>824</v>
      </c>
    </row>
    <row r="414" spans="1:4" x14ac:dyDescent="0.3">
      <c r="A414" s="7" t="s">
        <v>466</v>
      </c>
      <c r="B414" s="7">
        <f>ROUND(AVERAGE('SKU sales and Inventory'!D415:Q415),0)</f>
        <v>79</v>
      </c>
      <c r="C414" s="7">
        <f>2*AVERAGE('SKU sales and Inventory'!D415:F415)</f>
        <v>98</v>
      </c>
      <c r="D414" s="7" t="s">
        <v>824</v>
      </c>
    </row>
    <row r="415" spans="1:4" x14ac:dyDescent="0.3">
      <c r="A415" s="7" t="s">
        <v>467</v>
      </c>
      <c r="B415" s="7">
        <f>ROUND(AVERAGE('SKU sales and Inventory'!D416:Q416),0)</f>
        <v>13</v>
      </c>
      <c r="C415" s="7">
        <f>2*AVERAGE('SKU sales and Inventory'!D416:F416)</f>
        <v>104</v>
      </c>
      <c r="D415" s="7" t="s">
        <v>824</v>
      </c>
    </row>
    <row r="416" spans="1:4" x14ac:dyDescent="0.3">
      <c r="A416" s="7" t="s">
        <v>468</v>
      </c>
      <c r="B416" s="7">
        <f>ROUND(AVERAGE('SKU sales and Inventory'!D417:Q417),0)</f>
        <v>138</v>
      </c>
      <c r="C416" s="7">
        <f>2*AVERAGE('SKU sales and Inventory'!D417:F417)</f>
        <v>86</v>
      </c>
      <c r="D416" s="7" t="s">
        <v>824</v>
      </c>
    </row>
    <row r="417" spans="1:4" x14ac:dyDescent="0.3">
      <c r="A417" s="7" t="s">
        <v>469</v>
      </c>
      <c r="B417" s="7">
        <f>ROUND(AVERAGE('SKU sales and Inventory'!D418:Q418),0)</f>
        <v>53</v>
      </c>
      <c r="C417" s="7">
        <f>2*AVERAGE('SKU sales and Inventory'!D418:F418)</f>
        <v>72</v>
      </c>
      <c r="D417" s="7" t="s">
        <v>824</v>
      </c>
    </row>
    <row r="418" spans="1:4" x14ac:dyDescent="0.3">
      <c r="A418" s="7" t="s">
        <v>470</v>
      </c>
      <c r="B418" s="7">
        <f>ROUND(AVERAGE('SKU sales and Inventory'!D419:Q419),0)</f>
        <v>15</v>
      </c>
      <c r="C418" s="7">
        <f>2*AVERAGE('SKU sales and Inventory'!D419:F419)</f>
        <v>64</v>
      </c>
      <c r="D418" s="7" t="s">
        <v>824</v>
      </c>
    </row>
    <row r="419" spans="1:4" x14ac:dyDescent="0.3">
      <c r="A419" s="7" t="s">
        <v>471</v>
      </c>
      <c r="B419" s="7">
        <f>ROUND(AVERAGE('SKU sales and Inventory'!D420:Q420),0)</f>
        <v>17</v>
      </c>
      <c r="C419" s="7">
        <f>2*AVERAGE('SKU sales and Inventory'!D420:F420)</f>
        <v>70</v>
      </c>
      <c r="D419" s="7" t="s">
        <v>824</v>
      </c>
    </row>
    <row r="420" spans="1:4" x14ac:dyDescent="0.3">
      <c r="A420" s="7" t="s">
        <v>472</v>
      </c>
      <c r="B420" s="7">
        <f>ROUND(AVERAGE('SKU sales and Inventory'!D421:Q421),0)</f>
        <v>72</v>
      </c>
      <c r="C420" s="7">
        <f>2*AVERAGE('SKU sales and Inventory'!D421:F421)</f>
        <v>50</v>
      </c>
      <c r="D420" s="7" t="s">
        <v>824</v>
      </c>
    </row>
    <row r="421" spans="1:4" x14ac:dyDescent="0.3">
      <c r="A421" s="7" t="s">
        <v>473</v>
      </c>
      <c r="B421" s="7">
        <f>ROUND(AVERAGE('SKU sales and Inventory'!D422:Q422),0)</f>
        <v>16</v>
      </c>
      <c r="C421" s="7">
        <f>2*AVERAGE('SKU sales and Inventory'!D422:F422)</f>
        <v>54</v>
      </c>
      <c r="D421" s="7" t="s">
        <v>824</v>
      </c>
    </row>
    <row r="422" spans="1:4" x14ac:dyDescent="0.3">
      <c r="A422" s="7" t="s">
        <v>474</v>
      </c>
      <c r="B422" s="7">
        <f>ROUND(AVERAGE('SKU sales and Inventory'!D423:Q423),0)</f>
        <v>22</v>
      </c>
      <c r="C422" s="7">
        <f>2*AVERAGE('SKU sales and Inventory'!D423:F423)</f>
        <v>54</v>
      </c>
      <c r="D422" s="7" t="s">
        <v>824</v>
      </c>
    </row>
    <row r="423" spans="1:4" x14ac:dyDescent="0.3">
      <c r="A423" s="7" t="s">
        <v>475</v>
      </c>
      <c r="B423" s="7">
        <f>ROUND(AVERAGE('SKU sales and Inventory'!D424:Q424),0)</f>
        <v>8</v>
      </c>
      <c r="C423" s="7">
        <f>2*AVERAGE('SKU sales and Inventory'!D424:F424)</f>
        <v>40</v>
      </c>
      <c r="D423" s="7" t="s">
        <v>824</v>
      </c>
    </row>
    <row r="424" spans="1:4" x14ac:dyDescent="0.3">
      <c r="A424" s="7" t="s">
        <v>476</v>
      </c>
      <c r="B424" s="7">
        <f>ROUND(AVERAGE('SKU sales and Inventory'!D425:Q425),0)</f>
        <v>8</v>
      </c>
      <c r="C424" s="7">
        <f>2*AVERAGE('SKU sales and Inventory'!D425:F425)</f>
        <v>44</v>
      </c>
      <c r="D424" s="7" t="s">
        <v>824</v>
      </c>
    </row>
    <row r="425" spans="1:4" x14ac:dyDescent="0.3">
      <c r="A425" s="7" t="s">
        <v>477</v>
      </c>
      <c r="B425" s="7">
        <f>ROUND(AVERAGE('SKU sales and Inventory'!D426:Q426),0)</f>
        <v>3</v>
      </c>
      <c r="C425" s="7">
        <f>2*AVERAGE('SKU sales and Inventory'!D426:F426)</f>
        <v>24</v>
      </c>
      <c r="D425" s="7" t="s">
        <v>824</v>
      </c>
    </row>
    <row r="426" spans="1:4" x14ac:dyDescent="0.3">
      <c r="A426" s="7" t="s">
        <v>478</v>
      </c>
      <c r="B426" s="7">
        <f>ROUND(AVERAGE('SKU sales and Inventory'!D427:Q427),0)</f>
        <v>7</v>
      </c>
      <c r="C426" s="7">
        <f>2*AVERAGE('SKU sales and Inventory'!D427:F427)</f>
        <v>44</v>
      </c>
      <c r="D426" s="7" t="s">
        <v>824</v>
      </c>
    </row>
    <row r="427" spans="1:4" x14ac:dyDescent="0.3">
      <c r="A427" s="7" t="s">
        <v>479</v>
      </c>
      <c r="B427" s="7">
        <f>ROUND(AVERAGE('SKU sales and Inventory'!D428:Q428),0)</f>
        <v>10</v>
      </c>
      <c r="C427" s="7">
        <f>2*AVERAGE('SKU sales and Inventory'!D428:F428)</f>
        <v>94</v>
      </c>
      <c r="D427" s="7" t="s">
        <v>824</v>
      </c>
    </row>
    <row r="428" spans="1:4" x14ac:dyDescent="0.3">
      <c r="A428" s="7" t="s">
        <v>480</v>
      </c>
      <c r="B428" s="7">
        <f>ROUND(AVERAGE('SKU sales and Inventory'!D429:Q429),0)</f>
        <v>17</v>
      </c>
      <c r="C428" s="7">
        <f>2*AVERAGE('SKU sales and Inventory'!D429:F429)</f>
        <v>82</v>
      </c>
      <c r="D428" s="7" t="s">
        <v>824</v>
      </c>
    </row>
    <row r="429" spans="1:4" x14ac:dyDescent="0.3">
      <c r="A429" s="7" t="s">
        <v>481</v>
      </c>
      <c r="B429" s="7">
        <f>ROUND(AVERAGE('SKU sales and Inventory'!D430:Q430),0)</f>
        <v>13</v>
      </c>
      <c r="C429" s="7">
        <f>2*AVERAGE('SKU sales and Inventory'!D430:F430)</f>
        <v>80</v>
      </c>
      <c r="D429" s="7" t="s">
        <v>824</v>
      </c>
    </row>
    <row r="430" spans="1:4" x14ac:dyDescent="0.3">
      <c r="A430" s="7" t="s">
        <v>482</v>
      </c>
      <c r="B430" s="7">
        <f>ROUND(AVERAGE('SKU sales and Inventory'!D431:Q431),0)</f>
        <v>117</v>
      </c>
      <c r="C430" s="7">
        <f>2*AVERAGE('SKU sales and Inventory'!D431:F431)</f>
        <v>92</v>
      </c>
      <c r="D430" s="7" t="s">
        <v>824</v>
      </c>
    </row>
    <row r="431" spans="1:4" x14ac:dyDescent="0.3">
      <c r="A431" s="7" t="s">
        <v>483</v>
      </c>
      <c r="B431" s="7">
        <f>ROUND(AVERAGE('SKU sales and Inventory'!D432:Q432),0)</f>
        <v>9</v>
      </c>
      <c r="C431" s="7">
        <f>2*AVERAGE('SKU sales and Inventory'!D432:F432)</f>
        <v>56</v>
      </c>
      <c r="D431" s="7" t="s">
        <v>824</v>
      </c>
    </row>
    <row r="432" spans="1:4" x14ac:dyDescent="0.3">
      <c r="A432" s="7" t="s">
        <v>484</v>
      </c>
      <c r="B432" s="7">
        <f>ROUND(AVERAGE('SKU sales and Inventory'!D433:Q433),0)</f>
        <v>4</v>
      </c>
      <c r="C432" s="7">
        <f>2*AVERAGE('SKU sales and Inventory'!D433:F433)</f>
        <v>36</v>
      </c>
      <c r="D432" s="7" t="s">
        <v>824</v>
      </c>
    </row>
    <row r="433" spans="1:4" x14ac:dyDescent="0.3">
      <c r="A433" s="7" t="s">
        <v>485</v>
      </c>
      <c r="B433" s="7">
        <f>ROUND(AVERAGE('SKU sales and Inventory'!D434:Q434),0)</f>
        <v>8</v>
      </c>
      <c r="C433" s="7">
        <f>2*AVERAGE('SKU sales and Inventory'!D434:F434)</f>
        <v>50</v>
      </c>
      <c r="D433" s="7" t="s">
        <v>824</v>
      </c>
    </row>
    <row r="434" spans="1:4" x14ac:dyDescent="0.3">
      <c r="A434" s="7" t="s">
        <v>486</v>
      </c>
      <c r="B434" s="7">
        <f>ROUND(AVERAGE('SKU sales and Inventory'!D435:Q435),0)</f>
        <v>36</v>
      </c>
      <c r="C434" s="7">
        <f>2*AVERAGE('SKU sales and Inventory'!D435:F435)</f>
        <v>70</v>
      </c>
      <c r="D434" s="7" t="s">
        <v>824</v>
      </c>
    </row>
    <row r="435" spans="1:4" x14ac:dyDescent="0.3">
      <c r="A435" s="7" t="s">
        <v>487</v>
      </c>
      <c r="B435" s="7">
        <f>ROUND(AVERAGE('SKU sales and Inventory'!D436:Q436),0)</f>
        <v>2</v>
      </c>
      <c r="C435" s="7">
        <f>2*AVERAGE('SKU sales and Inventory'!D436:F436)</f>
        <v>18</v>
      </c>
      <c r="D435" s="7" t="s">
        <v>824</v>
      </c>
    </row>
    <row r="436" spans="1:4" x14ac:dyDescent="0.3">
      <c r="A436" s="7" t="s">
        <v>488</v>
      </c>
      <c r="B436" s="7">
        <f>ROUND(AVERAGE('SKU sales and Inventory'!D437:Q437),0)</f>
        <v>21</v>
      </c>
      <c r="C436" s="7">
        <f>2*AVERAGE('SKU sales and Inventory'!D437:F437)</f>
        <v>70</v>
      </c>
      <c r="D436" s="7" t="s">
        <v>824</v>
      </c>
    </row>
    <row r="437" spans="1:4" x14ac:dyDescent="0.3">
      <c r="A437" s="7" t="s">
        <v>489</v>
      </c>
      <c r="B437" s="7">
        <f>ROUND(AVERAGE('SKU sales and Inventory'!D438:Q438),0)</f>
        <v>33</v>
      </c>
      <c r="C437" s="7">
        <f>2*AVERAGE('SKU sales and Inventory'!D438:F438)</f>
        <v>106</v>
      </c>
      <c r="D437" s="7" t="s">
        <v>824</v>
      </c>
    </row>
    <row r="438" spans="1:4" x14ac:dyDescent="0.3">
      <c r="A438" s="7" t="s">
        <v>490</v>
      </c>
      <c r="B438" s="7">
        <f>ROUND(AVERAGE('SKU sales and Inventory'!D439:Q439),0)</f>
        <v>66</v>
      </c>
      <c r="C438" s="7">
        <f>2*AVERAGE('SKU sales and Inventory'!D439:F439)</f>
        <v>174</v>
      </c>
      <c r="D438" s="7" t="s">
        <v>824</v>
      </c>
    </row>
    <row r="439" spans="1:4" x14ac:dyDescent="0.3">
      <c r="A439" s="7" t="s">
        <v>491</v>
      </c>
      <c r="B439" s="7">
        <f>ROUND(AVERAGE('SKU sales and Inventory'!D440:Q440),0)</f>
        <v>56</v>
      </c>
      <c r="C439" s="7">
        <f>2*AVERAGE('SKU sales and Inventory'!D440:F440)</f>
        <v>132</v>
      </c>
      <c r="D439" s="7" t="s">
        <v>824</v>
      </c>
    </row>
    <row r="440" spans="1:4" x14ac:dyDescent="0.3">
      <c r="A440" s="7" t="s">
        <v>492</v>
      </c>
      <c r="B440" s="7">
        <f>ROUND(AVERAGE('SKU sales and Inventory'!D441:Q441),0)</f>
        <v>74</v>
      </c>
      <c r="C440" s="7">
        <f>2*AVERAGE('SKU sales and Inventory'!D441:F441)</f>
        <v>118</v>
      </c>
      <c r="D440" s="7" t="s">
        <v>824</v>
      </c>
    </row>
    <row r="441" spans="1:4" x14ac:dyDescent="0.3">
      <c r="A441" s="7" t="s">
        <v>493</v>
      </c>
      <c r="B441" s="7">
        <f>ROUND(AVERAGE('SKU sales and Inventory'!D442:Q442),0)</f>
        <v>53</v>
      </c>
      <c r="C441" s="7">
        <f>2*AVERAGE('SKU sales and Inventory'!D442:F442)</f>
        <v>86</v>
      </c>
      <c r="D441" s="7" t="s">
        <v>824</v>
      </c>
    </row>
    <row r="442" spans="1:4" x14ac:dyDescent="0.3">
      <c r="A442" s="7" t="s">
        <v>494</v>
      </c>
      <c r="B442" s="7">
        <f>ROUND(AVERAGE('SKU sales and Inventory'!D443:Q443),0)</f>
        <v>43</v>
      </c>
      <c r="C442" s="7">
        <f>2*AVERAGE('SKU sales and Inventory'!D443:F443)</f>
        <v>64</v>
      </c>
      <c r="D442" s="7" t="s">
        <v>824</v>
      </c>
    </row>
    <row r="443" spans="1:4" x14ac:dyDescent="0.3">
      <c r="A443" s="7" t="s">
        <v>495</v>
      </c>
      <c r="B443" s="7">
        <f>ROUND(AVERAGE('SKU sales and Inventory'!D444:Q444),0)</f>
        <v>38</v>
      </c>
      <c r="C443" s="7">
        <f>2*AVERAGE('SKU sales and Inventory'!D444:F444)</f>
        <v>72</v>
      </c>
      <c r="D443" s="7" t="s">
        <v>824</v>
      </c>
    </row>
    <row r="444" spans="1:4" x14ac:dyDescent="0.3">
      <c r="A444" s="7" t="s">
        <v>496</v>
      </c>
      <c r="B444" s="7">
        <f>ROUND(AVERAGE('SKU sales and Inventory'!D445:Q445),0)</f>
        <v>26</v>
      </c>
      <c r="C444" s="7">
        <f>2*AVERAGE('SKU sales and Inventory'!D445:F445)</f>
        <v>50</v>
      </c>
      <c r="D444" s="7" t="s">
        <v>824</v>
      </c>
    </row>
    <row r="445" spans="1:4" x14ac:dyDescent="0.3">
      <c r="A445" s="7" t="s">
        <v>497</v>
      </c>
      <c r="B445" s="7">
        <f>ROUND(AVERAGE('SKU sales and Inventory'!D446:Q446),0)</f>
        <v>11</v>
      </c>
      <c r="C445" s="7">
        <f>2*AVERAGE('SKU sales and Inventory'!D446:F446)</f>
        <v>102</v>
      </c>
      <c r="D445" s="7" t="s">
        <v>824</v>
      </c>
    </row>
    <row r="446" spans="1:4" x14ac:dyDescent="0.3">
      <c r="A446" s="7" t="s">
        <v>498</v>
      </c>
      <c r="B446" s="7">
        <f>ROUND(AVERAGE('SKU sales and Inventory'!D447:Q447),0)</f>
        <v>14</v>
      </c>
      <c r="C446" s="7">
        <f>2*AVERAGE('SKU sales and Inventory'!D447:F447)</f>
        <v>46</v>
      </c>
      <c r="D446" s="7" t="s">
        <v>824</v>
      </c>
    </row>
    <row r="447" spans="1:4" x14ac:dyDescent="0.3">
      <c r="A447" s="7" t="s">
        <v>499</v>
      </c>
      <c r="B447" s="7">
        <f>ROUND(AVERAGE('SKU sales and Inventory'!D448:Q448),0)</f>
        <v>73</v>
      </c>
      <c r="C447" s="7">
        <f>2*AVERAGE('SKU sales and Inventory'!D448:F448)</f>
        <v>130</v>
      </c>
      <c r="D447" s="7" t="s">
        <v>824</v>
      </c>
    </row>
    <row r="448" spans="1:4" x14ac:dyDescent="0.3">
      <c r="A448" s="7" t="s">
        <v>500</v>
      </c>
      <c r="B448" s="7">
        <f>ROUND(AVERAGE('SKU sales and Inventory'!D449:Q449),0)</f>
        <v>72</v>
      </c>
      <c r="C448" s="7">
        <f>2*AVERAGE('SKU sales and Inventory'!D449:F449)</f>
        <v>66</v>
      </c>
      <c r="D448" s="7" t="s">
        <v>824</v>
      </c>
    </row>
    <row r="449" spans="1:4" x14ac:dyDescent="0.3">
      <c r="A449" s="7" t="s">
        <v>501</v>
      </c>
      <c r="B449" s="7">
        <f>ROUND(AVERAGE('SKU sales and Inventory'!D450:Q450),0)</f>
        <v>17</v>
      </c>
      <c r="C449" s="7">
        <f>2*AVERAGE('SKU sales and Inventory'!D450:F450)</f>
        <v>122</v>
      </c>
      <c r="D449" s="7" t="s">
        <v>824</v>
      </c>
    </row>
    <row r="450" spans="1:4" x14ac:dyDescent="0.3">
      <c r="A450" s="7" t="s">
        <v>502</v>
      </c>
      <c r="B450" s="7">
        <f>ROUND(AVERAGE('SKU sales and Inventory'!D451:Q451),0)</f>
        <v>20</v>
      </c>
      <c r="C450" s="7">
        <f>2*AVERAGE('SKU sales and Inventory'!D451:F451)</f>
        <v>60</v>
      </c>
      <c r="D450" s="7" t="s">
        <v>824</v>
      </c>
    </row>
    <row r="451" spans="1:4" x14ac:dyDescent="0.3">
      <c r="A451" s="7" t="s">
        <v>503</v>
      </c>
      <c r="B451" s="7">
        <f>ROUND(AVERAGE('SKU sales and Inventory'!D452:Q452),0)</f>
        <v>59</v>
      </c>
      <c r="C451" s="7">
        <f>2*AVERAGE('SKU sales and Inventory'!D452:F452)</f>
        <v>88</v>
      </c>
      <c r="D451" s="7" t="s">
        <v>824</v>
      </c>
    </row>
    <row r="452" spans="1:4" x14ac:dyDescent="0.3">
      <c r="A452" s="7" t="s">
        <v>504</v>
      </c>
      <c r="B452" s="7">
        <f>ROUND(AVERAGE('SKU sales and Inventory'!D453:Q453),0)</f>
        <v>52</v>
      </c>
      <c r="C452" s="7">
        <f>2*AVERAGE('SKU sales and Inventory'!D453:F453)</f>
        <v>66</v>
      </c>
      <c r="D452" s="7" t="s">
        <v>824</v>
      </c>
    </row>
    <row r="453" spans="1:4" x14ac:dyDescent="0.3">
      <c r="A453" s="7" t="s">
        <v>505</v>
      </c>
      <c r="B453" s="7">
        <f>ROUND(AVERAGE('SKU sales and Inventory'!D454:Q454),0)</f>
        <v>6</v>
      </c>
      <c r="C453" s="7">
        <f>2*AVERAGE('SKU sales and Inventory'!D454:F454)</f>
        <v>46</v>
      </c>
      <c r="D453" s="7" t="s">
        <v>824</v>
      </c>
    </row>
    <row r="454" spans="1:4" x14ac:dyDescent="0.3">
      <c r="A454" s="7" t="s">
        <v>506</v>
      </c>
      <c r="B454" s="7">
        <f>ROUND(AVERAGE('SKU sales and Inventory'!D455:Q455),0)</f>
        <v>24</v>
      </c>
      <c r="C454" s="7">
        <f>2*AVERAGE('SKU sales and Inventory'!D455:F455)</f>
        <v>40</v>
      </c>
      <c r="D454" s="7" t="s">
        <v>824</v>
      </c>
    </row>
    <row r="455" spans="1:4" x14ac:dyDescent="0.3">
      <c r="A455" s="7" t="s">
        <v>507</v>
      </c>
      <c r="B455" s="7">
        <f>ROUND(AVERAGE('SKU sales and Inventory'!D456:Q456),0)</f>
        <v>7</v>
      </c>
      <c r="C455" s="7">
        <f>2*AVERAGE('SKU sales and Inventory'!D456:F456)</f>
        <v>18</v>
      </c>
      <c r="D455" s="7" t="s">
        <v>824</v>
      </c>
    </row>
    <row r="456" spans="1:4" x14ac:dyDescent="0.3">
      <c r="A456" s="7" t="s">
        <v>508</v>
      </c>
      <c r="B456" s="7">
        <f>ROUND(AVERAGE('SKU sales and Inventory'!D457:Q457),0)</f>
        <v>34</v>
      </c>
      <c r="C456" s="7">
        <f>2*AVERAGE('SKU sales and Inventory'!D457:F457)</f>
        <v>86</v>
      </c>
      <c r="D456" s="7" t="s">
        <v>824</v>
      </c>
    </row>
    <row r="457" spans="1:4" x14ac:dyDescent="0.3">
      <c r="A457" s="7" t="s">
        <v>509</v>
      </c>
      <c r="B457" s="7">
        <f>ROUND(AVERAGE('SKU sales and Inventory'!D458:Q458),0)</f>
        <v>39</v>
      </c>
      <c r="C457" s="7">
        <f>2*AVERAGE('SKU sales and Inventory'!D458:F458)</f>
        <v>136</v>
      </c>
      <c r="D457" s="7" t="s">
        <v>824</v>
      </c>
    </row>
    <row r="458" spans="1:4" x14ac:dyDescent="0.3">
      <c r="A458" s="7" t="s">
        <v>510</v>
      </c>
      <c r="B458" s="7">
        <f>ROUND(AVERAGE('SKU sales and Inventory'!D459:Q459),0)</f>
        <v>16</v>
      </c>
      <c r="C458" s="7">
        <f>2*AVERAGE('SKU sales and Inventory'!D459:F459)</f>
        <v>110</v>
      </c>
      <c r="D458" s="7" t="s">
        <v>824</v>
      </c>
    </row>
    <row r="459" spans="1:4" x14ac:dyDescent="0.3">
      <c r="A459" s="7" t="s">
        <v>511</v>
      </c>
      <c r="B459" s="7">
        <f>ROUND(AVERAGE('SKU sales and Inventory'!D460:Q460),0)</f>
        <v>9</v>
      </c>
      <c r="C459" s="7">
        <f>2*AVERAGE('SKU sales and Inventory'!D460:F460)</f>
        <v>80</v>
      </c>
      <c r="D459" s="7" t="s">
        <v>824</v>
      </c>
    </row>
    <row r="460" spans="1:4" x14ac:dyDescent="0.3">
      <c r="A460" s="7" t="s">
        <v>512</v>
      </c>
      <c r="B460" s="7">
        <f>ROUND(AVERAGE('SKU sales and Inventory'!D461:Q461),0)</f>
        <v>5</v>
      </c>
      <c r="C460" s="7">
        <f>2*AVERAGE('SKU sales and Inventory'!D461:F461)</f>
        <v>46</v>
      </c>
      <c r="D460" s="7" t="s">
        <v>824</v>
      </c>
    </row>
    <row r="461" spans="1:4" x14ac:dyDescent="0.3">
      <c r="A461" s="7" t="s">
        <v>513</v>
      </c>
      <c r="B461" s="7">
        <f>ROUND(AVERAGE('SKU sales and Inventory'!D462:Q462),0)</f>
        <v>44</v>
      </c>
      <c r="C461" s="7">
        <f>2*AVERAGE('SKU sales and Inventory'!D462:F462)</f>
        <v>80</v>
      </c>
      <c r="D461" s="7" t="s">
        <v>824</v>
      </c>
    </row>
    <row r="462" spans="1:4" x14ac:dyDescent="0.3">
      <c r="A462" s="7" t="s">
        <v>514</v>
      </c>
      <c r="B462" s="7">
        <f>ROUND(AVERAGE('SKU sales and Inventory'!D463:Q463),0)</f>
        <v>28</v>
      </c>
      <c r="C462" s="7">
        <f>2*AVERAGE('SKU sales and Inventory'!D463:F463)</f>
        <v>52</v>
      </c>
      <c r="D462" s="7" t="s">
        <v>824</v>
      </c>
    </row>
    <row r="463" spans="1:4" x14ac:dyDescent="0.3">
      <c r="A463" s="7" t="s">
        <v>515</v>
      </c>
      <c r="B463" s="7">
        <f>ROUND(AVERAGE('SKU sales and Inventory'!D464:Q464),0)</f>
        <v>33</v>
      </c>
      <c r="C463" s="7">
        <f>2*AVERAGE('SKU sales and Inventory'!D464:F464)</f>
        <v>84</v>
      </c>
      <c r="D463" s="7" t="s">
        <v>824</v>
      </c>
    </row>
    <row r="464" spans="1:4" x14ac:dyDescent="0.3">
      <c r="A464" s="7" t="s">
        <v>516</v>
      </c>
      <c r="B464" s="7">
        <f>ROUND(AVERAGE('SKU sales and Inventory'!D465:Q465),0)</f>
        <v>9</v>
      </c>
      <c r="C464" s="7">
        <f>2*AVERAGE('SKU sales and Inventory'!D465:F465)</f>
        <v>84</v>
      </c>
      <c r="D464" s="7" t="s">
        <v>824</v>
      </c>
    </row>
    <row r="465" spans="1:4" x14ac:dyDescent="0.3">
      <c r="A465" s="7" t="s">
        <v>517</v>
      </c>
      <c r="B465" s="7">
        <f>ROUND(AVERAGE('SKU sales and Inventory'!D466:Q466),0)</f>
        <v>53</v>
      </c>
      <c r="C465" s="7">
        <f>2*AVERAGE('SKU sales and Inventory'!D466:F466)</f>
        <v>58</v>
      </c>
      <c r="D465" s="7" t="s">
        <v>824</v>
      </c>
    </row>
    <row r="466" spans="1:4" x14ac:dyDescent="0.3">
      <c r="A466" s="7" t="s">
        <v>518</v>
      </c>
      <c r="B466" s="7">
        <f>ROUND(AVERAGE('SKU sales and Inventory'!D467:Q467),0)</f>
        <v>20</v>
      </c>
      <c r="C466" s="7">
        <f>2*AVERAGE('SKU sales and Inventory'!D467:F467)</f>
        <v>38</v>
      </c>
      <c r="D466" s="7" t="s">
        <v>824</v>
      </c>
    </row>
    <row r="467" spans="1:4" x14ac:dyDescent="0.3">
      <c r="A467" s="7" t="s">
        <v>519</v>
      </c>
      <c r="B467" s="7">
        <f>ROUND(AVERAGE('SKU sales and Inventory'!D468:Q468),0)</f>
        <v>25</v>
      </c>
      <c r="C467" s="7">
        <f>2*AVERAGE('SKU sales and Inventory'!D468:F468)</f>
        <v>38</v>
      </c>
      <c r="D467" s="7" t="s">
        <v>824</v>
      </c>
    </row>
    <row r="468" spans="1:4" x14ac:dyDescent="0.3">
      <c r="A468" s="7" t="s">
        <v>520</v>
      </c>
      <c r="B468" s="7">
        <f>ROUND(AVERAGE('SKU sales and Inventory'!D469:Q469),0)</f>
        <v>44</v>
      </c>
      <c r="C468" s="7">
        <f>2*AVERAGE('SKU sales and Inventory'!D469:F469)</f>
        <v>38</v>
      </c>
      <c r="D468" s="7" t="s">
        <v>824</v>
      </c>
    </row>
    <row r="469" spans="1:4" x14ac:dyDescent="0.3">
      <c r="A469" s="7" t="s">
        <v>521</v>
      </c>
      <c r="B469" s="7">
        <f>ROUND(AVERAGE('SKU sales and Inventory'!D470:Q470),0)</f>
        <v>5</v>
      </c>
      <c r="C469" s="7">
        <f>2*AVERAGE('SKU sales and Inventory'!D470:F470)</f>
        <v>16</v>
      </c>
      <c r="D469" s="7" t="s">
        <v>824</v>
      </c>
    </row>
    <row r="470" spans="1:4" x14ac:dyDescent="0.3">
      <c r="A470" s="7" t="s">
        <v>522</v>
      </c>
      <c r="B470" s="7">
        <f>ROUND(AVERAGE('SKU sales and Inventory'!D471:Q471),0)</f>
        <v>2</v>
      </c>
      <c r="C470" s="7">
        <f>2*AVERAGE('SKU sales and Inventory'!D471:F471)</f>
        <v>12</v>
      </c>
      <c r="D470" s="7" t="s">
        <v>824</v>
      </c>
    </row>
    <row r="471" spans="1:4" x14ac:dyDescent="0.3">
      <c r="A471" s="7" t="s">
        <v>523</v>
      </c>
      <c r="B471" s="7">
        <f>ROUND(AVERAGE('SKU sales and Inventory'!D472:Q472),0)</f>
        <v>50</v>
      </c>
      <c r="C471" s="7">
        <f>2*AVERAGE('SKU sales and Inventory'!D472:F472)</f>
        <v>94</v>
      </c>
      <c r="D471" s="7" t="s">
        <v>824</v>
      </c>
    </row>
    <row r="472" spans="1:4" x14ac:dyDescent="0.3">
      <c r="A472" s="7" t="s">
        <v>524</v>
      </c>
      <c r="B472" s="7">
        <f>ROUND(AVERAGE('SKU sales and Inventory'!D473:Q473),0)</f>
        <v>107</v>
      </c>
      <c r="C472" s="7">
        <f>2*AVERAGE('SKU sales and Inventory'!D473:F473)</f>
        <v>74</v>
      </c>
      <c r="D472" s="7" t="s">
        <v>824</v>
      </c>
    </row>
    <row r="473" spans="1:4" x14ac:dyDescent="0.3">
      <c r="A473" s="7" t="s">
        <v>525</v>
      </c>
      <c r="B473" s="7">
        <f>ROUND(AVERAGE('SKU sales and Inventory'!D474:Q474),0)</f>
        <v>31</v>
      </c>
      <c r="C473" s="7">
        <f>2*AVERAGE('SKU sales and Inventory'!D474:F474)</f>
        <v>56</v>
      </c>
      <c r="D473" s="7" t="s">
        <v>824</v>
      </c>
    </row>
    <row r="474" spans="1:4" x14ac:dyDescent="0.3">
      <c r="A474" s="7" t="s">
        <v>526</v>
      </c>
      <c r="B474" s="7">
        <f>ROUND(AVERAGE('SKU sales and Inventory'!D475:Q475),0)</f>
        <v>12</v>
      </c>
      <c r="C474" s="7">
        <f>2*AVERAGE('SKU sales and Inventory'!D475:F475)</f>
        <v>112</v>
      </c>
      <c r="D474" s="7" t="s">
        <v>824</v>
      </c>
    </row>
    <row r="475" spans="1:4" x14ac:dyDescent="0.3">
      <c r="A475" s="7" t="s">
        <v>527</v>
      </c>
      <c r="B475" s="7">
        <f>ROUND(AVERAGE('SKU sales and Inventory'!D476:Q476),0)</f>
        <v>33</v>
      </c>
      <c r="C475" s="7">
        <f>2*AVERAGE('SKU sales and Inventory'!D476:F476)</f>
        <v>46</v>
      </c>
      <c r="D475" s="7" t="s">
        <v>824</v>
      </c>
    </row>
    <row r="476" spans="1:4" x14ac:dyDescent="0.3">
      <c r="A476" s="7" t="s">
        <v>528</v>
      </c>
      <c r="B476" s="7">
        <f>ROUND(AVERAGE('SKU sales and Inventory'!D477:Q477),0)</f>
        <v>16</v>
      </c>
      <c r="C476" s="7">
        <f>2*AVERAGE('SKU sales and Inventory'!D477:F477)</f>
        <v>42</v>
      </c>
      <c r="D476" s="7" t="s">
        <v>824</v>
      </c>
    </row>
    <row r="477" spans="1:4" x14ac:dyDescent="0.3">
      <c r="A477" s="7" t="s">
        <v>529</v>
      </c>
      <c r="B477" s="7">
        <f>ROUND(AVERAGE('SKU sales and Inventory'!D478:Q478),0)</f>
        <v>22</v>
      </c>
      <c r="C477" s="7">
        <f>2*AVERAGE('SKU sales and Inventory'!D478:F478)</f>
        <v>34</v>
      </c>
      <c r="D477" s="7" t="s">
        <v>824</v>
      </c>
    </row>
    <row r="478" spans="1:4" x14ac:dyDescent="0.3">
      <c r="A478" s="7" t="s">
        <v>530</v>
      </c>
      <c r="B478" s="7">
        <f>ROUND(AVERAGE('SKU sales and Inventory'!D479:Q479),0)</f>
        <v>3</v>
      </c>
      <c r="C478" s="7">
        <f>2*AVERAGE('SKU sales and Inventory'!D479:F479)</f>
        <v>24</v>
      </c>
      <c r="D478" s="7" t="s">
        <v>824</v>
      </c>
    </row>
    <row r="479" spans="1:4" x14ac:dyDescent="0.3">
      <c r="A479" s="7" t="s">
        <v>531</v>
      </c>
      <c r="B479" s="7">
        <f>ROUND(AVERAGE('SKU sales and Inventory'!D480:Q480),0)</f>
        <v>6</v>
      </c>
      <c r="C479" s="7">
        <f>2*AVERAGE('SKU sales and Inventory'!D480:F480)</f>
        <v>54</v>
      </c>
      <c r="D479" s="7" t="s">
        <v>824</v>
      </c>
    </row>
    <row r="480" spans="1:4" x14ac:dyDescent="0.3">
      <c r="A480" s="7" t="s">
        <v>532</v>
      </c>
      <c r="B480" s="7">
        <f>ROUND(AVERAGE('SKU sales and Inventory'!D481:Q481),0)</f>
        <v>15</v>
      </c>
      <c r="C480" s="7">
        <f>2*AVERAGE('SKU sales and Inventory'!D481:F481)</f>
        <v>56</v>
      </c>
      <c r="D480" s="7" t="s">
        <v>824</v>
      </c>
    </row>
    <row r="481" spans="1:4" x14ac:dyDescent="0.3">
      <c r="A481" s="7" t="s">
        <v>533</v>
      </c>
      <c r="B481" s="7">
        <f>ROUND(AVERAGE('SKU sales and Inventory'!D482:Q482),0)</f>
        <v>9</v>
      </c>
      <c r="C481" s="7">
        <f>2*AVERAGE('SKU sales and Inventory'!D482:F482)</f>
        <v>30</v>
      </c>
      <c r="D481" s="7" t="s">
        <v>824</v>
      </c>
    </row>
    <row r="482" spans="1:4" x14ac:dyDescent="0.3">
      <c r="A482" s="7" t="s">
        <v>534</v>
      </c>
      <c r="B482" s="7">
        <f>ROUND(AVERAGE('SKU sales and Inventory'!D483:Q483),0)</f>
        <v>31</v>
      </c>
      <c r="C482" s="7">
        <f>2*AVERAGE('SKU sales and Inventory'!D483:F483)</f>
        <v>22</v>
      </c>
      <c r="D482" s="7" t="s">
        <v>824</v>
      </c>
    </row>
    <row r="483" spans="1:4" x14ac:dyDescent="0.3">
      <c r="A483" s="7" t="s">
        <v>535</v>
      </c>
      <c r="B483" s="7">
        <f>ROUND(AVERAGE('SKU sales and Inventory'!D484:Q484),0)</f>
        <v>42</v>
      </c>
      <c r="C483" s="7">
        <f>2*AVERAGE('SKU sales and Inventory'!D484:F484)</f>
        <v>60</v>
      </c>
      <c r="D483" s="7" t="s">
        <v>824</v>
      </c>
    </row>
    <row r="484" spans="1:4" x14ac:dyDescent="0.3">
      <c r="A484" s="7" t="s">
        <v>536</v>
      </c>
      <c r="B484" s="7">
        <f>ROUND(AVERAGE('SKU sales and Inventory'!D485:Q485),0)</f>
        <v>7</v>
      </c>
      <c r="C484" s="7">
        <f>2*AVERAGE('SKU sales and Inventory'!D485:F485)</f>
        <v>20</v>
      </c>
      <c r="D484" s="7" t="s">
        <v>824</v>
      </c>
    </row>
    <row r="485" spans="1:4" x14ac:dyDescent="0.3">
      <c r="A485" s="7" t="s">
        <v>537</v>
      </c>
      <c r="B485" s="7">
        <f>ROUND(AVERAGE('SKU sales and Inventory'!D486:Q486),0)</f>
        <v>6</v>
      </c>
      <c r="C485" s="7">
        <f>2*AVERAGE('SKU sales and Inventory'!D486:F486)</f>
        <v>26</v>
      </c>
      <c r="D485" s="7" t="s">
        <v>824</v>
      </c>
    </row>
    <row r="486" spans="1:4" x14ac:dyDescent="0.3">
      <c r="A486" s="7" t="s">
        <v>538</v>
      </c>
      <c r="B486" s="7">
        <f>ROUND(AVERAGE('SKU sales and Inventory'!D487:Q487),0)</f>
        <v>7</v>
      </c>
      <c r="C486" s="7">
        <f>2*AVERAGE('SKU sales and Inventory'!D487:F487)</f>
        <v>22</v>
      </c>
      <c r="D486" s="7" t="s">
        <v>824</v>
      </c>
    </row>
    <row r="487" spans="1:4" x14ac:dyDescent="0.3">
      <c r="A487" s="7" t="s">
        <v>539</v>
      </c>
      <c r="B487" s="7">
        <f>ROUND(AVERAGE('SKU sales and Inventory'!D488:Q488),0)</f>
        <v>7</v>
      </c>
      <c r="C487" s="7">
        <f>2*AVERAGE('SKU sales and Inventory'!D488:F488)</f>
        <v>14</v>
      </c>
      <c r="D487" s="7" t="s">
        <v>824</v>
      </c>
    </row>
    <row r="488" spans="1:4" x14ac:dyDescent="0.3">
      <c r="A488" s="7" t="s">
        <v>540</v>
      </c>
      <c r="B488" s="7">
        <f>ROUND(AVERAGE('SKU sales and Inventory'!D489:Q489),0)</f>
        <v>90</v>
      </c>
      <c r="C488" s="7">
        <f>2*AVERAGE('SKU sales and Inventory'!D489:F489)</f>
        <v>146</v>
      </c>
      <c r="D488" s="7" t="s">
        <v>824</v>
      </c>
    </row>
    <row r="489" spans="1:4" x14ac:dyDescent="0.3">
      <c r="A489" s="7" t="s">
        <v>541</v>
      </c>
      <c r="B489" s="7">
        <f>ROUND(AVERAGE('SKU sales and Inventory'!D490:Q490),0)</f>
        <v>52</v>
      </c>
      <c r="C489" s="7">
        <f>2*AVERAGE('SKU sales and Inventory'!D490:F490)</f>
        <v>130</v>
      </c>
      <c r="D489" s="7" t="s">
        <v>824</v>
      </c>
    </row>
    <row r="490" spans="1:4" x14ac:dyDescent="0.3">
      <c r="A490" s="7" t="s">
        <v>542</v>
      </c>
      <c r="B490" s="7">
        <f>ROUND(AVERAGE('SKU sales and Inventory'!D491:Q491),0)</f>
        <v>66</v>
      </c>
      <c r="C490" s="7">
        <f>2*AVERAGE('SKU sales and Inventory'!D491:F491)</f>
        <v>66</v>
      </c>
      <c r="D490" s="7" t="s">
        <v>824</v>
      </c>
    </row>
    <row r="491" spans="1:4" x14ac:dyDescent="0.3">
      <c r="A491" s="7" t="s">
        <v>543</v>
      </c>
      <c r="B491" s="7">
        <f>ROUND(AVERAGE('SKU sales and Inventory'!D492:Q492),0)</f>
        <v>104</v>
      </c>
      <c r="C491" s="7">
        <f>2*AVERAGE('SKU sales and Inventory'!D492:F492)</f>
        <v>62</v>
      </c>
      <c r="D491" s="7" t="s">
        <v>824</v>
      </c>
    </row>
    <row r="492" spans="1:4" x14ac:dyDescent="0.3">
      <c r="A492" s="7" t="s">
        <v>544</v>
      </c>
      <c r="B492" s="7">
        <f>ROUND(AVERAGE('SKU sales and Inventory'!D493:Q493),0)</f>
        <v>37</v>
      </c>
      <c r="C492" s="7">
        <f>2*AVERAGE('SKU sales and Inventory'!D493:F493)</f>
        <v>52</v>
      </c>
      <c r="D492" s="7" t="s">
        <v>824</v>
      </c>
    </row>
    <row r="493" spans="1:4" x14ac:dyDescent="0.3">
      <c r="A493" s="7" t="s">
        <v>545</v>
      </c>
      <c r="B493" s="7">
        <f>ROUND(AVERAGE('SKU sales and Inventory'!D494:Q494),0)</f>
        <v>8</v>
      </c>
      <c r="C493" s="7">
        <f>2*AVERAGE('SKU sales and Inventory'!D494:F494)</f>
        <v>50</v>
      </c>
      <c r="D493" s="7" t="s">
        <v>824</v>
      </c>
    </row>
    <row r="494" spans="1:4" x14ac:dyDescent="0.3">
      <c r="A494" s="7" t="s">
        <v>546</v>
      </c>
      <c r="B494" s="7">
        <f>ROUND(AVERAGE('SKU sales and Inventory'!D495:Q495),0)</f>
        <v>6</v>
      </c>
      <c r="C494" s="7">
        <f>2*AVERAGE('SKU sales and Inventory'!D495:F495)</f>
        <v>40</v>
      </c>
      <c r="D494" s="7" t="s">
        <v>824</v>
      </c>
    </row>
    <row r="495" spans="1:4" x14ac:dyDescent="0.3">
      <c r="A495" s="7" t="s">
        <v>547</v>
      </c>
      <c r="B495" s="7">
        <f>ROUND(AVERAGE('SKU sales and Inventory'!D496:Q496),0)</f>
        <v>26</v>
      </c>
      <c r="C495" s="7">
        <f>2*AVERAGE('SKU sales and Inventory'!D496:F496)</f>
        <v>46</v>
      </c>
      <c r="D495" s="7" t="s">
        <v>824</v>
      </c>
    </row>
    <row r="496" spans="1:4" x14ac:dyDescent="0.3">
      <c r="A496" s="7" t="s">
        <v>548</v>
      </c>
      <c r="B496" s="7">
        <f>ROUND(AVERAGE('SKU sales and Inventory'!D497:Q497),0)</f>
        <v>51</v>
      </c>
      <c r="C496" s="7">
        <f>2*AVERAGE('SKU sales and Inventory'!D497:F497)</f>
        <v>54</v>
      </c>
      <c r="D496" s="7" t="s">
        <v>824</v>
      </c>
    </row>
    <row r="497" spans="1:4" x14ac:dyDescent="0.3">
      <c r="A497" s="7" t="s">
        <v>549</v>
      </c>
      <c r="B497" s="7">
        <f>ROUND(AVERAGE('SKU sales and Inventory'!D498:Q498),0)</f>
        <v>78</v>
      </c>
      <c r="C497" s="7">
        <f>2*AVERAGE('SKU sales and Inventory'!D498:F498)</f>
        <v>54</v>
      </c>
      <c r="D497" s="7" t="s">
        <v>824</v>
      </c>
    </row>
    <row r="498" spans="1:4" x14ac:dyDescent="0.3">
      <c r="A498" s="7" t="s">
        <v>550</v>
      </c>
      <c r="B498" s="7">
        <f>ROUND(AVERAGE('SKU sales and Inventory'!D499:Q499),0)</f>
        <v>28</v>
      </c>
      <c r="C498" s="7">
        <f>2*AVERAGE('SKU sales and Inventory'!D499:F499)</f>
        <v>50</v>
      </c>
      <c r="D498" s="7" t="s">
        <v>824</v>
      </c>
    </row>
    <row r="499" spans="1:4" x14ac:dyDescent="0.3">
      <c r="A499" s="7" t="s">
        <v>551</v>
      </c>
      <c r="B499" s="7">
        <f>ROUND(AVERAGE('SKU sales and Inventory'!D500:Q500),0)</f>
        <v>24</v>
      </c>
      <c r="C499" s="7">
        <f>2*AVERAGE('SKU sales and Inventory'!D500:F500)</f>
        <v>54</v>
      </c>
      <c r="D499" s="7" t="s">
        <v>824</v>
      </c>
    </row>
    <row r="500" spans="1:4" x14ac:dyDescent="0.3">
      <c r="A500" s="7" t="s">
        <v>552</v>
      </c>
      <c r="B500" s="7">
        <f>ROUND(AVERAGE('SKU sales and Inventory'!D501:Q501),0)</f>
        <v>7</v>
      </c>
      <c r="C500" s="7">
        <f>2*AVERAGE('SKU sales and Inventory'!D501:F501)</f>
        <v>46</v>
      </c>
      <c r="D500" s="7" t="s">
        <v>824</v>
      </c>
    </row>
    <row r="501" spans="1:4" x14ac:dyDescent="0.3">
      <c r="A501" s="7" t="s">
        <v>553</v>
      </c>
      <c r="B501" s="7">
        <f>ROUND(AVERAGE('SKU sales and Inventory'!D502:Q502),0)</f>
        <v>9</v>
      </c>
      <c r="C501" s="7">
        <f>2*AVERAGE('SKU sales and Inventory'!D502:F502)</f>
        <v>18</v>
      </c>
      <c r="D501" s="7" t="s">
        <v>824</v>
      </c>
    </row>
    <row r="502" spans="1:4" x14ac:dyDescent="0.3">
      <c r="A502" s="7" t="s">
        <v>554</v>
      </c>
      <c r="B502" s="7">
        <f>ROUND(AVERAGE('SKU sales and Inventory'!D503:Q503),0)</f>
        <v>31</v>
      </c>
      <c r="C502" s="7">
        <f>2*AVERAGE('SKU sales and Inventory'!D503:F503)</f>
        <v>20</v>
      </c>
      <c r="D502" s="7" t="s">
        <v>824</v>
      </c>
    </row>
    <row r="503" spans="1:4" x14ac:dyDescent="0.3">
      <c r="A503" s="7" t="s">
        <v>555</v>
      </c>
      <c r="B503" s="7">
        <f>ROUND(AVERAGE('SKU sales and Inventory'!D504:Q504),0)</f>
        <v>24</v>
      </c>
      <c r="C503" s="7">
        <f>2*AVERAGE('SKU sales and Inventory'!D504:F504)</f>
        <v>38</v>
      </c>
      <c r="D503" s="7" t="s">
        <v>824</v>
      </c>
    </row>
    <row r="504" spans="1:4" x14ac:dyDescent="0.3">
      <c r="A504" s="7" t="s">
        <v>556</v>
      </c>
      <c r="B504" s="7">
        <f>ROUND(AVERAGE('SKU sales and Inventory'!D505:Q505),0)</f>
        <v>2</v>
      </c>
      <c r="C504" s="7">
        <f>2*AVERAGE('SKU sales and Inventory'!D505:F505)</f>
        <v>20</v>
      </c>
      <c r="D504" s="7" t="s">
        <v>824</v>
      </c>
    </row>
    <row r="505" spans="1:4" x14ac:dyDescent="0.3">
      <c r="A505" s="7" t="s">
        <v>557</v>
      </c>
      <c r="B505" s="7">
        <f>ROUND(AVERAGE('SKU sales and Inventory'!D506:Q506),0)</f>
        <v>11</v>
      </c>
      <c r="C505" s="7">
        <f>2*AVERAGE('SKU sales and Inventory'!D506:F506)</f>
        <v>12</v>
      </c>
      <c r="D505" s="7" t="s">
        <v>824</v>
      </c>
    </row>
    <row r="506" spans="1:4" x14ac:dyDescent="0.3">
      <c r="A506" s="7" t="s">
        <v>558</v>
      </c>
      <c r="B506" s="7">
        <f>ROUND(AVERAGE('SKU sales and Inventory'!D507:Q507),0)</f>
        <v>5</v>
      </c>
      <c r="C506" s="7">
        <f>2*AVERAGE('SKU sales and Inventory'!D507:F507)</f>
        <v>16</v>
      </c>
      <c r="D506" s="7" t="s">
        <v>824</v>
      </c>
    </row>
    <row r="507" spans="1:4" x14ac:dyDescent="0.3">
      <c r="A507" s="7" t="s">
        <v>559</v>
      </c>
      <c r="B507" s="7">
        <f>ROUND(AVERAGE('SKU sales and Inventory'!D508:Q508),0)</f>
        <v>5</v>
      </c>
      <c r="C507" s="7">
        <f>2*AVERAGE('SKU sales and Inventory'!D508:F508)</f>
        <v>34</v>
      </c>
      <c r="D507" s="7" t="s">
        <v>824</v>
      </c>
    </row>
    <row r="508" spans="1:4" x14ac:dyDescent="0.3">
      <c r="A508" s="7" t="s">
        <v>560</v>
      </c>
      <c r="B508" s="7">
        <f>ROUND(AVERAGE('SKU sales and Inventory'!D509:Q509),0)</f>
        <v>1</v>
      </c>
      <c r="C508" s="7">
        <f>2*AVERAGE('SKU sales and Inventory'!D509:F509)</f>
        <v>8</v>
      </c>
      <c r="D508" s="7" t="s">
        <v>824</v>
      </c>
    </row>
    <row r="509" spans="1:4" x14ac:dyDescent="0.3">
      <c r="A509" s="7" t="s">
        <v>561</v>
      </c>
      <c r="B509" s="7">
        <f>ROUND(AVERAGE('SKU sales and Inventory'!D510:Q510),0)</f>
        <v>27</v>
      </c>
      <c r="C509" s="7">
        <f>2*AVERAGE('SKU sales and Inventory'!D510:F510)</f>
        <v>78</v>
      </c>
      <c r="D509" s="7" t="s">
        <v>824</v>
      </c>
    </row>
    <row r="510" spans="1:4" x14ac:dyDescent="0.3">
      <c r="A510" s="7" t="s">
        <v>562</v>
      </c>
      <c r="B510" s="7">
        <f>ROUND(AVERAGE('SKU sales and Inventory'!D511:Q511),0)</f>
        <v>51</v>
      </c>
      <c r="C510" s="7">
        <f>2*AVERAGE('SKU sales and Inventory'!D511:F511)</f>
        <v>64</v>
      </c>
      <c r="D510" s="7" t="s">
        <v>824</v>
      </c>
    </row>
    <row r="511" spans="1:4" x14ac:dyDescent="0.3">
      <c r="A511" s="7" t="s">
        <v>563</v>
      </c>
      <c r="B511" s="7">
        <f>ROUND(AVERAGE('SKU sales and Inventory'!D512:Q512),0)</f>
        <v>9</v>
      </c>
      <c r="C511" s="7">
        <f>2*AVERAGE('SKU sales and Inventory'!D512:F512)</f>
        <v>82</v>
      </c>
      <c r="D511" s="7" t="s">
        <v>824</v>
      </c>
    </row>
    <row r="512" spans="1:4" x14ac:dyDescent="0.3">
      <c r="A512" s="7" t="s">
        <v>564</v>
      </c>
      <c r="B512" s="7">
        <f>ROUND(AVERAGE('SKU sales and Inventory'!D513:Q513),0)</f>
        <v>34</v>
      </c>
      <c r="C512" s="7">
        <f>2*AVERAGE('SKU sales and Inventory'!D513:F513)</f>
        <v>56</v>
      </c>
      <c r="D512" s="7" t="s">
        <v>824</v>
      </c>
    </row>
    <row r="513" spans="1:4" x14ac:dyDescent="0.3">
      <c r="A513" s="7" t="s">
        <v>565</v>
      </c>
      <c r="B513" s="7">
        <f>ROUND(AVERAGE('SKU sales and Inventory'!D514:Q514),0)</f>
        <v>6</v>
      </c>
      <c r="C513" s="7">
        <f>2*AVERAGE('SKU sales and Inventory'!D514:F514)</f>
        <v>46</v>
      </c>
      <c r="D513" s="7" t="s">
        <v>824</v>
      </c>
    </row>
    <row r="514" spans="1:4" x14ac:dyDescent="0.3">
      <c r="A514" s="7" t="s">
        <v>566</v>
      </c>
      <c r="B514" s="7">
        <f>ROUND(AVERAGE('SKU sales and Inventory'!D515:Q515),0)</f>
        <v>36</v>
      </c>
      <c r="C514" s="7">
        <f>2*AVERAGE('SKU sales and Inventory'!D515:F515)</f>
        <v>54</v>
      </c>
      <c r="D514" s="7" t="s">
        <v>824</v>
      </c>
    </row>
    <row r="515" spans="1:4" x14ac:dyDescent="0.3">
      <c r="A515" s="7" t="s">
        <v>567</v>
      </c>
      <c r="B515" s="7">
        <f>ROUND(AVERAGE('SKU sales and Inventory'!D516:Q516),0)</f>
        <v>18</v>
      </c>
      <c r="C515" s="7">
        <f>2*AVERAGE('SKU sales and Inventory'!D516:F516)</f>
        <v>26</v>
      </c>
      <c r="D515" s="7" t="s">
        <v>824</v>
      </c>
    </row>
    <row r="516" spans="1:4" x14ac:dyDescent="0.3">
      <c r="A516" s="7" t="s">
        <v>568</v>
      </c>
      <c r="B516" s="7">
        <f>ROUND(AVERAGE('SKU sales and Inventory'!D517:Q517),0)</f>
        <v>8</v>
      </c>
      <c r="C516" s="7">
        <f>2*AVERAGE('SKU sales and Inventory'!D517:F517)</f>
        <v>16</v>
      </c>
      <c r="D516" s="7" t="s">
        <v>824</v>
      </c>
    </row>
    <row r="517" spans="1:4" x14ac:dyDescent="0.3">
      <c r="A517" s="7" t="s">
        <v>569</v>
      </c>
      <c r="B517" s="7">
        <f>ROUND(AVERAGE('SKU sales and Inventory'!D518:Q518),0)</f>
        <v>53</v>
      </c>
      <c r="C517" s="7">
        <f>2*AVERAGE('SKU sales and Inventory'!D518:F518)</f>
        <v>30</v>
      </c>
      <c r="D517" s="7" t="s">
        <v>824</v>
      </c>
    </row>
    <row r="518" spans="1:4" x14ac:dyDescent="0.3">
      <c r="A518" s="7" t="s">
        <v>570</v>
      </c>
      <c r="B518" s="7">
        <f>ROUND(AVERAGE('SKU sales and Inventory'!D519:Q519),0)</f>
        <v>5</v>
      </c>
      <c r="C518" s="7">
        <f>2*AVERAGE('SKU sales and Inventory'!D519:F519)</f>
        <v>18</v>
      </c>
      <c r="D518" s="7" t="s">
        <v>824</v>
      </c>
    </row>
    <row r="519" spans="1:4" x14ac:dyDescent="0.3">
      <c r="A519" s="7" t="s">
        <v>571</v>
      </c>
      <c r="B519" s="7">
        <f>ROUND(AVERAGE('SKU sales and Inventory'!D520:Q520),0)</f>
        <v>35</v>
      </c>
      <c r="C519" s="7">
        <f>2*AVERAGE('SKU sales and Inventory'!D520:F520)</f>
        <v>16</v>
      </c>
      <c r="D519" s="7" t="s">
        <v>824</v>
      </c>
    </row>
    <row r="520" spans="1:4" x14ac:dyDescent="0.3">
      <c r="A520" s="7" t="s">
        <v>572</v>
      </c>
      <c r="B520" s="7">
        <f>ROUND(AVERAGE('SKU sales and Inventory'!D521:Q521),0)</f>
        <v>36</v>
      </c>
      <c r="C520" s="7">
        <f>2*AVERAGE('SKU sales and Inventory'!D521:F521)</f>
        <v>26</v>
      </c>
      <c r="D520" s="7" t="s">
        <v>824</v>
      </c>
    </row>
    <row r="521" spans="1:4" x14ac:dyDescent="0.3">
      <c r="A521" s="7" t="s">
        <v>573</v>
      </c>
      <c r="B521" s="7">
        <f>ROUND(AVERAGE('SKU sales and Inventory'!D522:Q522),0)</f>
        <v>14</v>
      </c>
      <c r="C521" s="7">
        <f>2*AVERAGE('SKU sales and Inventory'!D522:F522)</f>
        <v>30</v>
      </c>
      <c r="D521" s="7" t="s">
        <v>824</v>
      </c>
    </row>
    <row r="522" spans="1:4" x14ac:dyDescent="0.3">
      <c r="A522" s="7" t="s">
        <v>574</v>
      </c>
      <c r="B522" s="7">
        <f>ROUND(AVERAGE('SKU sales and Inventory'!D523:Q523),0)</f>
        <v>4</v>
      </c>
      <c r="C522" s="7">
        <f>2*AVERAGE('SKU sales and Inventory'!D523:F523)</f>
        <v>20</v>
      </c>
      <c r="D522" s="7" t="s">
        <v>824</v>
      </c>
    </row>
    <row r="523" spans="1:4" x14ac:dyDescent="0.3">
      <c r="A523" s="7" t="s">
        <v>575</v>
      </c>
      <c r="B523" s="7">
        <f>ROUND(AVERAGE('SKU sales and Inventory'!D524:Q524),0)</f>
        <v>11</v>
      </c>
      <c r="C523" s="7">
        <f>2*AVERAGE('SKU sales and Inventory'!D524:F524)</f>
        <v>14</v>
      </c>
      <c r="D523" s="7" t="s">
        <v>824</v>
      </c>
    </row>
    <row r="524" spans="1:4" x14ac:dyDescent="0.3">
      <c r="A524" s="7" t="s">
        <v>576</v>
      </c>
      <c r="B524" s="7">
        <f>ROUND(AVERAGE('SKU sales and Inventory'!D525:Q525),0)</f>
        <v>8</v>
      </c>
      <c r="C524" s="7">
        <f>2*AVERAGE('SKU sales and Inventory'!D525:F525)</f>
        <v>20</v>
      </c>
      <c r="D524" s="7" t="s">
        <v>824</v>
      </c>
    </row>
    <row r="525" spans="1:4" x14ac:dyDescent="0.3">
      <c r="A525" s="7" t="s">
        <v>577</v>
      </c>
      <c r="B525" s="7">
        <f>ROUND(AVERAGE('SKU sales and Inventory'!D526:Q526),0)</f>
        <v>19</v>
      </c>
      <c r="C525" s="7">
        <f>2*AVERAGE('SKU sales and Inventory'!D526:F526)</f>
        <v>14</v>
      </c>
      <c r="D525" s="7" t="s">
        <v>824</v>
      </c>
    </row>
    <row r="526" spans="1:4" x14ac:dyDescent="0.3">
      <c r="A526" s="7" t="s">
        <v>578</v>
      </c>
      <c r="B526" s="7">
        <f>ROUND(AVERAGE('SKU sales and Inventory'!D527:Q527),0)</f>
        <v>17</v>
      </c>
      <c r="C526" s="7">
        <f>2*AVERAGE('SKU sales and Inventory'!D527:F527)</f>
        <v>36</v>
      </c>
      <c r="D526" s="7" t="s">
        <v>824</v>
      </c>
    </row>
    <row r="527" spans="1:4" x14ac:dyDescent="0.3">
      <c r="A527" s="7" t="s">
        <v>579</v>
      </c>
      <c r="B527" s="7">
        <f>ROUND(AVERAGE('SKU sales and Inventory'!D528:Q528),0)</f>
        <v>2</v>
      </c>
      <c r="C527" s="7">
        <f>2*AVERAGE('SKU sales and Inventory'!D528:F528)</f>
        <v>18</v>
      </c>
      <c r="D527" s="7" t="s">
        <v>824</v>
      </c>
    </row>
    <row r="528" spans="1:4" x14ac:dyDescent="0.3">
      <c r="A528" s="7" t="s">
        <v>580</v>
      </c>
      <c r="B528" s="7">
        <f>ROUND(AVERAGE('SKU sales and Inventory'!D529:Q529),0)</f>
        <v>8</v>
      </c>
      <c r="C528" s="7">
        <f>2*AVERAGE('SKU sales and Inventory'!D529:F529)</f>
        <v>8</v>
      </c>
      <c r="D528" s="7" t="s">
        <v>824</v>
      </c>
    </row>
    <row r="529" spans="1:4" x14ac:dyDescent="0.3">
      <c r="A529" s="7" t="s">
        <v>581</v>
      </c>
      <c r="B529" s="7">
        <f>ROUND(AVERAGE('SKU sales and Inventory'!D530:Q530),0)</f>
        <v>4</v>
      </c>
      <c r="C529" s="7">
        <f>2*AVERAGE('SKU sales and Inventory'!D530:F530)</f>
        <v>22</v>
      </c>
      <c r="D529" s="7" t="s">
        <v>824</v>
      </c>
    </row>
    <row r="530" spans="1:4" x14ac:dyDescent="0.3">
      <c r="A530" s="7" t="s">
        <v>582</v>
      </c>
      <c r="B530" s="7">
        <f>ROUND(AVERAGE('SKU sales and Inventory'!D531:Q531),0)</f>
        <v>5</v>
      </c>
      <c r="C530" s="7">
        <f>2*AVERAGE('SKU sales and Inventory'!D531:F531)</f>
        <v>14</v>
      </c>
      <c r="D530" s="7" t="s">
        <v>824</v>
      </c>
    </row>
    <row r="531" spans="1:4" x14ac:dyDescent="0.3">
      <c r="A531" s="7" t="s">
        <v>583</v>
      </c>
      <c r="B531" s="7">
        <f>ROUND(AVERAGE('SKU sales and Inventory'!D532:Q532),0)</f>
        <v>2</v>
      </c>
      <c r="C531" s="7">
        <f>2*AVERAGE('SKU sales and Inventory'!D532:F532)</f>
        <v>8</v>
      </c>
      <c r="D531" s="7" t="s">
        <v>824</v>
      </c>
    </row>
    <row r="532" spans="1:4" x14ac:dyDescent="0.3">
      <c r="A532" s="7" t="s">
        <v>584</v>
      </c>
      <c r="B532" s="7">
        <f>ROUND(AVERAGE('SKU sales and Inventory'!D533:Q533),0)</f>
        <v>98</v>
      </c>
      <c r="C532" s="7">
        <f>2*AVERAGE('SKU sales and Inventory'!D533:F533)</f>
        <v>120</v>
      </c>
      <c r="D532" s="7" t="s">
        <v>824</v>
      </c>
    </row>
    <row r="533" spans="1:4" x14ac:dyDescent="0.3">
      <c r="A533" s="7" t="s">
        <v>585</v>
      </c>
      <c r="B533" s="7">
        <f>ROUND(AVERAGE('SKU sales and Inventory'!D534:Q534),0)</f>
        <v>90</v>
      </c>
      <c r="C533" s="7">
        <f>2*AVERAGE('SKU sales and Inventory'!D534:F534)</f>
        <v>206</v>
      </c>
      <c r="D533" s="7" t="s">
        <v>824</v>
      </c>
    </row>
    <row r="534" spans="1:4" x14ac:dyDescent="0.3">
      <c r="A534" s="7" t="s">
        <v>586</v>
      </c>
      <c r="B534" s="7">
        <f>ROUND(AVERAGE('SKU sales and Inventory'!D535:Q535),0)</f>
        <v>4</v>
      </c>
      <c r="C534" s="7">
        <f>2*AVERAGE('SKU sales and Inventory'!D535:F535)</f>
        <v>40</v>
      </c>
      <c r="D534" s="7" t="s">
        <v>824</v>
      </c>
    </row>
    <row r="535" spans="1:4" x14ac:dyDescent="0.3">
      <c r="A535" s="7" t="s">
        <v>587</v>
      </c>
      <c r="B535" s="7">
        <f>ROUND(AVERAGE('SKU sales and Inventory'!D536:Q536),0)</f>
        <v>76</v>
      </c>
      <c r="C535" s="7">
        <f>2*AVERAGE('SKU sales and Inventory'!D536:F536)</f>
        <v>28</v>
      </c>
      <c r="D535" s="7" t="s">
        <v>824</v>
      </c>
    </row>
    <row r="536" spans="1:4" x14ac:dyDescent="0.3">
      <c r="A536" s="7" t="s">
        <v>588</v>
      </c>
      <c r="B536" s="7">
        <f>ROUND(AVERAGE('SKU sales and Inventory'!D537:Q537),0)</f>
        <v>21</v>
      </c>
      <c r="C536" s="7">
        <f>2*AVERAGE('SKU sales and Inventory'!D537:F537)</f>
        <v>32</v>
      </c>
      <c r="D536" s="7" t="s">
        <v>824</v>
      </c>
    </row>
    <row r="537" spans="1:4" x14ac:dyDescent="0.3">
      <c r="A537" s="7" t="s">
        <v>589</v>
      </c>
      <c r="B537" s="7">
        <f>ROUND(AVERAGE('SKU sales and Inventory'!D538:Q538),0)</f>
        <v>51</v>
      </c>
      <c r="C537" s="7">
        <f>2*AVERAGE('SKU sales and Inventory'!D538:F538)</f>
        <v>70</v>
      </c>
      <c r="D537" s="7" t="s">
        <v>824</v>
      </c>
    </row>
    <row r="538" spans="1:4" x14ac:dyDescent="0.3">
      <c r="A538" s="7" t="s">
        <v>590</v>
      </c>
      <c r="B538" s="7">
        <f>ROUND(AVERAGE('SKU sales and Inventory'!D539:Q539),0)</f>
        <v>8</v>
      </c>
      <c r="C538" s="7">
        <f>2*AVERAGE('SKU sales and Inventory'!D539:F539)</f>
        <v>76</v>
      </c>
      <c r="D538" s="7" t="s">
        <v>824</v>
      </c>
    </row>
    <row r="539" spans="1:4" x14ac:dyDescent="0.3">
      <c r="A539" s="7" t="s">
        <v>591</v>
      </c>
      <c r="B539" s="7">
        <f>ROUND(AVERAGE('SKU sales and Inventory'!D540:Q540),0)</f>
        <v>15</v>
      </c>
      <c r="C539" s="7">
        <f>2*AVERAGE('SKU sales and Inventory'!D540:F540)</f>
        <v>32</v>
      </c>
      <c r="D539" s="7" t="s">
        <v>824</v>
      </c>
    </row>
    <row r="540" spans="1:4" x14ac:dyDescent="0.3">
      <c r="A540" s="7" t="s">
        <v>592</v>
      </c>
      <c r="B540" s="7">
        <f>ROUND(AVERAGE('SKU sales and Inventory'!D541:Q541),0)</f>
        <v>16</v>
      </c>
      <c r="C540" s="7">
        <f>2*AVERAGE('SKU sales and Inventory'!D541:F541)</f>
        <v>58</v>
      </c>
      <c r="D540" s="7" t="s">
        <v>824</v>
      </c>
    </row>
    <row r="541" spans="1:4" x14ac:dyDescent="0.3">
      <c r="A541" s="7" t="s">
        <v>593</v>
      </c>
      <c r="B541" s="7">
        <f>ROUND(AVERAGE('SKU sales and Inventory'!D542:Q542),0)</f>
        <v>60</v>
      </c>
      <c r="C541" s="7">
        <f>2*AVERAGE('SKU sales and Inventory'!D542:F542)</f>
        <v>52</v>
      </c>
      <c r="D541" s="7" t="s">
        <v>824</v>
      </c>
    </row>
    <row r="542" spans="1:4" x14ac:dyDescent="0.3">
      <c r="A542" s="7" t="s">
        <v>594</v>
      </c>
      <c r="B542" s="7">
        <f>ROUND(AVERAGE('SKU sales and Inventory'!D543:Q543),0)</f>
        <v>35</v>
      </c>
      <c r="C542" s="7">
        <f>2*AVERAGE('SKU sales and Inventory'!D543:F543)</f>
        <v>24</v>
      </c>
      <c r="D542" s="7" t="s">
        <v>824</v>
      </c>
    </row>
    <row r="543" spans="1:4" x14ac:dyDescent="0.3">
      <c r="A543" s="7" t="s">
        <v>595</v>
      </c>
      <c r="B543" s="7">
        <f>ROUND(AVERAGE('SKU sales and Inventory'!D544:Q544),0)</f>
        <v>16</v>
      </c>
      <c r="C543" s="7">
        <f>2*AVERAGE('SKU sales and Inventory'!D544:F544)</f>
        <v>16</v>
      </c>
      <c r="D543" s="7" t="s">
        <v>824</v>
      </c>
    </row>
    <row r="544" spans="1:4" x14ac:dyDescent="0.3">
      <c r="A544" s="7" t="s">
        <v>596</v>
      </c>
      <c r="B544" s="7">
        <f>ROUND(AVERAGE('SKU sales and Inventory'!D545:Q545),0)</f>
        <v>2</v>
      </c>
      <c r="C544" s="7">
        <f>2*AVERAGE('SKU sales and Inventory'!D545:F545)</f>
        <v>22</v>
      </c>
      <c r="D544" s="7" t="s">
        <v>824</v>
      </c>
    </row>
    <row r="545" spans="1:4" x14ac:dyDescent="0.3">
      <c r="A545" s="7" t="s">
        <v>597</v>
      </c>
      <c r="B545" s="7">
        <f>ROUND(AVERAGE('SKU sales and Inventory'!D546:Q546),0)</f>
        <v>24</v>
      </c>
      <c r="C545" s="7">
        <f>2*AVERAGE('SKU sales and Inventory'!D546:F546)</f>
        <v>24</v>
      </c>
      <c r="D545" s="7" t="s">
        <v>824</v>
      </c>
    </row>
    <row r="546" spans="1:4" x14ac:dyDescent="0.3">
      <c r="A546" s="7" t="s">
        <v>598</v>
      </c>
      <c r="B546" s="7">
        <f>ROUND(AVERAGE('SKU sales and Inventory'!D547:Q547),0)</f>
        <v>17</v>
      </c>
      <c r="C546" s="7">
        <f>2*AVERAGE('SKU sales and Inventory'!D547:F547)</f>
        <v>18</v>
      </c>
      <c r="D546" s="7" t="s">
        <v>824</v>
      </c>
    </row>
    <row r="547" spans="1:4" x14ac:dyDescent="0.3">
      <c r="A547" s="7" t="s">
        <v>599</v>
      </c>
      <c r="B547" s="7">
        <f>ROUND(AVERAGE('SKU sales and Inventory'!D548:Q548),0)</f>
        <v>2</v>
      </c>
      <c r="C547" s="7">
        <f>2*AVERAGE('SKU sales and Inventory'!D548:F548)</f>
        <v>22</v>
      </c>
      <c r="D547" s="7" t="s">
        <v>824</v>
      </c>
    </row>
    <row r="548" spans="1:4" x14ac:dyDescent="0.3">
      <c r="A548" s="7" t="s">
        <v>600</v>
      </c>
      <c r="B548" s="7">
        <f>ROUND(AVERAGE('SKU sales and Inventory'!D549:Q549),0)</f>
        <v>6</v>
      </c>
      <c r="C548" s="7">
        <f>2*AVERAGE('SKU sales and Inventory'!D549:F549)</f>
        <v>30</v>
      </c>
      <c r="D548" s="7" t="s">
        <v>824</v>
      </c>
    </row>
    <row r="549" spans="1:4" x14ac:dyDescent="0.3">
      <c r="A549" s="7" t="s">
        <v>601</v>
      </c>
      <c r="B549" s="7">
        <f>ROUND(AVERAGE('SKU sales and Inventory'!D550:Q550),0)</f>
        <v>8</v>
      </c>
      <c r="C549" s="7">
        <f>2*AVERAGE('SKU sales and Inventory'!D550:F550)</f>
        <v>10</v>
      </c>
      <c r="D549" s="7" t="s">
        <v>824</v>
      </c>
    </row>
    <row r="550" spans="1:4" x14ac:dyDescent="0.3">
      <c r="A550" s="7" t="s">
        <v>602</v>
      </c>
      <c r="B550" s="7">
        <f>ROUND(AVERAGE('SKU sales and Inventory'!D551:Q551),0)</f>
        <v>5</v>
      </c>
      <c r="C550" s="7">
        <f>2*AVERAGE('SKU sales and Inventory'!D551:F551)</f>
        <v>26</v>
      </c>
      <c r="D550" s="7" t="s">
        <v>824</v>
      </c>
    </row>
    <row r="551" spans="1:4" x14ac:dyDescent="0.3">
      <c r="A551" s="7" t="s">
        <v>603</v>
      </c>
      <c r="B551" s="7">
        <f>ROUND(AVERAGE('SKU sales and Inventory'!D552:Q552),0)</f>
        <v>6</v>
      </c>
      <c r="C551" s="7">
        <f>2*AVERAGE('SKU sales and Inventory'!D552:F552)</f>
        <v>8</v>
      </c>
      <c r="D551" s="7" t="s">
        <v>824</v>
      </c>
    </row>
    <row r="552" spans="1:4" x14ac:dyDescent="0.3">
      <c r="A552" s="7" t="s">
        <v>604</v>
      </c>
      <c r="B552" s="7">
        <f>ROUND(AVERAGE('SKU sales and Inventory'!D553:Q553),0)</f>
        <v>21</v>
      </c>
      <c r="C552" s="7">
        <f>2*AVERAGE('SKU sales and Inventory'!D553:F553)</f>
        <v>22</v>
      </c>
      <c r="D552" s="7" t="s">
        <v>824</v>
      </c>
    </row>
    <row r="553" spans="1:4" x14ac:dyDescent="0.3">
      <c r="A553" s="7" t="s">
        <v>605</v>
      </c>
      <c r="B553" s="7">
        <f>ROUND(AVERAGE('SKU sales and Inventory'!D554:Q554),0)</f>
        <v>9</v>
      </c>
      <c r="C553" s="7">
        <f>2*AVERAGE('SKU sales and Inventory'!D554:F554)</f>
        <v>14</v>
      </c>
      <c r="D553" s="7" t="s">
        <v>824</v>
      </c>
    </row>
    <row r="554" spans="1:4" x14ac:dyDescent="0.3">
      <c r="A554" s="7" t="s">
        <v>606</v>
      </c>
      <c r="B554" s="7">
        <f>ROUND(AVERAGE('SKU sales and Inventory'!D555:Q555),0)</f>
        <v>3</v>
      </c>
      <c r="C554" s="7">
        <f>2*AVERAGE('SKU sales and Inventory'!D555:F555)</f>
        <v>14</v>
      </c>
      <c r="D554" s="7" t="s">
        <v>824</v>
      </c>
    </row>
    <row r="555" spans="1:4" x14ac:dyDescent="0.3">
      <c r="A555" s="7" t="s">
        <v>607</v>
      </c>
      <c r="B555" s="7">
        <f>ROUND(AVERAGE('SKU sales and Inventory'!D556:Q556),0)</f>
        <v>8</v>
      </c>
      <c r="C555" s="7">
        <f>2*AVERAGE('SKU sales and Inventory'!D556:F556)</f>
        <v>10</v>
      </c>
      <c r="D555" s="7" t="s">
        <v>824</v>
      </c>
    </row>
    <row r="556" spans="1:4" x14ac:dyDescent="0.3">
      <c r="A556" s="7" t="s">
        <v>608</v>
      </c>
      <c r="B556" s="7">
        <f>ROUND(AVERAGE('SKU sales and Inventory'!D557:Q557),0)</f>
        <v>8</v>
      </c>
      <c r="C556" s="7">
        <f>2*AVERAGE('SKU sales and Inventory'!D557:F557)</f>
        <v>40</v>
      </c>
      <c r="D556" s="7" t="s">
        <v>824</v>
      </c>
    </row>
    <row r="557" spans="1:4" x14ac:dyDescent="0.3">
      <c r="A557" s="7" t="s">
        <v>609</v>
      </c>
      <c r="B557" s="7">
        <f>ROUND(AVERAGE('SKU sales and Inventory'!D558:Q558),0)</f>
        <v>7</v>
      </c>
      <c r="C557" s="7">
        <f>2*AVERAGE('SKU sales and Inventory'!D558:F558)</f>
        <v>10</v>
      </c>
      <c r="D557" s="7" t="s">
        <v>824</v>
      </c>
    </row>
    <row r="558" spans="1:4" x14ac:dyDescent="0.3">
      <c r="A558" s="7" t="s">
        <v>610</v>
      </c>
      <c r="B558" s="7">
        <f>ROUND(AVERAGE('SKU sales and Inventory'!D559:Q559),0)</f>
        <v>10</v>
      </c>
      <c r="C558" s="7">
        <f>2*AVERAGE('SKU sales and Inventory'!D559:F559)</f>
        <v>14</v>
      </c>
      <c r="D558" s="7" t="s">
        <v>824</v>
      </c>
    </row>
    <row r="559" spans="1:4" x14ac:dyDescent="0.3">
      <c r="A559" s="7" t="s">
        <v>611</v>
      </c>
      <c r="B559" s="7">
        <f>ROUND(AVERAGE('SKU sales and Inventory'!D560:Q560),0)</f>
        <v>5</v>
      </c>
      <c r="C559" s="7">
        <f>2*AVERAGE('SKU sales and Inventory'!D560:F560)</f>
        <v>8</v>
      </c>
      <c r="D559" s="7" t="s">
        <v>824</v>
      </c>
    </row>
    <row r="560" spans="1:4" x14ac:dyDescent="0.3">
      <c r="A560" s="7" t="s">
        <v>612</v>
      </c>
      <c r="B560" s="7">
        <f>ROUND(AVERAGE('SKU sales and Inventory'!D561:Q561),0)</f>
        <v>6</v>
      </c>
      <c r="C560" s="7">
        <f>2*AVERAGE('SKU sales and Inventory'!D561:F561)</f>
        <v>12</v>
      </c>
      <c r="D560" s="7" t="s">
        <v>824</v>
      </c>
    </row>
    <row r="561" spans="1:4" x14ac:dyDescent="0.3">
      <c r="A561" s="7" t="s">
        <v>613</v>
      </c>
      <c r="B561" s="7">
        <f>ROUND(AVERAGE('SKU sales and Inventory'!D562:Q562),0)</f>
        <v>12</v>
      </c>
      <c r="C561" s="7">
        <f>2*AVERAGE('SKU sales and Inventory'!D562:F562)</f>
        <v>22</v>
      </c>
      <c r="D561" s="7" t="s">
        <v>824</v>
      </c>
    </row>
    <row r="562" spans="1:4" x14ac:dyDescent="0.3">
      <c r="A562" s="7" t="s">
        <v>614</v>
      </c>
      <c r="B562" s="7">
        <f>ROUND(AVERAGE('SKU sales and Inventory'!D563:Q563),0)</f>
        <v>18</v>
      </c>
      <c r="C562" s="7">
        <f>2*AVERAGE('SKU sales and Inventory'!D563:F563)</f>
        <v>14</v>
      </c>
      <c r="D562" s="7" t="s">
        <v>824</v>
      </c>
    </row>
    <row r="563" spans="1:4" x14ac:dyDescent="0.3">
      <c r="A563" s="7" t="s">
        <v>615</v>
      </c>
      <c r="B563" s="7">
        <f>ROUND(AVERAGE('SKU sales and Inventory'!D564:Q564),0)</f>
        <v>1</v>
      </c>
      <c r="C563" s="7">
        <f>2*AVERAGE('SKU sales and Inventory'!D564:F564)</f>
        <v>12</v>
      </c>
      <c r="D563" s="7" t="s">
        <v>824</v>
      </c>
    </row>
    <row r="564" spans="1:4" x14ac:dyDescent="0.3">
      <c r="A564" s="7" t="s">
        <v>616</v>
      </c>
      <c r="B564" s="7">
        <f>ROUND(AVERAGE('SKU sales and Inventory'!D565:Q565),0)</f>
        <v>0</v>
      </c>
      <c r="C564" s="7">
        <f>2*AVERAGE('SKU sales and Inventory'!D565:F565)</f>
        <v>4</v>
      </c>
      <c r="D564" s="7" t="s">
        <v>824</v>
      </c>
    </row>
    <row r="565" spans="1:4" x14ac:dyDescent="0.3">
      <c r="A565" s="7" t="s">
        <v>617</v>
      </c>
      <c r="B565" s="7">
        <f>ROUND(AVERAGE('SKU sales and Inventory'!D566:Q566),0)</f>
        <v>3</v>
      </c>
      <c r="C565" s="7">
        <f>2*AVERAGE('SKU sales and Inventory'!D566:F566)</f>
        <v>12</v>
      </c>
      <c r="D565" s="7" t="s">
        <v>824</v>
      </c>
    </row>
    <row r="566" spans="1:4" x14ac:dyDescent="0.3">
      <c r="A566" s="7" t="s">
        <v>618</v>
      </c>
      <c r="B566" s="7">
        <f>ROUND(AVERAGE('SKU sales and Inventory'!D567:Q567),0)</f>
        <v>371</v>
      </c>
      <c r="C566" s="7">
        <f>2*AVERAGE('SKU sales and Inventory'!D567:F567)</f>
        <v>40</v>
      </c>
      <c r="D566" s="7" t="s">
        <v>824</v>
      </c>
    </row>
    <row r="567" spans="1:4" x14ac:dyDescent="0.3">
      <c r="A567" s="7" t="s">
        <v>619</v>
      </c>
      <c r="B567" s="7">
        <f>ROUND(AVERAGE('SKU sales and Inventory'!D568:Q568),0)</f>
        <v>64</v>
      </c>
      <c r="C567" s="7">
        <f>2*AVERAGE('SKU sales and Inventory'!D568:F568)</f>
        <v>28</v>
      </c>
      <c r="D567" s="7" t="s">
        <v>824</v>
      </c>
    </row>
    <row r="568" spans="1:4" x14ac:dyDescent="0.3">
      <c r="A568" s="7" t="s">
        <v>620</v>
      </c>
      <c r="B568" s="7">
        <f>ROUND(AVERAGE('SKU sales and Inventory'!D569:Q569),0)</f>
        <v>18</v>
      </c>
      <c r="C568" s="7">
        <f>2*AVERAGE('SKU sales and Inventory'!D569:F569)</f>
        <v>4</v>
      </c>
      <c r="D568" s="7" t="s">
        <v>824</v>
      </c>
    </row>
    <row r="569" spans="1:4" x14ac:dyDescent="0.3">
      <c r="A569" s="7" t="s">
        <v>621</v>
      </c>
      <c r="B569" s="7">
        <f>ROUND(AVERAGE('SKU sales and Inventory'!D570:Q570),0)</f>
        <v>12</v>
      </c>
      <c r="C569" s="7">
        <f>2*AVERAGE('SKU sales and Inventory'!D570:F570)</f>
        <v>10</v>
      </c>
      <c r="D569" s="7" t="s">
        <v>824</v>
      </c>
    </row>
    <row r="570" spans="1:4" x14ac:dyDescent="0.3">
      <c r="A570" s="7" t="s">
        <v>622</v>
      </c>
      <c r="B570" s="7">
        <f>ROUND(AVERAGE('SKU sales and Inventory'!D571:Q571),0)</f>
        <v>25</v>
      </c>
      <c r="C570" s="7">
        <f>2*AVERAGE('SKU sales and Inventory'!D571:F571)</f>
        <v>82</v>
      </c>
      <c r="D570" s="7" t="s">
        <v>824</v>
      </c>
    </row>
    <row r="571" spans="1:4" x14ac:dyDescent="0.3">
      <c r="A571" s="7" t="s">
        <v>623</v>
      </c>
      <c r="B571" s="7">
        <f>ROUND(AVERAGE('SKU sales and Inventory'!D572:Q572),0)</f>
        <v>47</v>
      </c>
      <c r="C571" s="7">
        <f>2*AVERAGE('SKU sales and Inventory'!D572:F572)</f>
        <v>54</v>
      </c>
      <c r="D571" s="7" t="s">
        <v>824</v>
      </c>
    </row>
    <row r="572" spans="1:4" x14ac:dyDescent="0.3">
      <c r="A572" s="7" t="s">
        <v>624</v>
      </c>
      <c r="B572" s="7">
        <f>ROUND(AVERAGE('SKU sales and Inventory'!D573:Q573),0)</f>
        <v>2</v>
      </c>
      <c r="C572" s="7">
        <f>2*AVERAGE('SKU sales and Inventory'!D573:F573)</f>
        <v>22</v>
      </c>
      <c r="D572" s="7" t="s">
        <v>824</v>
      </c>
    </row>
    <row r="573" spans="1:4" x14ac:dyDescent="0.3">
      <c r="A573" s="7" t="s">
        <v>625</v>
      </c>
      <c r="B573" s="7">
        <f>ROUND(AVERAGE('SKU sales and Inventory'!D574:Q574),0)</f>
        <v>6</v>
      </c>
      <c r="C573" s="7">
        <f>2*AVERAGE('SKU sales and Inventory'!D574:F574)</f>
        <v>22</v>
      </c>
      <c r="D573" s="7" t="s">
        <v>824</v>
      </c>
    </row>
    <row r="574" spans="1:4" x14ac:dyDescent="0.3">
      <c r="A574" s="7" t="s">
        <v>626</v>
      </c>
      <c r="B574" s="7">
        <f>ROUND(AVERAGE('SKU sales and Inventory'!D575:Q575),0)</f>
        <v>12</v>
      </c>
      <c r="C574" s="7">
        <f>2*AVERAGE('SKU sales and Inventory'!D575:F575)</f>
        <v>20</v>
      </c>
      <c r="D574" s="7" t="s">
        <v>824</v>
      </c>
    </row>
    <row r="575" spans="1:4" x14ac:dyDescent="0.3">
      <c r="A575" s="7" t="s">
        <v>627</v>
      </c>
      <c r="B575" s="7">
        <f>ROUND(AVERAGE('SKU sales and Inventory'!D576:Q576),0)</f>
        <v>8</v>
      </c>
      <c r="C575" s="7">
        <f>2*AVERAGE('SKU sales and Inventory'!D576:F576)</f>
        <v>74</v>
      </c>
      <c r="D575" s="7" t="s">
        <v>824</v>
      </c>
    </row>
    <row r="576" spans="1:4" x14ac:dyDescent="0.3">
      <c r="A576" s="7" t="s">
        <v>628</v>
      </c>
      <c r="B576" s="7">
        <f>ROUND(AVERAGE('SKU sales and Inventory'!D577:Q577),0)</f>
        <v>16</v>
      </c>
      <c r="C576" s="7">
        <f>2*AVERAGE('SKU sales and Inventory'!D577:F577)</f>
        <v>16</v>
      </c>
      <c r="D576" s="7" t="s">
        <v>824</v>
      </c>
    </row>
    <row r="577" spans="1:4" x14ac:dyDescent="0.3">
      <c r="A577" s="7" t="s">
        <v>629</v>
      </c>
      <c r="B577" s="7">
        <f>ROUND(AVERAGE('SKU sales and Inventory'!D578:Q578),0)</f>
        <v>20</v>
      </c>
      <c r="C577" s="7">
        <f>2*AVERAGE('SKU sales and Inventory'!D578:F578)</f>
        <v>22</v>
      </c>
      <c r="D577" s="7" t="s">
        <v>824</v>
      </c>
    </row>
    <row r="578" spans="1:4" x14ac:dyDescent="0.3">
      <c r="A578" s="7" t="s">
        <v>630</v>
      </c>
      <c r="B578" s="7">
        <f>ROUND(AVERAGE('SKU sales and Inventory'!D579:Q579),0)</f>
        <v>9</v>
      </c>
      <c r="C578" s="7">
        <f>2*AVERAGE('SKU sales and Inventory'!D579:F579)</f>
        <v>14</v>
      </c>
      <c r="D578" s="7" t="s">
        <v>824</v>
      </c>
    </row>
    <row r="579" spans="1:4" x14ac:dyDescent="0.3">
      <c r="A579" s="7" t="s">
        <v>631</v>
      </c>
      <c r="B579" s="7">
        <f>ROUND(AVERAGE('SKU sales and Inventory'!D580:Q580),0)</f>
        <v>3</v>
      </c>
      <c r="C579" s="7">
        <f>2*AVERAGE('SKU sales and Inventory'!D580:F580)</f>
        <v>16</v>
      </c>
      <c r="D579" s="7" t="s">
        <v>824</v>
      </c>
    </row>
    <row r="580" spans="1:4" x14ac:dyDescent="0.3">
      <c r="A580" s="7" t="s">
        <v>632</v>
      </c>
      <c r="B580" s="7">
        <f>ROUND(AVERAGE('SKU sales and Inventory'!D581:Q581),0)</f>
        <v>8</v>
      </c>
      <c r="C580" s="7">
        <f>2*AVERAGE('SKU sales and Inventory'!D581:F581)</f>
        <v>8</v>
      </c>
      <c r="D580" s="7" t="s">
        <v>824</v>
      </c>
    </row>
    <row r="581" spans="1:4" x14ac:dyDescent="0.3">
      <c r="A581" s="7" t="s">
        <v>633</v>
      </c>
      <c r="B581" s="7">
        <f>ROUND(AVERAGE('SKU sales and Inventory'!D582:Q582),0)</f>
        <v>13</v>
      </c>
      <c r="C581" s="7">
        <f>2*AVERAGE('SKU sales and Inventory'!D582:F582)</f>
        <v>6</v>
      </c>
      <c r="D581" s="7" t="s">
        <v>824</v>
      </c>
    </row>
    <row r="582" spans="1:4" x14ac:dyDescent="0.3">
      <c r="A582" s="7" t="s">
        <v>634</v>
      </c>
      <c r="B582" s="7">
        <f>ROUND(AVERAGE('SKU sales and Inventory'!D583:Q583),0)</f>
        <v>4</v>
      </c>
      <c r="C582" s="7">
        <f>2*AVERAGE('SKU sales and Inventory'!D583:F583)</f>
        <v>6</v>
      </c>
      <c r="D582" s="7" t="s">
        <v>824</v>
      </c>
    </row>
    <row r="583" spans="1:4" x14ac:dyDescent="0.3">
      <c r="A583" s="7" t="s">
        <v>635</v>
      </c>
      <c r="B583" s="7">
        <f>ROUND(AVERAGE('SKU sales and Inventory'!D584:Q584),0)</f>
        <v>3</v>
      </c>
      <c r="C583" s="7">
        <f>2*AVERAGE('SKU sales and Inventory'!D584:F584)</f>
        <v>4</v>
      </c>
      <c r="D583" s="7" t="s">
        <v>824</v>
      </c>
    </row>
    <row r="584" spans="1:4" x14ac:dyDescent="0.3">
      <c r="A584" s="7" t="s">
        <v>636</v>
      </c>
      <c r="B584" s="7">
        <f>ROUND(AVERAGE('SKU sales and Inventory'!D585:Q585),0)</f>
        <v>5</v>
      </c>
      <c r="C584" s="7">
        <f>2*AVERAGE('SKU sales and Inventory'!D585:F585)</f>
        <v>4</v>
      </c>
      <c r="D584" s="7" t="s">
        <v>824</v>
      </c>
    </row>
    <row r="585" spans="1:4" x14ac:dyDescent="0.3">
      <c r="A585" s="7" t="s">
        <v>637</v>
      </c>
      <c r="B585" s="7">
        <f>ROUND(AVERAGE('SKU sales and Inventory'!D586:Q586),0)</f>
        <v>61</v>
      </c>
      <c r="C585" s="7">
        <f>2*AVERAGE('SKU sales and Inventory'!D586:F586)</f>
        <v>26</v>
      </c>
      <c r="D585" s="7" t="s">
        <v>824</v>
      </c>
    </row>
    <row r="586" spans="1:4" x14ac:dyDescent="0.3">
      <c r="A586" s="7" t="s">
        <v>638</v>
      </c>
      <c r="B586" s="7">
        <f>ROUND(AVERAGE('SKU sales and Inventory'!D587:Q587),0)</f>
        <v>2</v>
      </c>
      <c r="C586" s="7">
        <f>2*AVERAGE('SKU sales and Inventory'!D587:F587)</f>
        <v>18</v>
      </c>
      <c r="D586" s="7" t="s">
        <v>824</v>
      </c>
    </row>
    <row r="587" spans="1:4" x14ac:dyDescent="0.3">
      <c r="A587" s="7" t="s">
        <v>639</v>
      </c>
      <c r="B587" s="7">
        <f>ROUND(AVERAGE('SKU sales and Inventory'!D588:Q588),0)</f>
        <v>8</v>
      </c>
      <c r="C587" s="7">
        <f>2*AVERAGE('SKU sales and Inventory'!D588:F588)</f>
        <v>4</v>
      </c>
      <c r="D587" s="7" t="s">
        <v>824</v>
      </c>
    </row>
    <row r="588" spans="1:4" x14ac:dyDescent="0.3">
      <c r="A588" s="7" t="s">
        <v>640</v>
      </c>
      <c r="B588" s="7">
        <f>ROUND(AVERAGE('SKU sales and Inventory'!D589:Q589),0)</f>
        <v>4</v>
      </c>
      <c r="C588" s="7">
        <f>2*AVERAGE('SKU sales and Inventory'!D589:F589)</f>
        <v>8</v>
      </c>
      <c r="D588" s="7" t="s">
        <v>824</v>
      </c>
    </row>
    <row r="589" spans="1:4" x14ac:dyDescent="0.3">
      <c r="A589" s="7" t="s">
        <v>641</v>
      </c>
      <c r="B589" s="7">
        <f>ROUND(AVERAGE('SKU sales and Inventory'!D590:Q590),0)</f>
        <v>4</v>
      </c>
      <c r="C589" s="7">
        <f>2*AVERAGE('SKU sales and Inventory'!D590:F590)</f>
        <v>2</v>
      </c>
      <c r="D589" s="7" t="s">
        <v>824</v>
      </c>
    </row>
    <row r="590" spans="1:4" x14ac:dyDescent="0.3">
      <c r="A590" s="7" t="s">
        <v>642</v>
      </c>
      <c r="B590" s="7">
        <f>ROUND(AVERAGE('SKU sales and Inventory'!D591:Q591),0)</f>
        <v>6</v>
      </c>
      <c r="C590" s="7">
        <f>2*AVERAGE('SKU sales and Inventory'!D591:F591)</f>
        <v>12</v>
      </c>
      <c r="D590" s="7" t="s">
        <v>824</v>
      </c>
    </row>
    <row r="591" spans="1:4" x14ac:dyDescent="0.3">
      <c r="A591" s="7" t="s">
        <v>643</v>
      </c>
      <c r="B591" s="7">
        <f>ROUND(AVERAGE('SKU sales and Inventory'!D592:Q592),0)</f>
        <v>14</v>
      </c>
      <c r="C591" s="7">
        <f>2*AVERAGE('SKU sales and Inventory'!D592:F592)</f>
        <v>2</v>
      </c>
      <c r="D591" s="7" t="s">
        <v>824</v>
      </c>
    </row>
    <row r="592" spans="1:4" x14ac:dyDescent="0.3">
      <c r="A592" s="7" t="s">
        <v>644</v>
      </c>
      <c r="B592" s="7">
        <f>ROUND(AVERAGE('SKU sales and Inventory'!D593:Q593),0)</f>
        <v>17</v>
      </c>
      <c r="C592" s="7">
        <f>2*AVERAGE('SKU sales and Inventory'!D593:F593)</f>
        <v>8</v>
      </c>
      <c r="D592" s="7" t="s">
        <v>824</v>
      </c>
    </row>
    <row r="593" spans="1:4" x14ac:dyDescent="0.3">
      <c r="A593" s="7" t="s">
        <v>645</v>
      </c>
      <c r="B593" s="7">
        <f>ROUND(AVERAGE('SKU sales and Inventory'!D594:Q594),0)</f>
        <v>5</v>
      </c>
      <c r="C593" s="7">
        <f>2*AVERAGE('SKU sales and Inventory'!D594:F594)</f>
        <v>4</v>
      </c>
      <c r="D593" s="7" t="s">
        <v>824</v>
      </c>
    </row>
    <row r="594" spans="1:4" x14ac:dyDescent="0.3">
      <c r="A594" s="7" t="s">
        <v>646</v>
      </c>
      <c r="B594" s="7">
        <f>ROUND(AVERAGE('SKU sales and Inventory'!D595:Q595),0)</f>
        <v>7</v>
      </c>
      <c r="C594" s="7">
        <f>2*AVERAGE('SKU sales and Inventory'!D595:F595)</f>
        <v>2</v>
      </c>
      <c r="D594" s="7" t="s">
        <v>824</v>
      </c>
    </row>
    <row r="595" spans="1:4" x14ac:dyDescent="0.3">
      <c r="A595" s="7" t="s">
        <v>647</v>
      </c>
      <c r="B595" s="7">
        <f>ROUND(AVERAGE('SKU sales and Inventory'!D596:Q596),0)</f>
        <v>4</v>
      </c>
      <c r="C595" s="7">
        <f>2*AVERAGE('SKU sales and Inventory'!D596:F596)</f>
        <v>2</v>
      </c>
      <c r="D595" s="7" t="s">
        <v>824</v>
      </c>
    </row>
    <row r="596" spans="1:4" x14ac:dyDescent="0.3">
      <c r="A596" s="7" t="s">
        <v>648</v>
      </c>
      <c r="B596" s="7">
        <f>ROUND(AVERAGE('SKU sales and Inventory'!D597:Q597),0)</f>
        <v>0</v>
      </c>
      <c r="C596" s="7">
        <f>2*AVERAGE('SKU sales and Inventory'!D597:F597)</f>
        <v>2</v>
      </c>
      <c r="D596" s="7" t="s">
        <v>824</v>
      </c>
    </row>
    <row r="597" spans="1:4" x14ac:dyDescent="0.3">
      <c r="A597" s="7" t="s">
        <v>649</v>
      </c>
      <c r="B597" s="7">
        <f>ROUND(AVERAGE('SKU sales and Inventory'!D598:Q598),0)</f>
        <v>3</v>
      </c>
      <c r="C597" s="7">
        <f>2*AVERAGE('SKU sales and Inventory'!D598:F598)</f>
        <v>2</v>
      </c>
      <c r="D597" s="7" t="s">
        <v>824</v>
      </c>
    </row>
    <row r="598" spans="1:4" x14ac:dyDescent="0.3">
      <c r="A598" s="7" t="s">
        <v>650</v>
      </c>
      <c r="B598" s="7">
        <f>ROUND(AVERAGE('SKU sales and Inventory'!D599:Q599),0)</f>
        <v>6</v>
      </c>
      <c r="C598" s="7">
        <f>2*AVERAGE('SKU sales and Inventory'!D599:F599)</f>
        <v>2</v>
      </c>
      <c r="D598" s="7" t="s">
        <v>824</v>
      </c>
    </row>
    <row r="599" spans="1:4" x14ac:dyDescent="0.3">
      <c r="A599" s="7" t="s">
        <v>651</v>
      </c>
      <c r="B599" s="7">
        <f>ROUND(AVERAGE('SKU sales and Inventory'!D600:Q600),0)</f>
        <v>3</v>
      </c>
      <c r="C599" s="7">
        <f>2*AVERAGE('SKU sales and Inventory'!D600:F600)</f>
        <v>18</v>
      </c>
      <c r="D599" s="7" t="s">
        <v>824</v>
      </c>
    </row>
    <row r="600" spans="1:4" x14ac:dyDescent="0.3">
      <c r="A600" s="7" t="s">
        <v>652</v>
      </c>
      <c r="B600" s="7">
        <f>ROUND(AVERAGE('SKU sales and Inventory'!D601:Q601),0)</f>
        <v>126</v>
      </c>
      <c r="C600" s="7">
        <f>2*AVERAGE('SKU sales and Inventory'!D601:F601)</f>
        <v>22</v>
      </c>
      <c r="D600" s="7" t="s">
        <v>824</v>
      </c>
    </row>
    <row r="601" spans="1:4" x14ac:dyDescent="0.3">
      <c r="A601" s="7" t="s">
        <v>653</v>
      </c>
      <c r="B601" s="7">
        <f>ROUND(AVERAGE('SKU sales and Inventory'!D602:Q602),0)</f>
        <v>61</v>
      </c>
      <c r="C601" s="7">
        <f>2*AVERAGE('SKU sales and Inventory'!D602:F602)</f>
        <v>26</v>
      </c>
      <c r="D601" s="7" t="s">
        <v>824</v>
      </c>
    </row>
    <row r="602" spans="1:4" x14ac:dyDescent="0.3">
      <c r="A602" s="7" t="s">
        <v>654</v>
      </c>
      <c r="B602" s="7">
        <f>ROUND(AVERAGE('SKU sales and Inventory'!D603:Q603),0)</f>
        <v>6</v>
      </c>
      <c r="C602" s="7">
        <f>2*AVERAGE('SKU sales and Inventory'!D603:F603)</f>
        <v>0</v>
      </c>
      <c r="D602" s="7" t="s">
        <v>824</v>
      </c>
    </row>
    <row r="603" spans="1:4" x14ac:dyDescent="0.3">
      <c r="A603" s="7" t="s">
        <v>655</v>
      </c>
      <c r="B603" s="7">
        <f>ROUND(AVERAGE('SKU sales and Inventory'!D604:Q604),0)</f>
        <v>53</v>
      </c>
      <c r="C603" s="7">
        <f>2*AVERAGE('SKU sales and Inventory'!D604:F604)</f>
        <v>36</v>
      </c>
      <c r="D603" s="7" t="s">
        <v>824</v>
      </c>
    </row>
    <row r="604" spans="1:4" x14ac:dyDescent="0.3">
      <c r="A604" s="7" t="s">
        <v>656</v>
      </c>
      <c r="B604" s="7">
        <f>ROUND(AVERAGE('SKU sales and Inventory'!D605:Q605),0)</f>
        <v>27</v>
      </c>
      <c r="C604" s="7">
        <f>2*AVERAGE('SKU sales and Inventory'!D605:F605)</f>
        <v>28</v>
      </c>
      <c r="D604" s="7" t="s">
        <v>824</v>
      </c>
    </row>
    <row r="605" spans="1:4" x14ac:dyDescent="0.3">
      <c r="A605" s="7" t="s">
        <v>657</v>
      </c>
      <c r="B605" s="7">
        <f>ROUND(AVERAGE('SKU sales and Inventory'!D606:Q606),0)</f>
        <v>21</v>
      </c>
      <c r="C605" s="7">
        <f>2*AVERAGE('SKU sales and Inventory'!D606:F606)</f>
        <v>22</v>
      </c>
      <c r="D605" s="7" t="s">
        <v>824</v>
      </c>
    </row>
    <row r="606" spans="1:4" x14ac:dyDescent="0.3">
      <c r="A606" s="7" t="s">
        <v>658</v>
      </c>
      <c r="B606" s="7">
        <f>ROUND(AVERAGE('SKU sales and Inventory'!D607:Q607),0)</f>
        <v>32</v>
      </c>
      <c r="C606" s="7">
        <f>2*AVERAGE('SKU sales and Inventory'!D607:F607)</f>
        <v>16</v>
      </c>
      <c r="D606" s="7" t="s">
        <v>824</v>
      </c>
    </row>
    <row r="607" spans="1:4" x14ac:dyDescent="0.3">
      <c r="A607" s="7" t="s">
        <v>659</v>
      </c>
      <c r="B607" s="7">
        <f>ROUND(AVERAGE('SKU sales and Inventory'!D608:Q608),0)</f>
        <v>19</v>
      </c>
      <c r="C607" s="7">
        <f>2*AVERAGE('SKU sales and Inventory'!D608:F608)</f>
        <v>22</v>
      </c>
      <c r="D607" s="7" t="s">
        <v>824</v>
      </c>
    </row>
    <row r="608" spans="1:4" x14ac:dyDescent="0.3">
      <c r="A608" s="7" t="s">
        <v>660</v>
      </c>
      <c r="B608" s="7">
        <f>ROUND(AVERAGE('SKU sales and Inventory'!D609:Q609),0)</f>
        <v>3</v>
      </c>
      <c r="C608" s="7">
        <f>2*AVERAGE('SKU sales and Inventory'!D609:F609)</f>
        <v>6</v>
      </c>
      <c r="D608" s="7" t="s">
        <v>824</v>
      </c>
    </row>
    <row r="609" spans="1:4" x14ac:dyDescent="0.3">
      <c r="A609" s="7" t="s">
        <v>661</v>
      </c>
      <c r="B609" s="7">
        <f>ROUND(AVERAGE('SKU sales and Inventory'!D610:Q610),0)</f>
        <v>12</v>
      </c>
      <c r="C609" s="7">
        <f>2*AVERAGE('SKU sales and Inventory'!D610:F610)</f>
        <v>6</v>
      </c>
      <c r="D609" s="7" t="s">
        <v>824</v>
      </c>
    </row>
    <row r="610" spans="1:4" x14ac:dyDescent="0.3">
      <c r="A610" s="7" t="s">
        <v>662</v>
      </c>
      <c r="B610" s="7">
        <f>ROUND(AVERAGE('SKU sales and Inventory'!D611:Q611),0)</f>
        <v>11</v>
      </c>
      <c r="C610" s="7">
        <f>2*AVERAGE('SKU sales and Inventory'!D611:F611)</f>
        <v>6</v>
      </c>
      <c r="D610" s="7" t="s">
        <v>824</v>
      </c>
    </row>
    <row r="611" spans="1:4" x14ac:dyDescent="0.3">
      <c r="A611" s="7" t="s">
        <v>663</v>
      </c>
      <c r="B611" s="7">
        <f>ROUND(AVERAGE('SKU sales and Inventory'!D612:Q612),0)</f>
        <v>10</v>
      </c>
      <c r="C611" s="7">
        <f>2*AVERAGE('SKU sales and Inventory'!D612:F612)</f>
        <v>4</v>
      </c>
      <c r="D611" s="7" t="s">
        <v>824</v>
      </c>
    </row>
    <row r="612" spans="1:4" x14ac:dyDescent="0.3">
      <c r="A612" s="7" t="s">
        <v>664</v>
      </c>
      <c r="B612" s="7">
        <f>ROUND(AVERAGE('SKU sales and Inventory'!D613:Q613),0)</f>
        <v>7</v>
      </c>
      <c r="C612" s="7">
        <f>2*AVERAGE('SKU sales and Inventory'!D613:F613)</f>
        <v>4</v>
      </c>
      <c r="D612" s="7" t="s">
        <v>824</v>
      </c>
    </row>
    <row r="613" spans="1:4" x14ac:dyDescent="0.3">
      <c r="A613" s="7" t="s">
        <v>665</v>
      </c>
      <c r="B613" s="7">
        <f>ROUND(AVERAGE('SKU sales and Inventory'!D614:Q614),0)</f>
        <v>18</v>
      </c>
      <c r="C613" s="7">
        <f>2*AVERAGE('SKU sales and Inventory'!D614:F614)</f>
        <v>6</v>
      </c>
      <c r="D613" s="7" t="s">
        <v>824</v>
      </c>
    </row>
    <row r="614" spans="1:4" x14ac:dyDescent="0.3">
      <c r="A614" s="7" t="s">
        <v>666</v>
      </c>
      <c r="B614" s="7">
        <f>ROUND(AVERAGE('SKU sales and Inventory'!D615:Q615),0)</f>
        <v>2</v>
      </c>
      <c r="C614" s="7">
        <f>2*AVERAGE('SKU sales and Inventory'!D615:F615)</f>
        <v>8</v>
      </c>
      <c r="D614" s="7" t="s">
        <v>824</v>
      </c>
    </row>
    <row r="615" spans="1:4" x14ac:dyDescent="0.3">
      <c r="A615" s="7" t="s">
        <v>667</v>
      </c>
      <c r="B615" s="7">
        <f>ROUND(AVERAGE('SKU sales and Inventory'!D616:Q616),0)</f>
        <v>5</v>
      </c>
      <c r="C615" s="7">
        <f>2*AVERAGE('SKU sales and Inventory'!D616:F616)</f>
        <v>2</v>
      </c>
      <c r="D615" s="7" t="s">
        <v>824</v>
      </c>
    </row>
    <row r="616" spans="1:4" x14ac:dyDescent="0.3">
      <c r="A616" s="7" t="s">
        <v>668</v>
      </c>
      <c r="B616" s="7">
        <f>ROUND(AVERAGE('SKU sales and Inventory'!D617:Q617),0)</f>
        <v>6</v>
      </c>
      <c r="C616" s="7">
        <f>2*AVERAGE('SKU sales and Inventory'!D617:F617)</f>
        <v>4</v>
      </c>
      <c r="D616" s="7" t="s">
        <v>824</v>
      </c>
    </row>
    <row r="617" spans="1:4" x14ac:dyDescent="0.3">
      <c r="A617" s="7" t="s">
        <v>669</v>
      </c>
      <c r="B617" s="7">
        <f>ROUND(AVERAGE('SKU sales and Inventory'!D618:Q618),0)</f>
        <v>2</v>
      </c>
      <c r="C617" s="7">
        <f>2*AVERAGE('SKU sales and Inventory'!D618:F618)</f>
        <v>2</v>
      </c>
      <c r="D617" s="7" t="s">
        <v>824</v>
      </c>
    </row>
    <row r="618" spans="1:4" x14ac:dyDescent="0.3">
      <c r="A618" s="7" t="s">
        <v>670</v>
      </c>
      <c r="B618" s="7">
        <f>ROUND(AVERAGE('SKU sales and Inventory'!D619:Q619),0)</f>
        <v>5</v>
      </c>
      <c r="C618" s="7">
        <f>2*AVERAGE('SKU sales and Inventory'!D619:F619)</f>
        <v>6</v>
      </c>
      <c r="D618" s="7" t="s">
        <v>824</v>
      </c>
    </row>
    <row r="619" spans="1:4" x14ac:dyDescent="0.3">
      <c r="A619" s="7" t="s">
        <v>671</v>
      </c>
      <c r="B619" s="7">
        <f>ROUND(AVERAGE('SKU sales and Inventory'!D620:Q620),0)</f>
        <v>12</v>
      </c>
      <c r="C619" s="7">
        <f>2*AVERAGE('SKU sales and Inventory'!D620:F620)</f>
        <v>4</v>
      </c>
      <c r="D619" s="7" t="s">
        <v>824</v>
      </c>
    </row>
    <row r="620" spans="1:4" x14ac:dyDescent="0.3">
      <c r="A620" s="7" t="s">
        <v>672</v>
      </c>
      <c r="B620" s="7">
        <f>ROUND(AVERAGE('SKU sales and Inventory'!D621:Q621),0)</f>
        <v>5</v>
      </c>
      <c r="C620" s="7">
        <f>2*AVERAGE('SKU sales and Inventory'!D621:F621)</f>
        <v>10</v>
      </c>
      <c r="D620" s="7" t="s">
        <v>824</v>
      </c>
    </row>
    <row r="621" spans="1:4" x14ac:dyDescent="0.3">
      <c r="A621" s="7" t="s">
        <v>673</v>
      </c>
      <c r="B621" s="7">
        <f>ROUND(AVERAGE('SKU sales and Inventory'!D622:Q622),0)</f>
        <v>2</v>
      </c>
      <c r="C621" s="7">
        <f>2*AVERAGE('SKU sales and Inventory'!D622:F622)</f>
        <v>2</v>
      </c>
      <c r="D621" s="7" t="s">
        <v>824</v>
      </c>
    </row>
    <row r="622" spans="1:4" x14ac:dyDescent="0.3">
      <c r="A622" s="7" t="s">
        <v>674</v>
      </c>
      <c r="B622" s="7">
        <f>ROUND(AVERAGE('SKU sales and Inventory'!D623:Q623),0)</f>
        <v>19</v>
      </c>
      <c r="C622" s="7">
        <f>2*AVERAGE('SKU sales and Inventory'!D623:F623)</f>
        <v>4</v>
      </c>
      <c r="D622" s="7" t="s">
        <v>824</v>
      </c>
    </row>
    <row r="623" spans="1:4" x14ac:dyDescent="0.3">
      <c r="A623" s="7" t="s">
        <v>675</v>
      </c>
      <c r="B623" s="7">
        <f>ROUND(AVERAGE('SKU sales and Inventory'!D624:Q624),0)</f>
        <v>38</v>
      </c>
      <c r="C623" s="7">
        <f>2*AVERAGE('SKU sales and Inventory'!D624:F624)</f>
        <v>28</v>
      </c>
      <c r="D623" s="7" t="s">
        <v>824</v>
      </c>
    </row>
    <row r="624" spans="1:4" x14ac:dyDescent="0.3">
      <c r="A624" s="7" t="s">
        <v>676</v>
      </c>
      <c r="B624" s="7">
        <f>ROUND(AVERAGE('SKU sales and Inventory'!D625:Q625),0)</f>
        <v>3</v>
      </c>
      <c r="C624" s="7">
        <f>2*AVERAGE('SKU sales and Inventory'!D625:F625)</f>
        <v>4</v>
      </c>
      <c r="D624" s="7" t="s">
        <v>824</v>
      </c>
    </row>
    <row r="625" spans="1:4" x14ac:dyDescent="0.3">
      <c r="A625" s="7" t="s">
        <v>677</v>
      </c>
      <c r="B625" s="7">
        <f>ROUND(AVERAGE('SKU sales and Inventory'!D626:Q626),0)</f>
        <v>7</v>
      </c>
      <c r="C625" s="7">
        <f>2*AVERAGE('SKU sales and Inventory'!D626:F626)</f>
        <v>6</v>
      </c>
      <c r="D625" s="7" t="s">
        <v>824</v>
      </c>
    </row>
    <row r="626" spans="1:4" x14ac:dyDescent="0.3">
      <c r="A626" s="7" t="s">
        <v>678</v>
      </c>
      <c r="B626" s="7">
        <f>ROUND(AVERAGE('SKU sales and Inventory'!D627:Q627),0)</f>
        <v>117</v>
      </c>
      <c r="C626" s="7">
        <f>2*AVERAGE('SKU sales and Inventory'!D627:F627)</f>
        <v>2</v>
      </c>
      <c r="D626" s="7" t="s">
        <v>824</v>
      </c>
    </row>
    <row r="627" spans="1:4" x14ac:dyDescent="0.3">
      <c r="A627" s="7" t="s">
        <v>679</v>
      </c>
      <c r="B627" s="7">
        <f>ROUND(AVERAGE('SKU sales and Inventory'!D628:Q628),0)</f>
        <v>6</v>
      </c>
      <c r="C627" s="7">
        <f>2*AVERAGE('SKU sales and Inventory'!D628:F628)</f>
        <v>4</v>
      </c>
      <c r="D627" s="7" t="s">
        <v>824</v>
      </c>
    </row>
    <row r="628" spans="1:4" x14ac:dyDescent="0.3">
      <c r="A628" s="7" t="s">
        <v>680</v>
      </c>
      <c r="B628" s="7">
        <f>ROUND(AVERAGE('SKU sales and Inventory'!D629:Q629),0)</f>
        <v>3</v>
      </c>
      <c r="C628" s="7">
        <f>2*AVERAGE('SKU sales and Inventory'!D629:F629)</f>
        <v>4</v>
      </c>
      <c r="D628" s="7" t="s">
        <v>824</v>
      </c>
    </row>
    <row r="629" spans="1:4" x14ac:dyDescent="0.3">
      <c r="A629" s="7" t="s">
        <v>681</v>
      </c>
      <c r="B629" s="7">
        <f>ROUND(AVERAGE('SKU sales and Inventory'!D630:Q630),0)</f>
        <v>12</v>
      </c>
      <c r="C629" s="7">
        <f>2*AVERAGE('SKU sales and Inventory'!D630:F630)</f>
        <v>6</v>
      </c>
      <c r="D629" s="7" t="s">
        <v>824</v>
      </c>
    </row>
    <row r="630" spans="1:4" x14ac:dyDescent="0.3">
      <c r="A630" s="7" t="s">
        <v>682</v>
      </c>
      <c r="B630" s="7">
        <f>ROUND(AVERAGE('SKU sales and Inventory'!D631:Q631),0)</f>
        <v>9</v>
      </c>
      <c r="C630" s="7">
        <f>2*AVERAGE('SKU sales and Inventory'!D631:F631)</f>
        <v>4</v>
      </c>
      <c r="D630" s="7" t="s">
        <v>824</v>
      </c>
    </row>
    <row r="631" spans="1:4" x14ac:dyDescent="0.3">
      <c r="A631" s="7" t="s">
        <v>683</v>
      </c>
      <c r="B631" s="7">
        <f>ROUND(AVERAGE('SKU sales and Inventory'!D632:Q632),0)</f>
        <v>8</v>
      </c>
      <c r="C631" s="7">
        <f>2*AVERAGE('SKU sales and Inventory'!D632:F632)</f>
        <v>8</v>
      </c>
      <c r="D631" s="7" t="s">
        <v>824</v>
      </c>
    </row>
    <row r="632" spans="1:4" x14ac:dyDescent="0.3">
      <c r="A632" s="7" t="s">
        <v>684</v>
      </c>
      <c r="B632" s="7">
        <f>ROUND(AVERAGE('SKU sales and Inventory'!D633:Q633),0)</f>
        <v>14</v>
      </c>
      <c r="C632" s="7">
        <f>2*AVERAGE('SKU sales and Inventory'!D633:F633)</f>
        <v>8</v>
      </c>
      <c r="D632" s="7" t="s">
        <v>824</v>
      </c>
    </row>
    <row r="633" spans="1:4" x14ac:dyDescent="0.3">
      <c r="A633" s="7" t="s">
        <v>685</v>
      </c>
      <c r="B633" s="7">
        <f>ROUND(AVERAGE('SKU sales and Inventory'!D634:Q634),0)</f>
        <v>1</v>
      </c>
      <c r="C633" s="7">
        <f>2*AVERAGE('SKU sales and Inventory'!D634:F634)</f>
        <v>10</v>
      </c>
      <c r="D633" s="7" t="s">
        <v>824</v>
      </c>
    </row>
    <row r="634" spans="1:4" x14ac:dyDescent="0.3">
      <c r="A634" s="7" t="s">
        <v>686</v>
      </c>
      <c r="B634" s="7">
        <f>ROUND(AVERAGE('SKU sales and Inventory'!D635:Q635),0)</f>
        <v>0</v>
      </c>
      <c r="C634" s="7">
        <f>2*AVERAGE('SKU sales and Inventory'!D635:F635)</f>
        <v>0</v>
      </c>
      <c r="D634" s="7" t="s">
        <v>824</v>
      </c>
    </row>
    <row r="635" spans="1:4" x14ac:dyDescent="0.3">
      <c r="A635" s="7" t="s">
        <v>687</v>
      </c>
      <c r="B635" s="7">
        <f>ROUND(AVERAGE('SKU sales and Inventory'!D636:Q636),0)</f>
        <v>0</v>
      </c>
      <c r="C635" s="7">
        <f>2*AVERAGE('SKU sales and Inventory'!D636:F636)</f>
        <v>0</v>
      </c>
      <c r="D635" s="7" t="s">
        <v>824</v>
      </c>
    </row>
    <row r="636" spans="1:4" x14ac:dyDescent="0.3">
      <c r="A636" s="7" t="s">
        <v>688</v>
      </c>
      <c r="B636" s="7">
        <f>ROUND(AVERAGE('SKU sales and Inventory'!D637:Q637),0)</f>
        <v>87</v>
      </c>
      <c r="C636" s="7">
        <f>2*AVERAGE('SKU sales and Inventory'!D637:F637)</f>
        <v>0</v>
      </c>
      <c r="D636" s="7" t="s">
        <v>824</v>
      </c>
    </row>
    <row r="637" spans="1:4" x14ac:dyDescent="0.3">
      <c r="A637" s="7" t="s">
        <v>689</v>
      </c>
      <c r="B637" s="7">
        <f>ROUND(AVERAGE('SKU sales and Inventory'!D638:Q638),0)</f>
        <v>0</v>
      </c>
      <c r="C637" s="7">
        <f>2*AVERAGE('SKU sales and Inventory'!D638:F638)</f>
        <v>0</v>
      </c>
      <c r="D637" s="7" t="s">
        <v>824</v>
      </c>
    </row>
    <row r="638" spans="1:4" x14ac:dyDescent="0.3">
      <c r="A638" s="7" t="s">
        <v>690</v>
      </c>
      <c r="B638" s="7">
        <f>ROUND(AVERAGE('SKU sales and Inventory'!D639:Q639),0)</f>
        <v>0</v>
      </c>
      <c r="C638" s="7">
        <f>2*AVERAGE('SKU sales and Inventory'!D639:F639)</f>
        <v>0</v>
      </c>
      <c r="D638" s="7" t="s">
        <v>824</v>
      </c>
    </row>
    <row r="639" spans="1:4" x14ac:dyDescent="0.3">
      <c r="A639" s="7" t="s">
        <v>691</v>
      </c>
      <c r="B639" s="7">
        <f>ROUND(AVERAGE('SKU sales and Inventory'!D640:Q640),0)</f>
        <v>29</v>
      </c>
      <c r="C639" s="7">
        <f>2*AVERAGE('SKU sales and Inventory'!D640:F640)</f>
        <v>0</v>
      </c>
      <c r="D639" s="7" t="s">
        <v>824</v>
      </c>
    </row>
    <row r="640" spans="1:4" x14ac:dyDescent="0.3">
      <c r="A640" s="7" t="s">
        <v>692</v>
      </c>
      <c r="B640" s="7">
        <f>ROUND(AVERAGE('SKU sales and Inventory'!D641:Q641),0)</f>
        <v>17</v>
      </c>
      <c r="C640" s="7">
        <f>2*AVERAGE('SKU sales and Inventory'!D641:F641)</f>
        <v>0</v>
      </c>
      <c r="D640" s="7" t="s">
        <v>824</v>
      </c>
    </row>
    <row r="641" spans="1:4" x14ac:dyDescent="0.3">
      <c r="A641" s="7" t="s">
        <v>693</v>
      </c>
      <c r="B641" s="7">
        <f>ROUND(AVERAGE('SKU sales and Inventory'!D642:Q642),0)</f>
        <v>25</v>
      </c>
      <c r="C641" s="7">
        <f>2*AVERAGE('SKU sales and Inventory'!D642:F642)</f>
        <v>0</v>
      </c>
      <c r="D641" s="7" t="s">
        <v>824</v>
      </c>
    </row>
    <row r="642" spans="1:4" x14ac:dyDescent="0.3">
      <c r="A642" s="7" t="s">
        <v>694</v>
      </c>
      <c r="B642" s="7">
        <f>ROUND(AVERAGE('SKU sales and Inventory'!D643:Q643),0)</f>
        <v>19</v>
      </c>
      <c r="C642" s="7">
        <f>2*AVERAGE('SKU sales and Inventory'!D643:F643)</f>
        <v>0</v>
      </c>
      <c r="D642" s="7" t="s">
        <v>824</v>
      </c>
    </row>
    <row r="643" spans="1:4" x14ac:dyDescent="0.3">
      <c r="A643" s="7" t="s">
        <v>695</v>
      </c>
      <c r="B643" s="7">
        <f>ROUND(AVERAGE('SKU sales and Inventory'!D644:Q644),0)</f>
        <v>11</v>
      </c>
      <c r="C643" s="7">
        <f>2*AVERAGE('SKU sales and Inventory'!D644:F644)</f>
        <v>0</v>
      </c>
      <c r="D643" s="7" t="s">
        <v>824</v>
      </c>
    </row>
    <row r="644" spans="1:4" x14ac:dyDescent="0.3">
      <c r="A644" s="7" t="s">
        <v>696</v>
      </c>
      <c r="B644" s="7">
        <f>ROUND(AVERAGE('SKU sales and Inventory'!D645:Q645),0)</f>
        <v>3</v>
      </c>
      <c r="C644" s="7">
        <f>2*AVERAGE('SKU sales and Inventory'!D645:F645)</f>
        <v>0</v>
      </c>
      <c r="D644" s="7" t="s">
        <v>824</v>
      </c>
    </row>
    <row r="645" spans="1:4" x14ac:dyDescent="0.3">
      <c r="A645" s="7" t="s">
        <v>697</v>
      </c>
      <c r="B645" s="7">
        <f>ROUND(AVERAGE('SKU sales and Inventory'!D646:Q646),0)</f>
        <v>8</v>
      </c>
      <c r="C645" s="7">
        <f>2*AVERAGE('SKU sales and Inventory'!D646:F646)</f>
        <v>0</v>
      </c>
      <c r="D645" s="7" t="s">
        <v>824</v>
      </c>
    </row>
    <row r="646" spans="1:4" x14ac:dyDescent="0.3">
      <c r="A646" s="7" t="s">
        <v>698</v>
      </c>
      <c r="B646" s="7">
        <f>ROUND(AVERAGE('SKU sales and Inventory'!D647:Q647),0)</f>
        <v>5</v>
      </c>
      <c r="C646" s="7">
        <f>2*AVERAGE('SKU sales and Inventory'!D647:F647)</f>
        <v>2</v>
      </c>
      <c r="D646" s="7" t="s">
        <v>824</v>
      </c>
    </row>
    <row r="647" spans="1:4" x14ac:dyDescent="0.3">
      <c r="A647" s="7" t="s">
        <v>699</v>
      </c>
      <c r="B647" s="7">
        <f>ROUND(AVERAGE('SKU sales and Inventory'!D648:Q648),0)</f>
        <v>2</v>
      </c>
      <c r="C647" s="7">
        <f>2*AVERAGE('SKU sales and Inventory'!D648:F648)</f>
        <v>2</v>
      </c>
      <c r="D647" s="7" t="s">
        <v>824</v>
      </c>
    </row>
    <row r="648" spans="1:4" x14ac:dyDescent="0.3">
      <c r="A648" s="7" t="s">
        <v>700</v>
      </c>
      <c r="B648" s="7">
        <f>ROUND(AVERAGE('SKU sales and Inventory'!D649:Q649),0)</f>
        <v>6</v>
      </c>
      <c r="C648" s="7">
        <f>2*AVERAGE('SKU sales and Inventory'!D649:F649)</f>
        <v>0</v>
      </c>
      <c r="D648" s="7" t="s">
        <v>824</v>
      </c>
    </row>
    <row r="649" spans="1:4" x14ac:dyDescent="0.3">
      <c r="A649" s="7" t="s">
        <v>701</v>
      </c>
      <c r="B649" s="7">
        <f>ROUND(AVERAGE('SKU sales and Inventory'!D650:Q650),0)</f>
        <v>5</v>
      </c>
      <c r="C649" s="7">
        <f>2*AVERAGE('SKU sales and Inventory'!D650:F650)</f>
        <v>0</v>
      </c>
      <c r="D649" s="7" t="s">
        <v>824</v>
      </c>
    </row>
    <row r="650" spans="1:4" x14ac:dyDescent="0.3">
      <c r="A650" s="7" t="s">
        <v>702</v>
      </c>
      <c r="B650" s="7">
        <f>ROUND(AVERAGE('SKU sales and Inventory'!D651:Q651),0)</f>
        <v>8</v>
      </c>
      <c r="C650" s="7">
        <f>2*AVERAGE('SKU sales and Inventory'!D651:F651)</f>
        <v>0</v>
      </c>
      <c r="D650" s="7" t="s">
        <v>824</v>
      </c>
    </row>
    <row r="651" spans="1:4" x14ac:dyDescent="0.3">
      <c r="A651" s="7" t="s">
        <v>703</v>
      </c>
      <c r="B651" s="7">
        <f>ROUND(AVERAGE('SKU sales and Inventory'!D652:Q652),0)</f>
        <v>3</v>
      </c>
      <c r="C651" s="7">
        <f>2*AVERAGE('SKU sales and Inventory'!D652:F652)</f>
        <v>2</v>
      </c>
      <c r="D651" s="7" t="s">
        <v>824</v>
      </c>
    </row>
    <row r="652" spans="1:4" x14ac:dyDescent="0.3">
      <c r="A652" s="7" t="s">
        <v>704</v>
      </c>
      <c r="B652" s="7">
        <f>ROUND(AVERAGE('SKU sales and Inventory'!D653:Q653),0)</f>
        <v>5</v>
      </c>
      <c r="C652" s="7">
        <f>2*AVERAGE('SKU sales and Inventory'!D653:F653)</f>
        <v>0</v>
      </c>
      <c r="D652" s="7" t="s">
        <v>824</v>
      </c>
    </row>
    <row r="653" spans="1:4" x14ac:dyDescent="0.3">
      <c r="A653" s="7" t="s">
        <v>705</v>
      </c>
      <c r="B653" s="7">
        <f>ROUND(AVERAGE('SKU sales and Inventory'!D654:Q654),0)</f>
        <v>0</v>
      </c>
      <c r="C653" s="7">
        <f>2*AVERAGE('SKU sales and Inventory'!D654:F654)</f>
        <v>0</v>
      </c>
      <c r="D653" s="7" t="s">
        <v>824</v>
      </c>
    </row>
    <row r="654" spans="1:4" x14ac:dyDescent="0.3">
      <c r="A654" s="7" t="s">
        <v>706</v>
      </c>
      <c r="B654" s="7">
        <f>ROUND(AVERAGE('SKU sales and Inventory'!D655:Q655),0)</f>
        <v>84</v>
      </c>
      <c r="C654" s="7">
        <f>2*AVERAGE('SKU sales and Inventory'!D655:F655)</f>
        <v>0</v>
      </c>
      <c r="D654" s="7" t="s">
        <v>824</v>
      </c>
    </row>
    <row r="655" spans="1:4" x14ac:dyDescent="0.3">
      <c r="A655" s="7" t="s">
        <v>707</v>
      </c>
      <c r="B655" s="7">
        <f>ROUND(AVERAGE('SKU sales and Inventory'!D656:Q656),0)</f>
        <v>16</v>
      </c>
      <c r="C655" s="7">
        <f>2*AVERAGE('SKU sales and Inventory'!D656:F656)</f>
        <v>0</v>
      </c>
      <c r="D655" s="7" t="s">
        <v>824</v>
      </c>
    </row>
    <row r="656" spans="1:4" x14ac:dyDescent="0.3">
      <c r="A656" s="7" t="s">
        <v>708</v>
      </c>
      <c r="B656" s="7">
        <f>ROUND(AVERAGE('SKU sales and Inventory'!D657:Q657),0)</f>
        <v>21</v>
      </c>
      <c r="C656" s="7">
        <f>2*AVERAGE('SKU sales and Inventory'!D657:F657)</f>
        <v>0</v>
      </c>
      <c r="D656" s="7" t="s">
        <v>824</v>
      </c>
    </row>
    <row r="657" spans="1:4" x14ac:dyDescent="0.3">
      <c r="A657" s="7" t="s">
        <v>709</v>
      </c>
      <c r="B657" s="7">
        <f>ROUND(AVERAGE('SKU sales and Inventory'!D658:Q658),0)</f>
        <v>31</v>
      </c>
      <c r="C657" s="7">
        <f>2*AVERAGE('SKU sales and Inventory'!D658:F658)</f>
        <v>0</v>
      </c>
      <c r="D657" s="7" t="s">
        <v>824</v>
      </c>
    </row>
    <row r="658" spans="1:4" x14ac:dyDescent="0.3">
      <c r="A658" s="7" t="s">
        <v>710</v>
      </c>
      <c r="B658" s="7">
        <f>ROUND(AVERAGE('SKU sales and Inventory'!D659:Q659),0)</f>
        <v>0</v>
      </c>
      <c r="C658" s="7">
        <f>2*AVERAGE('SKU sales and Inventory'!D659:F659)</f>
        <v>0</v>
      </c>
      <c r="D658" s="7" t="s">
        <v>824</v>
      </c>
    </row>
    <row r="659" spans="1:4" x14ac:dyDescent="0.3">
      <c r="A659" s="7" t="s">
        <v>711</v>
      </c>
      <c r="B659" s="7">
        <f>ROUND(AVERAGE('SKU sales and Inventory'!D660:Q660),0)</f>
        <v>0</v>
      </c>
      <c r="C659" s="7">
        <f>2*AVERAGE('SKU sales and Inventory'!D660:F660)</f>
        <v>0</v>
      </c>
      <c r="D659" s="7" t="s">
        <v>824</v>
      </c>
    </row>
    <row r="660" spans="1:4" x14ac:dyDescent="0.3">
      <c r="A660" s="7" t="s">
        <v>712</v>
      </c>
      <c r="B660" s="7">
        <f>ROUND(AVERAGE('SKU sales and Inventory'!D661:Q661),0)</f>
        <v>0</v>
      </c>
      <c r="C660" s="7">
        <f>2*AVERAGE('SKU sales and Inventory'!D661:F661)</f>
        <v>0</v>
      </c>
      <c r="D660" s="7" t="s">
        <v>824</v>
      </c>
    </row>
    <row r="661" spans="1:4" x14ac:dyDescent="0.3">
      <c r="A661" s="7" t="s">
        <v>713</v>
      </c>
      <c r="B661" s="7">
        <f>ROUND(AVERAGE('SKU sales and Inventory'!D662:Q662),0)</f>
        <v>0</v>
      </c>
      <c r="C661" s="7">
        <f>2*AVERAGE('SKU sales and Inventory'!D662:F662)</f>
        <v>0</v>
      </c>
      <c r="D661" s="7" t="s">
        <v>824</v>
      </c>
    </row>
    <row r="662" spans="1:4" x14ac:dyDescent="0.3">
      <c r="A662" s="7" t="s">
        <v>714</v>
      </c>
      <c r="B662" s="7">
        <f>ROUND(AVERAGE('SKU sales and Inventory'!D663:Q663),0)</f>
        <v>0</v>
      </c>
      <c r="C662" s="7">
        <f>2*AVERAGE('SKU sales and Inventory'!D663:F663)</f>
        <v>0</v>
      </c>
      <c r="D662" s="7" t="s">
        <v>824</v>
      </c>
    </row>
    <row r="663" spans="1:4" x14ac:dyDescent="0.3">
      <c r="A663" s="7" t="s">
        <v>715</v>
      </c>
      <c r="B663" s="7">
        <f>ROUND(AVERAGE('SKU sales and Inventory'!D664:Q664),0)</f>
        <v>17</v>
      </c>
      <c r="C663" s="7">
        <f>2*AVERAGE('SKU sales and Inventory'!D664:F664)</f>
        <v>2</v>
      </c>
      <c r="D663" s="7" t="s">
        <v>824</v>
      </c>
    </row>
    <row r="664" spans="1:4" x14ac:dyDescent="0.3">
      <c r="A664" s="7" t="s">
        <v>716</v>
      </c>
      <c r="B664" s="7">
        <f>ROUND(AVERAGE('SKU sales and Inventory'!D665:Q665),0)</f>
        <v>8</v>
      </c>
      <c r="C664" s="7">
        <f>2*AVERAGE('SKU sales and Inventory'!D665:F665)</f>
        <v>0</v>
      </c>
      <c r="D664" s="7" t="s">
        <v>824</v>
      </c>
    </row>
    <row r="665" spans="1:4" x14ac:dyDescent="0.3">
      <c r="A665" s="7" t="s">
        <v>717</v>
      </c>
      <c r="B665" s="7">
        <f>ROUND(AVERAGE('SKU sales and Inventory'!D666:Q666),0)</f>
        <v>8</v>
      </c>
      <c r="C665" s="7">
        <f>2*AVERAGE('SKU sales and Inventory'!D666:F666)</f>
        <v>0</v>
      </c>
      <c r="D665" s="7" t="s">
        <v>824</v>
      </c>
    </row>
    <row r="666" spans="1:4" x14ac:dyDescent="0.3">
      <c r="A666" s="7" t="s">
        <v>718</v>
      </c>
      <c r="B666" s="7">
        <f>ROUND(AVERAGE('SKU sales and Inventory'!D667:Q667),0)</f>
        <v>4</v>
      </c>
      <c r="C666" s="7">
        <f>2*AVERAGE('SKU sales and Inventory'!D667:F667)</f>
        <v>0</v>
      </c>
      <c r="D666" s="7" t="s">
        <v>824</v>
      </c>
    </row>
    <row r="667" spans="1:4" x14ac:dyDescent="0.3">
      <c r="A667" s="7" t="s">
        <v>719</v>
      </c>
      <c r="B667" s="7">
        <f>ROUND(AVERAGE('SKU sales and Inventory'!D668:Q668),0)</f>
        <v>11</v>
      </c>
      <c r="C667" s="7">
        <f>2*AVERAGE('SKU sales and Inventory'!D668:F668)</f>
        <v>0</v>
      </c>
      <c r="D667" s="7" t="s">
        <v>824</v>
      </c>
    </row>
    <row r="668" spans="1:4" x14ac:dyDescent="0.3">
      <c r="A668" s="7" t="s">
        <v>720</v>
      </c>
      <c r="B668" s="7">
        <f>ROUND(AVERAGE('SKU sales and Inventory'!D669:Q669),0)</f>
        <v>4</v>
      </c>
      <c r="C668" s="7">
        <f>2*AVERAGE('SKU sales and Inventory'!D669:F669)</f>
        <v>0</v>
      </c>
      <c r="D668" s="7" t="s">
        <v>824</v>
      </c>
    </row>
    <row r="669" spans="1:4" x14ac:dyDescent="0.3">
      <c r="A669" s="7" t="s">
        <v>721</v>
      </c>
      <c r="B669" s="7">
        <f>ROUND(AVERAGE('SKU sales and Inventory'!D670:Q670),0)</f>
        <v>8</v>
      </c>
      <c r="C669" s="7">
        <f>2*AVERAGE('SKU sales and Inventory'!D670:F670)</f>
        <v>0</v>
      </c>
      <c r="D669" s="7" t="s">
        <v>824</v>
      </c>
    </row>
    <row r="670" spans="1:4" x14ac:dyDescent="0.3">
      <c r="A670" s="7" t="s">
        <v>722</v>
      </c>
      <c r="B670" s="7">
        <f>ROUND(AVERAGE('SKU sales and Inventory'!D671:Q671),0)</f>
        <v>10</v>
      </c>
      <c r="C670" s="7">
        <f>2*AVERAGE('SKU sales and Inventory'!D671:F671)</f>
        <v>0</v>
      </c>
      <c r="D670" s="7" t="s">
        <v>824</v>
      </c>
    </row>
    <row r="671" spans="1:4" x14ac:dyDescent="0.3">
      <c r="A671" s="7" t="s">
        <v>723</v>
      </c>
      <c r="B671" s="7">
        <f>ROUND(AVERAGE('SKU sales and Inventory'!D672:Q672),0)</f>
        <v>9</v>
      </c>
      <c r="C671" s="7">
        <f>2*AVERAGE('SKU sales and Inventory'!D672:F672)</f>
        <v>0</v>
      </c>
      <c r="D671" s="7" t="s">
        <v>824</v>
      </c>
    </row>
    <row r="672" spans="1:4" x14ac:dyDescent="0.3">
      <c r="A672" s="7" t="s">
        <v>724</v>
      </c>
      <c r="B672" s="7">
        <f>ROUND(AVERAGE('SKU sales and Inventory'!D673:Q673),0)</f>
        <v>6</v>
      </c>
      <c r="C672" s="7">
        <f>2*AVERAGE('SKU sales and Inventory'!D673:F673)</f>
        <v>0</v>
      </c>
      <c r="D672" s="7" t="s">
        <v>824</v>
      </c>
    </row>
    <row r="673" spans="1:4" x14ac:dyDescent="0.3">
      <c r="A673" s="7" t="s">
        <v>725</v>
      </c>
      <c r="B673" s="7">
        <f>ROUND(AVERAGE('SKU sales and Inventory'!D674:Q674),0)</f>
        <v>9</v>
      </c>
      <c r="C673" s="7">
        <f>2*AVERAGE('SKU sales and Inventory'!D674:F674)</f>
        <v>0</v>
      </c>
      <c r="D673" s="7" t="s">
        <v>824</v>
      </c>
    </row>
    <row r="674" spans="1:4" x14ac:dyDescent="0.3">
      <c r="A674" s="7" t="s">
        <v>726</v>
      </c>
      <c r="B674" s="7">
        <f>ROUND(AVERAGE('SKU sales and Inventory'!D675:Q675),0)</f>
        <v>9</v>
      </c>
      <c r="C674" s="7">
        <f>2*AVERAGE('SKU sales and Inventory'!D675:F675)</f>
        <v>0</v>
      </c>
      <c r="D674" s="7" t="s">
        <v>824</v>
      </c>
    </row>
    <row r="675" spans="1:4" x14ac:dyDescent="0.3">
      <c r="A675" s="7" t="s">
        <v>727</v>
      </c>
      <c r="B675" s="7">
        <f>ROUND(AVERAGE('SKU sales and Inventory'!D676:Q676),0)</f>
        <v>16</v>
      </c>
      <c r="C675" s="7">
        <f>2*AVERAGE('SKU sales and Inventory'!D676:F676)</f>
        <v>6</v>
      </c>
      <c r="D675" s="7" t="s">
        <v>824</v>
      </c>
    </row>
    <row r="676" spans="1:4" x14ac:dyDescent="0.3">
      <c r="A676" s="7" t="s">
        <v>728</v>
      </c>
      <c r="B676" s="7">
        <f>ROUND(AVERAGE('SKU sales and Inventory'!D677:Q677),0)</f>
        <v>9</v>
      </c>
      <c r="C676" s="7">
        <f>2*AVERAGE('SKU sales and Inventory'!D677:F677)</f>
        <v>2</v>
      </c>
      <c r="D676" s="7" t="s">
        <v>824</v>
      </c>
    </row>
    <row r="677" spans="1:4" x14ac:dyDescent="0.3">
      <c r="A677" s="7" t="s">
        <v>729</v>
      </c>
      <c r="B677" s="7">
        <f>ROUND(AVERAGE('SKU sales and Inventory'!D678:Q678),0)</f>
        <v>12</v>
      </c>
      <c r="C677" s="7">
        <f>2*AVERAGE('SKU sales and Inventory'!D678:F678)</f>
        <v>2</v>
      </c>
      <c r="D677" s="7" t="s">
        <v>824</v>
      </c>
    </row>
    <row r="678" spans="1:4" x14ac:dyDescent="0.3">
      <c r="A678" s="7" t="s">
        <v>730</v>
      </c>
      <c r="B678" s="7">
        <f>ROUND(AVERAGE('SKU sales and Inventory'!D679:Q679),0)</f>
        <v>14</v>
      </c>
      <c r="C678" s="7">
        <f>2*AVERAGE('SKU sales and Inventory'!D679:F679)</f>
        <v>2</v>
      </c>
      <c r="D678" s="7" t="s">
        <v>824</v>
      </c>
    </row>
    <row r="679" spans="1:4" x14ac:dyDescent="0.3">
      <c r="A679" s="7" t="s">
        <v>731</v>
      </c>
      <c r="B679" s="7">
        <f>ROUND(AVERAGE('SKU sales and Inventory'!D680:Q680),0)</f>
        <v>3</v>
      </c>
      <c r="C679" s="7">
        <f>2*AVERAGE('SKU sales and Inventory'!D680:F680)</f>
        <v>0</v>
      </c>
      <c r="D679" s="7" t="s">
        <v>824</v>
      </c>
    </row>
    <row r="680" spans="1:4" x14ac:dyDescent="0.3">
      <c r="A680" s="7" t="s">
        <v>732</v>
      </c>
      <c r="B680" s="7">
        <f>ROUND(AVERAGE('SKU sales and Inventory'!D681:Q681),0)</f>
        <v>6</v>
      </c>
      <c r="C680" s="7">
        <f>2*AVERAGE('SKU sales and Inventory'!D681:F681)</f>
        <v>0</v>
      </c>
      <c r="D680" s="7" t="s">
        <v>824</v>
      </c>
    </row>
    <row r="681" spans="1:4" x14ac:dyDescent="0.3">
      <c r="A681" s="7" t="s">
        <v>733</v>
      </c>
      <c r="B681" s="7">
        <f>ROUND(AVERAGE('SKU sales and Inventory'!D682:Q682),0)</f>
        <v>0</v>
      </c>
      <c r="C681" s="7">
        <f>2*AVERAGE('SKU sales and Inventory'!D682:F682)</f>
        <v>0</v>
      </c>
      <c r="D681" s="7" t="s">
        <v>824</v>
      </c>
    </row>
    <row r="682" spans="1:4" x14ac:dyDescent="0.3">
      <c r="A682" s="7" t="s">
        <v>734</v>
      </c>
      <c r="B682" s="7">
        <f>ROUND(AVERAGE('SKU sales and Inventory'!D683:Q683),0)</f>
        <v>0</v>
      </c>
      <c r="C682" s="7">
        <f>2*AVERAGE('SKU sales and Inventory'!D683:F683)</f>
        <v>0</v>
      </c>
      <c r="D682" s="7" t="s">
        <v>824</v>
      </c>
    </row>
    <row r="683" spans="1:4" x14ac:dyDescent="0.3">
      <c r="A683" s="7" t="s">
        <v>735</v>
      </c>
      <c r="B683" s="7">
        <f>ROUND(AVERAGE('SKU sales and Inventory'!D684:Q684),0)</f>
        <v>0</v>
      </c>
      <c r="C683" s="7">
        <f>2*AVERAGE('SKU sales and Inventory'!D684:F684)</f>
        <v>0</v>
      </c>
      <c r="D683" s="7" t="s">
        <v>824</v>
      </c>
    </row>
    <row r="684" spans="1:4" x14ac:dyDescent="0.3">
      <c r="A684" s="7" t="s">
        <v>736</v>
      </c>
      <c r="B684" s="7">
        <f>ROUND(AVERAGE('SKU sales and Inventory'!D685:Q685),0)</f>
        <v>7</v>
      </c>
      <c r="C684" s="7">
        <f>2*AVERAGE('SKU sales and Inventory'!D685:F685)</f>
        <v>0</v>
      </c>
      <c r="D684" s="7" t="s">
        <v>824</v>
      </c>
    </row>
    <row r="685" spans="1:4" x14ac:dyDescent="0.3">
      <c r="A685" s="7" t="s">
        <v>737</v>
      </c>
      <c r="B685" s="7">
        <f>ROUND(AVERAGE('SKU sales and Inventory'!D686:Q686),0)</f>
        <v>6</v>
      </c>
      <c r="C685" s="7">
        <f>2*AVERAGE('SKU sales and Inventory'!D686:F686)</f>
        <v>0</v>
      </c>
      <c r="D685" s="7" t="s">
        <v>824</v>
      </c>
    </row>
    <row r="686" spans="1:4" x14ac:dyDescent="0.3">
      <c r="A686" s="7" t="s">
        <v>738</v>
      </c>
      <c r="B686" s="7">
        <f>ROUND(AVERAGE('SKU sales and Inventory'!D687:Q687),0)</f>
        <v>1</v>
      </c>
      <c r="C686" s="7">
        <f>2*AVERAGE('SKU sales and Inventory'!D687:F687)</f>
        <v>0</v>
      </c>
      <c r="D686" s="7" t="s">
        <v>824</v>
      </c>
    </row>
    <row r="687" spans="1:4" x14ac:dyDescent="0.3">
      <c r="A687" s="7" t="s">
        <v>739</v>
      </c>
      <c r="B687" s="7">
        <f>ROUND(AVERAGE('SKU sales and Inventory'!D688:Q688),0)</f>
        <v>1</v>
      </c>
      <c r="C687" s="7">
        <f>2*AVERAGE('SKU sales and Inventory'!D688:F688)</f>
        <v>0</v>
      </c>
      <c r="D687" s="7" t="s">
        <v>824</v>
      </c>
    </row>
    <row r="688" spans="1:4" x14ac:dyDescent="0.3">
      <c r="A688" s="7" t="s">
        <v>740</v>
      </c>
      <c r="B688" s="7">
        <f>ROUND(AVERAGE('SKU sales and Inventory'!D689:Q689),0)</f>
        <v>0</v>
      </c>
      <c r="C688" s="7">
        <f>2*AVERAGE('SKU sales and Inventory'!D689:F689)</f>
        <v>0</v>
      </c>
      <c r="D688" s="7" t="s">
        <v>824</v>
      </c>
    </row>
    <row r="689" spans="1:4" x14ac:dyDescent="0.3">
      <c r="A689" s="7" t="s">
        <v>741</v>
      </c>
      <c r="B689" s="7">
        <f>ROUND(AVERAGE('SKU sales and Inventory'!D690:Q690),0)</f>
        <v>5</v>
      </c>
      <c r="C689" s="7">
        <f>2*AVERAGE('SKU sales and Inventory'!D690:F690)</f>
        <v>0</v>
      </c>
      <c r="D689" s="7" t="s">
        <v>824</v>
      </c>
    </row>
    <row r="690" spans="1:4" x14ac:dyDescent="0.3">
      <c r="A690" s="7" t="s">
        <v>742</v>
      </c>
      <c r="B690" s="7">
        <f>ROUND(AVERAGE('SKU sales and Inventory'!D691:Q691),0)</f>
        <v>0</v>
      </c>
      <c r="C690" s="7">
        <f>2*AVERAGE('SKU sales and Inventory'!D691:F691)</f>
        <v>0</v>
      </c>
      <c r="D690" s="7" t="s">
        <v>824</v>
      </c>
    </row>
    <row r="691" spans="1:4" x14ac:dyDescent="0.3">
      <c r="A691" s="7" t="s">
        <v>743</v>
      </c>
      <c r="B691" s="7">
        <f>ROUND(AVERAGE('SKU sales and Inventory'!D692:Q692),0)</f>
        <v>0</v>
      </c>
      <c r="C691" s="7">
        <f>2*AVERAGE('SKU sales and Inventory'!D692:F692)</f>
        <v>0</v>
      </c>
      <c r="D691" s="7" t="s">
        <v>824</v>
      </c>
    </row>
    <row r="692" spans="1:4" x14ac:dyDescent="0.3">
      <c r="A692" s="7" t="s">
        <v>744</v>
      </c>
      <c r="B692" s="7">
        <f>ROUND(AVERAGE('SKU sales and Inventory'!D693:Q693),0)</f>
        <v>0</v>
      </c>
      <c r="C692" s="7">
        <f>2*AVERAGE('SKU sales and Inventory'!D693:F693)</f>
        <v>0</v>
      </c>
      <c r="D692" s="7" t="s">
        <v>824</v>
      </c>
    </row>
    <row r="693" spans="1:4" x14ac:dyDescent="0.3">
      <c r="A693" s="7" t="s">
        <v>745</v>
      </c>
      <c r="B693" s="7">
        <f>ROUND(AVERAGE('SKU sales and Inventory'!D694:Q694),0)</f>
        <v>0</v>
      </c>
      <c r="C693" s="7">
        <f>2*AVERAGE('SKU sales and Inventory'!D694:F694)</f>
        <v>0</v>
      </c>
      <c r="D693" s="7" t="s">
        <v>824</v>
      </c>
    </row>
    <row r="694" spans="1:4" x14ac:dyDescent="0.3">
      <c r="A694" s="7" t="s">
        <v>746</v>
      </c>
      <c r="B694" s="7">
        <f>ROUND(AVERAGE('SKU sales and Inventory'!D695:Q695),0)</f>
        <v>0</v>
      </c>
      <c r="C694" s="7">
        <f>2*AVERAGE('SKU sales and Inventory'!D695:F695)</f>
        <v>0</v>
      </c>
      <c r="D694" s="7" t="s">
        <v>824</v>
      </c>
    </row>
    <row r="695" spans="1:4" x14ac:dyDescent="0.3">
      <c r="A695" s="7" t="s">
        <v>747</v>
      </c>
      <c r="B695" s="7">
        <f>ROUND(AVERAGE('SKU sales and Inventory'!D696:Q696),0)</f>
        <v>0</v>
      </c>
      <c r="C695" s="7">
        <f>2*AVERAGE('SKU sales and Inventory'!D696:F696)</f>
        <v>0</v>
      </c>
      <c r="D695" s="7" t="s">
        <v>824</v>
      </c>
    </row>
    <row r="696" spans="1:4" x14ac:dyDescent="0.3">
      <c r="A696" s="7" t="s">
        <v>748</v>
      </c>
      <c r="B696" s="7">
        <f>ROUND(AVERAGE('SKU sales and Inventory'!D697:Q697),0)</f>
        <v>9</v>
      </c>
      <c r="C696" s="7">
        <f>2*AVERAGE('SKU sales and Inventory'!D697:F697)</f>
        <v>0</v>
      </c>
      <c r="D696" s="7" t="s">
        <v>824</v>
      </c>
    </row>
    <row r="697" spans="1:4" x14ac:dyDescent="0.3">
      <c r="A697" s="7" t="s">
        <v>749</v>
      </c>
      <c r="B697" s="7">
        <f>ROUND(AVERAGE('SKU sales and Inventory'!D698:Q698),0)</f>
        <v>9</v>
      </c>
      <c r="C697" s="7">
        <f>2*AVERAGE('SKU sales and Inventory'!D698:F698)</f>
        <v>4</v>
      </c>
      <c r="D697" s="7" t="s">
        <v>824</v>
      </c>
    </row>
    <row r="698" spans="1:4" x14ac:dyDescent="0.3">
      <c r="A698" s="7" t="s">
        <v>750</v>
      </c>
      <c r="B698" s="7">
        <f>ROUND(AVERAGE('SKU sales and Inventory'!D699:Q699),0)</f>
        <v>0</v>
      </c>
      <c r="C698" s="7">
        <f>2*AVERAGE('SKU sales and Inventory'!D699:F699)</f>
        <v>0</v>
      </c>
      <c r="D698" s="7" t="s">
        <v>824</v>
      </c>
    </row>
    <row r="699" spans="1:4" x14ac:dyDescent="0.3">
      <c r="A699" s="7" t="s">
        <v>751</v>
      </c>
      <c r="B699" s="7">
        <f>ROUND(AVERAGE('SKU sales and Inventory'!D700:Q700),0)</f>
        <v>0</v>
      </c>
      <c r="C699" s="7">
        <f>2*AVERAGE('SKU sales and Inventory'!D700:F700)</f>
        <v>0</v>
      </c>
      <c r="D699" s="7" t="s">
        <v>824</v>
      </c>
    </row>
    <row r="700" spans="1:4" x14ac:dyDescent="0.3">
      <c r="A700" s="7" t="s">
        <v>752</v>
      </c>
      <c r="B700" s="7">
        <f>ROUND(AVERAGE('SKU sales and Inventory'!D701:Q701),0)</f>
        <v>0</v>
      </c>
      <c r="C700" s="7">
        <f>2*AVERAGE('SKU sales and Inventory'!D701:F701)</f>
        <v>0</v>
      </c>
      <c r="D700" s="7" t="s">
        <v>824</v>
      </c>
    </row>
    <row r="701" spans="1:4" x14ac:dyDescent="0.3">
      <c r="A701" s="7" t="s">
        <v>753</v>
      </c>
      <c r="B701" s="7">
        <f>ROUND(AVERAGE('SKU sales and Inventory'!D702:Q702),0)</f>
        <v>0</v>
      </c>
      <c r="C701" s="7">
        <f>2*AVERAGE('SKU sales and Inventory'!D702:F702)</f>
        <v>0</v>
      </c>
      <c r="D701" s="7" t="s">
        <v>824</v>
      </c>
    </row>
    <row r="702" spans="1:4" x14ac:dyDescent="0.3">
      <c r="A702" s="7" t="s">
        <v>754</v>
      </c>
      <c r="B702" s="7">
        <f>ROUND(AVERAGE('SKU sales and Inventory'!D703:Q703),0)</f>
        <v>0</v>
      </c>
      <c r="C702" s="7">
        <f>2*AVERAGE('SKU sales and Inventory'!D703:F703)</f>
        <v>0</v>
      </c>
      <c r="D702" s="7" t="s">
        <v>824</v>
      </c>
    </row>
    <row r="703" spans="1:4" x14ac:dyDescent="0.3">
      <c r="A703" s="7" t="s">
        <v>755</v>
      </c>
      <c r="B703" s="7">
        <f>ROUND(AVERAGE('SKU sales and Inventory'!D704:Q704),0)</f>
        <v>0</v>
      </c>
      <c r="C703" s="7">
        <f>2*AVERAGE('SKU sales and Inventory'!D704:F704)</f>
        <v>0</v>
      </c>
      <c r="D703" s="7" t="s">
        <v>824</v>
      </c>
    </row>
    <row r="704" spans="1:4" x14ac:dyDescent="0.3">
      <c r="A704" s="7" t="s">
        <v>756</v>
      </c>
      <c r="B704" s="7">
        <f>ROUND(AVERAGE('SKU sales and Inventory'!D705:Q705),0)</f>
        <v>0</v>
      </c>
      <c r="C704" s="7">
        <f>2*AVERAGE('SKU sales and Inventory'!D705:F705)</f>
        <v>0</v>
      </c>
      <c r="D704" s="7" t="s">
        <v>824</v>
      </c>
    </row>
    <row r="705" spans="1:4" x14ac:dyDescent="0.3">
      <c r="A705" s="7" t="s">
        <v>757</v>
      </c>
      <c r="B705" s="7">
        <f>ROUND(AVERAGE('SKU sales and Inventory'!D706:Q706),0)</f>
        <v>0</v>
      </c>
      <c r="C705" s="7">
        <f>2*AVERAGE('SKU sales and Inventory'!D706:F706)</f>
        <v>0</v>
      </c>
      <c r="D705" s="7" t="s">
        <v>824</v>
      </c>
    </row>
    <row r="706" spans="1:4" x14ac:dyDescent="0.3">
      <c r="A706" s="7" t="s">
        <v>758</v>
      </c>
      <c r="B706" s="7">
        <f>ROUND(AVERAGE('SKU sales and Inventory'!D707:Q707),0)</f>
        <v>0</v>
      </c>
      <c r="C706" s="7">
        <f>2*AVERAGE('SKU sales and Inventory'!D707:F707)</f>
        <v>0</v>
      </c>
      <c r="D706" s="7" t="s">
        <v>824</v>
      </c>
    </row>
    <row r="707" spans="1:4" x14ac:dyDescent="0.3">
      <c r="A707" s="7" t="s">
        <v>759</v>
      </c>
      <c r="B707" s="7">
        <f>ROUND(AVERAGE('SKU sales and Inventory'!D708:Q708),0)</f>
        <v>0</v>
      </c>
      <c r="C707" s="7">
        <f>2*AVERAGE('SKU sales and Inventory'!D708:F708)</f>
        <v>0</v>
      </c>
      <c r="D707" s="7" t="s">
        <v>824</v>
      </c>
    </row>
    <row r="708" spans="1:4" x14ac:dyDescent="0.3">
      <c r="A708" s="7" t="s">
        <v>760</v>
      </c>
      <c r="B708" s="7">
        <f>ROUND(AVERAGE('SKU sales and Inventory'!D709:Q709),0)</f>
        <v>0</v>
      </c>
      <c r="C708" s="7">
        <f>2*AVERAGE('SKU sales and Inventory'!D709:F709)</f>
        <v>0</v>
      </c>
      <c r="D708" s="7" t="s">
        <v>824</v>
      </c>
    </row>
    <row r="709" spans="1:4" x14ac:dyDescent="0.3">
      <c r="A709" s="7" t="s">
        <v>761</v>
      </c>
      <c r="B709" s="7">
        <f>ROUND(AVERAGE('SKU sales and Inventory'!D710:Q710),0)</f>
        <v>0</v>
      </c>
      <c r="C709" s="7">
        <f>2*AVERAGE('SKU sales and Inventory'!D710:F710)</f>
        <v>0</v>
      </c>
      <c r="D709" s="7" t="s">
        <v>824</v>
      </c>
    </row>
    <row r="710" spans="1:4" x14ac:dyDescent="0.3">
      <c r="A710" s="7" t="s">
        <v>762</v>
      </c>
      <c r="B710" s="7">
        <f>ROUND(AVERAGE('SKU sales and Inventory'!D711:Q711),0)</f>
        <v>0</v>
      </c>
      <c r="C710" s="7">
        <f>2*AVERAGE('SKU sales and Inventory'!D711:F711)</f>
        <v>0</v>
      </c>
      <c r="D710" s="7" t="s">
        <v>824</v>
      </c>
    </row>
    <row r="711" spans="1:4" x14ac:dyDescent="0.3">
      <c r="A711" s="7" t="s">
        <v>763</v>
      </c>
      <c r="B711" s="7">
        <f>ROUND(AVERAGE('SKU sales and Inventory'!D712:Q712),0)</f>
        <v>0</v>
      </c>
      <c r="C711" s="7">
        <f>2*AVERAGE('SKU sales and Inventory'!D712:F712)</f>
        <v>0</v>
      </c>
      <c r="D711" s="7" t="s">
        <v>824</v>
      </c>
    </row>
    <row r="712" spans="1:4" x14ac:dyDescent="0.3">
      <c r="A712" s="7" t="s">
        <v>764</v>
      </c>
      <c r="B712" s="7">
        <f>ROUND(AVERAGE('SKU sales and Inventory'!D713:Q713),0)</f>
        <v>0</v>
      </c>
      <c r="C712" s="7">
        <f>2*AVERAGE('SKU sales and Inventory'!D713:F713)</f>
        <v>0</v>
      </c>
      <c r="D712" s="7" t="s">
        <v>824</v>
      </c>
    </row>
    <row r="713" spans="1:4" x14ac:dyDescent="0.3">
      <c r="A713" s="7" t="s">
        <v>765</v>
      </c>
      <c r="B713" s="7">
        <f>ROUND(AVERAGE('SKU sales and Inventory'!D714:Q714),0)</f>
        <v>0</v>
      </c>
      <c r="C713" s="7">
        <f>2*AVERAGE('SKU sales and Inventory'!D714:F714)</f>
        <v>0</v>
      </c>
      <c r="D713" s="7" t="s">
        <v>824</v>
      </c>
    </row>
    <row r="714" spans="1:4" x14ac:dyDescent="0.3">
      <c r="A714" s="7" t="s">
        <v>766</v>
      </c>
      <c r="B714" s="7">
        <f>ROUND(AVERAGE('SKU sales and Inventory'!D715:Q715),0)</f>
        <v>5</v>
      </c>
      <c r="C714" s="7">
        <f>2*AVERAGE('SKU sales and Inventory'!D715:F715)</f>
        <v>0</v>
      </c>
      <c r="D714" s="7" t="s">
        <v>824</v>
      </c>
    </row>
    <row r="715" spans="1:4" x14ac:dyDescent="0.3">
      <c r="A715" s="7" t="s">
        <v>767</v>
      </c>
      <c r="B715" s="7">
        <f>ROUND(AVERAGE('SKU sales and Inventory'!D716:Q716),0)</f>
        <v>13</v>
      </c>
      <c r="C715" s="7">
        <f>2*AVERAGE('SKU sales and Inventory'!D716:F716)</f>
        <v>0</v>
      </c>
      <c r="D715" s="7" t="s">
        <v>824</v>
      </c>
    </row>
    <row r="716" spans="1:4" x14ac:dyDescent="0.3">
      <c r="A716" s="7" t="s">
        <v>768</v>
      </c>
      <c r="B716" s="7">
        <f>ROUND(AVERAGE('SKU sales and Inventory'!D717:Q717),0)</f>
        <v>9</v>
      </c>
      <c r="C716" s="7">
        <f>2*AVERAGE('SKU sales and Inventory'!D717:F717)</f>
        <v>0</v>
      </c>
      <c r="D716" s="7" t="s">
        <v>824</v>
      </c>
    </row>
    <row r="717" spans="1:4" x14ac:dyDescent="0.3">
      <c r="A717" s="7" t="s">
        <v>769</v>
      </c>
      <c r="B717" s="7">
        <f>ROUND(AVERAGE('SKU sales and Inventory'!D718:Q718),0)</f>
        <v>10</v>
      </c>
      <c r="C717" s="7">
        <f>2*AVERAGE('SKU sales and Inventory'!D718:F718)</f>
        <v>0</v>
      </c>
      <c r="D717" s="7" t="s">
        <v>824</v>
      </c>
    </row>
    <row r="718" spans="1:4" x14ac:dyDescent="0.3">
      <c r="A718" s="7" t="s">
        <v>770</v>
      </c>
      <c r="B718" s="7">
        <f>ROUND(AVERAGE('SKU sales and Inventory'!D719:Q719),0)</f>
        <v>0</v>
      </c>
      <c r="C718" s="7">
        <f>2*AVERAGE('SKU sales and Inventory'!D719:F719)</f>
        <v>0</v>
      </c>
      <c r="D718" s="7" t="s">
        <v>824</v>
      </c>
    </row>
    <row r="719" spans="1:4" x14ac:dyDescent="0.3">
      <c r="A719" s="7" t="s">
        <v>771</v>
      </c>
      <c r="B719" s="7">
        <f>ROUND(AVERAGE('SKU sales and Inventory'!D720:Q720),0)</f>
        <v>6</v>
      </c>
      <c r="C719" s="7">
        <f>2*AVERAGE('SKU sales and Inventory'!D720:F720)</f>
        <v>4</v>
      </c>
      <c r="D719" s="7" t="s">
        <v>824</v>
      </c>
    </row>
    <row r="720" spans="1:4" x14ac:dyDescent="0.3">
      <c r="A720" s="7" t="s">
        <v>772</v>
      </c>
      <c r="B720" s="7">
        <f>ROUND(AVERAGE('SKU sales and Inventory'!D721:Q721),0)</f>
        <v>2</v>
      </c>
      <c r="C720" s="7">
        <f>2*AVERAGE('SKU sales and Inventory'!D721:F721)</f>
        <v>0</v>
      </c>
      <c r="D720" s="7" t="s">
        <v>824</v>
      </c>
    </row>
    <row r="721" spans="1:4" x14ac:dyDescent="0.3">
      <c r="A721" s="7" t="s">
        <v>773</v>
      </c>
      <c r="B721" s="7">
        <f>ROUND(AVERAGE('SKU sales and Inventory'!D722:Q722),0)</f>
        <v>0</v>
      </c>
      <c r="C721" s="7">
        <f>2*AVERAGE('SKU sales and Inventory'!D722:F722)</f>
        <v>0</v>
      </c>
      <c r="D721" s="7" t="s">
        <v>824</v>
      </c>
    </row>
    <row r="722" spans="1:4" x14ac:dyDescent="0.3">
      <c r="A722" s="7" t="s">
        <v>774</v>
      </c>
      <c r="B722" s="7">
        <f>ROUND(AVERAGE('SKU sales and Inventory'!D723:Q723),0)</f>
        <v>10</v>
      </c>
      <c r="C722" s="7">
        <f>2*AVERAGE('SKU sales and Inventory'!D723:F723)</f>
        <v>0</v>
      </c>
      <c r="D722" s="7" t="s">
        <v>824</v>
      </c>
    </row>
    <row r="723" spans="1:4" x14ac:dyDescent="0.3">
      <c r="A723" s="7" t="s">
        <v>775</v>
      </c>
      <c r="B723" s="7">
        <f>ROUND(AVERAGE('SKU sales and Inventory'!D724:Q724),0)</f>
        <v>6</v>
      </c>
      <c r="C723" s="7">
        <f>2*AVERAGE('SKU sales and Inventory'!D724:F724)</f>
        <v>0</v>
      </c>
      <c r="D723" s="7" t="s">
        <v>824</v>
      </c>
    </row>
    <row r="724" spans="1:4" x14ac:dyDescent="0.3">
      <c r="A724" s="7" t="s">
        <v>776</v>
      </c>
      <c r="B724" s="7">
        <f>ROUND(AVERAGE('SKU sales and Inventory'!D725:Q725),0)</f>
        <v>1</v>
      </c>
      <c r="C724" s="7">
        <f>2*AVERAGE('SKU sales and Inventory'!D725:F725)</f>
        <v>0</v>
      </c>
      <c r="D724" s="7" t="s">
        <v>824</v>
      </c>
    </row>
    <row r="725" spans="1:4" x14ac:dyDescent="0.3">
      <c r="A725" s="7" t="s">
        <v>777</v>
      </c>
      <c r="B725" s="7">
        <f>ROUND(AVERAGE('SKU sales and Inventory'!D726:Q726),0)</f>
        <v>3</v>
      </c>
      <c r="C725" s="7">
        <f>2*AVERAGE('SKU sales and Inventory'!D726:F726)</f>
        <v>0</v>
      </c>
      <c r="D725" s="7" t="s">
        <v>824</v>
      </c>
    </row>
    <row r="726" spans="1:4" x14ac:dyDescent="0.3">
      <c r="A726" s="7" t="s">
        <v>778</v>
      </c>
      <c r="B726" s="7">
        <f>ROUND(AVERAGE('SKU sales and Inventory'!D727:Q727),0)</f>
        <v>5</v>
      </c>
      <c r="C726" s="7">
        <f>2*AVERAGE('SKU sales and Inventory'!D727:F727)</f>
        <v>0</v>
      </c>
      <c r="D726" s="7" t="s">
        <v>824</v>
      </c>
    </row>
    <row r="727" spans="1:4" x14ac:dyDescent="0.3">
      <c r="A727" s="7" t="s">
        <v>779</v>
      </c>
      <c r="B727" s="7">
        <f>ROUND(AVERAGE('SKU sales and Inventory'!D728:Q728),0)</f>
        <v>9</v>
      </c>
      <c r="C727" s="7">
        <f>2*AVERAGE('SKU sales and Inventory'!D728:F728)</f>
        <v>0</v>
      </c>
      <c r="D727" s="7" t="s">
        <v>824</v>
      </c>
    </row>
    <row r="728" spans="1:4" x14ac:dyDescent="0.3">
      <c r="A728" s="7" t="s">
        <v>780</v>
      </c>
      <c r="B728" s="7">
        <f>ROUND(AVERAGE('SKU sales and Inventory'!D729:Q729),0)</f>
        <v>14</v>
      </c>
      <c r="C728" s="7">
        <f>2*AVERAGE('SKU sales and Inventory'!D729:F729)</f>
        <v>0</v>
      </c>
      <c r="D728" s="7" t="s">
        <v>824</v>
      </c>
    </row>
    <row r="729" spans="1:4" x14ac:dyDescent="0.3">
      <c r="A729" s="7" t="s">
        <v>781</v>
      </c>
      <c r="B729" s="7">
        <f>ROUND(AVERAGE('SKU sales and Inventory'!D730:Q730),0)</f>
        <v>163</v>
      </c>
      <c r="C729" s="7">
        <f>2*AVERAGE('SKU sales and Inventory'!D730:F730)</f>
        <v>4</v>
      </c>
      <c r="D729" s="7" t="s">
        <v>824</v>
      </c>
    </row>
    <row r="730" spans="1:4" x14ac:dyDescent="0.3">
      <c r="A730" s="7" t="s">
        <v>782</v>
      </c>
      <c r="B730" s="7">
        <f>ROUND(AVERAGE('SKU sales and Inventory'!D731:Q731),0)</f>
        <v>223</v>
      </c>
      <c r="C730" s="7">
        <f>2*AVERAGE('SKU sales and Inventory'!D731:F731)</f>
        <v>4</v>
      </c>
      <c r="D730" s="7" t="s">
        <v>824</v>
      </c>
    </row>
    <row r="731" spans="1:4" x14ac:dyDescent="0.3">
      <c r="A731" s="7" t="s">
        <v>783</v>
      </c>
      <c r="B731" s="7">
        <f>ROUND(AVERAGE('SKU sales and Inventory'!D732:Q732),0)</f>
        <v>130</v>
      </c>
      <c r="C731" s="7">
        <f>2*AVERAGE('SKU sales and Inventory'!D732:F732)</f>
        <v>4</v>
      </c>
      <c r="D731" s="7" t="s">
        <v>824</v>
      </c>
    </row>
    <row r="732" spans="1:4" x14ac:dyDescent="0.3">
      <c r="A732" s="7" t="s">
        <v>784</v>
      </c>
      <c r="B732" s="7">
        <f>ROUND(AVERAGE('SKU sales and Inventory'!D733:Q733),0)</f>
        <v>6</v>
      </c>
      <c r="C732" s="7">
        <f>2*AVERAGE('SKU sales and Inventory'!D733:F733)</f>
        <v>0</v>
      </c>
      <c r="D732" s="7" t="s">
        <v>824</v>
      </c>
    </row>
    <row r="733" spans="1:4" x14ac:dyDescent="0.3">
      <c r="A733" s="7" t="s">
        <v>785</v>
      </c>
      <c r="B733" s="7">
        <f>ROUND(AVERAGE('SKU sales and Inventory'!D734:Q734),0)</f>
        <v>4</v>
      </c>
      <c r="C733" s="7">
        <f>2*AVERAGE('SKU sales and Inventory'!D734:F734)</f>
        <v>0</v>
      </c>
      <c r="D733" s="7" t="s">
        <v>824</v>
      </c>
    </row>
    <row r="734" spans="1:4" x14ac:dyDescent="0.3">
      <c r="A734" s="7" t="s">
        <v>786</v>
      </c>
      <c r="B734" s="7">
        <f>ROUND(AVERAGE('SKU sales and Inventory'!D735:Q735),0)</f>
        <v>14</v>
      </c>
      <c r="C734" s="7">
        <f>2*AVERAGE('SKU sales and Inventory'!D735:F735)</f>
        <v>2</v>
      </c>
      <c r="D734" s="7" t="s">
        <v>824</v>
      </c>
    </row>
    <row r="735" spans="1:4" x14ac:dyDescent="0.3">
      <c r="A735" s="7" t="s">
        <v>787</v>
      </c>
      <c r="B735" s="7">
        <f>ROUND(AVERAGE('SKU sales and Inventory'!D736:Q736),0)</f>
        <v>12</v>
      </c>
      <c r="C735" s="7">
        <f>2*AVERAGE('SKU sales and Inventory'!D736:F736)</f>
        <v>0</v>
      </c>
      <c r="D735" s="7" t="s">
        <v>824</v>
      </c>
    </row>
    <row r="736" spans="1:4" x14ac:dyDescent="0.3">
      <c r="A736" s="7" t="s">
        <v>788</v>
      </c>
      <c r="B736" s="7">
        <f>ROUND(AVERAGE('SKU sales and Inventory'!D737:Q737),0)</f>
        <v>4</v>
      </c>
      <c r="C736" s="7">
        <f>2*AVERAGE('SKU sales and Inventory'!D737:F737)</f>
        <v>2</v>
      </c>
      <c r="D736" s="7" t="s">
        <v>824</v>
      </c>
    </row>
    <row r="737" spans="1:4" x14ac:dyDescent="0.3">
      <c r="A737" s="7" t="s">
        <v>789</v>
      </c>
      <c r="B737" s="7">
        <f>ROUND(AVERAGE('SKU sales and Inventory'!D738:Q738),0)</f>
        <v>8</v>
      </c>
      <c r="C737" s="7">
        <f>2*AVERAGE('SKU sales and Inventory'!D738:F738)</f>
        <v>0</v>
      </c>
      <c r="D737" s="7" t="s">
        <v>824</v>
      </c>
    </row>
    <row r="738" spans="1:4" x14ac:dyDescent="0.3">
      <c r="A738" s="7" t="s">
        <v>790</v>
      </c>
      <c r="B738" s="7">
        <f>ROUND(AVERAGE('SKU sales and Inventory'!D739:Q739),0)</f>
        <v>6</v>
      </c>
      <c r="C738" s="7">
        <f>2*AVERAGE('SKU sales and Inventory'!D739:F739)</f>
        <v>6</v>
      </c>
      <c r="D738" s="7" t="s">
        <v>824</v>
      </c>
    </row>
    <row r="739" spans="1:4" x14ac:dyDescent="0.3">
      <c r="A739" s="7" t="s">
        <v>791</v>
      </c>
      <c r="B739" s="7">
        <f>ROUND(AVERAGE('SKU sales and Inventory'!D740:Q740),0)</f>
        <v>6</v>
      </c>
      <c r="C739" s="7">
        <f>2*AVERAGE('SKU sales and Inventory'!D740:F740)</f>
        <v>2</v>
      </c>
      <c r="D739" s="7" t="s">
        <v>824</v>
      </c>
    </row>
    <row r="740" spans="1:4" x14ac:dyDescent="0.3">
      <c r="A740" s="7" t="s">
        <v>792</v>
      </c>
      <c r="B740" s="7">
        <f>ROUND(AVERAGE('SKU sales and Inventory'!D741:Q741),0)</f>
        <v>6</v>
      </c>
      <c r="C740" s="7">
        <f>2*AVERAGE('SKU sales and Inventory'!D741:F741)</f>
        <v>0</v>
      </c>
      <c r="D740" s="7" t="s">
        <v>824</v>
      </c>
    </row>
    <row r="741" spans="1:4" x14ac:dyDescent="0.3">
      <c r="A741" s="7" t="s">
        <v>793</v>
      </c>
      <c r="B741" s="7">
        <f>ROUND(AVERAGE('SKU sales and Inventory'!D742:Q742),0)</f>
        <v>7</v>
      </c>
      <c r="C741" s="7">
        <f>2*AVERAGE('SKU sales and Inventory'!D742:F742)</f>
        <v>0</v>
      </c>
      <c r="D741" s="7" t="s">
        <v>824</v>
      </c>
    </row>
    <row r="742" spans="1:4" x14ac:dyDescent="0.3">
      <c r="A742" s="7" t="s">
        <v>794</v>
      </c>
      <c r="B742" s="7">
        <f>ROUND(AVERAGE('SKU sales and Inventory'!D743:Q743),0)</f>
        <v>20</v>
      </c>
      <c r="C742" s="7">
        <f>2*AVERAGE('SKU sales and Inventory'!D743:F743)</f>
        <v>0</v>
      </c>
      <c r="D742" s="7" t="s">
        <v>824</v>
      </c>
    </row>
    <row r="743" spans="1:4" x14ac:dyDescent="0.3">
      <c r="A743" s="7" t="s">
        <v>795</v>
      </c>
      <c r="B743" s="7">
        <f>ROUND(AVERAGE('SKU sales and Inventory'!D744:Q744),0)</f>
        <v>26</v>
      </c>
      <c r="C743" s="7">
        <f>2*AVERAGE('SKU sales and Inventory'!D744:F744)</f>
        <v>2</v>
      </c>
      <c r="D743" s="7" t="s">
        <v>824</v>
      </c>
    </row>
    <row r="744" spans="1:4" x14ac:dyDescent="0.3">
      <c r="A744" s="7" t="s">
        <v>796</v>
      </c>
      <c r="B744" s="7">
        <f>ROUND(AVERAGE('SKU sales and Inventory'!D745:Q745),0)</f>
        <v>9</v>
      </c>
      <c r="C744" s="7">
        <f>2*AVERAGE('SKU sales and Inventory'!D745:F745)</f>
        <v>0</v>
      </c>
      <c r="D744" s="7" t="s">
        <v>824</v>
      </c>
    </row>
    <row r="745" spans="1:4" x14ac:dyDescent="0.3">
      <c r="A745" s="7" t="s">
        <v>797</v>
      </c>
      <c r="B745" s="7">
        <f>ROUND(AVERAGE('SKU sales and Inventory'!D746:Q746),0)</f>
        <v>1</v>
      </c>
      <c r="C745" s="7">
        <f>2*AVERAGE('SKU sales and Inventory'!D746:F746)</f>
        <v>0</v>
      </c>
      <c r="D745" s="7" t="s">
        <v>824</v>
      </c>
    </row>
    <row r="746" spans="1:4" x14ac:dyDescent="0.3">
      <c r="A746" s="7" t="s">
        <v>798</v>
      </c>
      <c r="B746" s="7">
        <f>ROUND(AVERAGE('SKU sales and Inventory'!D747:Q747),0)</f>
        <v>14</v>
      </c>
      <c r="C746" s="7">
        <f>2*AVERAGE('SKU sales and Inventory'!D747:F747)</f>
        <v>0</v>
      </c>
      <c r="D746" s="7" t="s">
        <v>824</v>
      </c>
    </row>
    <row r="747" spans="1:4" x14ac:dyDescent="0.3">
      <c r="A747" s="7" t="s">
        <v>799</v>
      </c>
      <c r="B747" s="7">
        <f>ROUND(AVERAGE('SKU sales and Inventory'!D748:Q748),0)</f>
        <v>5</v>
      </c>
      <c r="C747" s="7">
        <f>2*AVERAGE('SKU sales and Inventory'!D748:F748)</f>
        <v>6</v>
      </c>
      <c r="D747" s="7" t="s">
        <v>824</v>
      </c>
    </row>
    <row r="748" spans="1:4" x14ac:dyDescent="0.3">
      <c r="A748" s="7" t="s">
        <v>800</v>
      </c>
      <c r="B748" s="7">
        <f>ROUND(AVERAGE('SKU sales and Inventory'!D749:Q749),0)</f>
        <v>8</v>
      </c>
      <c r="C748" s="7">
        <f>2*AVERAGE('SKU sales and Inventory'!D749:F749)</f>
        <v>0</v>
      </c>
      <c r="D748" s="7" t="s">
        <v>824</v>
      </c>
    </row>
    <row r="749" spans="1:4" x14ac:dyDescent="0.3">
      <c r="A749" s="7" t="s">
        <v>801</v>
      </c>
      <c r="B749" s="7">
        <f>ROUND(AVERAGE('SKU sales and Inventory'!D750:Q750),0)</f>
        <v>9</v>
      </c>
      <c r="C749" s="7">
        <f>2*AVERAGE('SKU sales and Inventory'!D750:F750)</f>
        <v>4</v>
      </c>
      <c r="D749" s="7" t="s">
        <v>824</v>
      </c>
    </row>
    <row r="750" spans="1:4" x14ac:dyDescent="0.3">
      <c r="A750" s="7" t="s">
        <v>802</v>
      </c>
      <c r="B750" s="7">
        <f>ROUND(AVERAGE('SKU sales and Inventory'!D751:Q751),0)</f>
        <v>3</v>
      </c>
      <c r="C750" s="7">
        <f>2*AVERAGE('SKU sales and Inventory'!D751:F751)</f>
        <v>0</v>
      </c>
      <c r="D750" s="7" t="s">
        <v>824</v>
      </c>
    </row>
    <row r="751" spans="1:4" x14ac:dyDescent="0.3">
      <c r="A751" s="7" t="s">
        <v>803</v>
      </c>
      <c r="B751" s="7">
        <f>ROUND(AVERAGE('SKU sales and Inventory'!D752:Q752),0)</f>
        <v>6</v>
      </c>
      <c r="C751" s="7">
        <f>2*AVERAGE('SKU sales and Inventory'!D752:F752)</f>
        <v>0</v>
      </c>
      <c r="D751" s="7" t="s">
        <v>824</v>
      </c>
    </row>
    <row r="752" spans="1:4" x14ac:dyDescent="0.3">
      <c r="A752" s="7" t="s">
        <v>804</v>
      </c>
      <c r="B752" s="7">
        <f>ROUND(AVERAGE('SKU sales and Inventory'!D753:Q753),0)</f>
        <v>6</v>
      </c>
      <c r="C752" s="7">
        <f>2*AVERAGE('SKU sales and Inventory'!D753:F753)</f>
        <v>0</v>
      </c>
      <c r="D752" s="7" t="s">
        <v>824</v>
      </c>
    </row>
    <row r="753" spans="1:4" x14ac:dyDescent="0.3">
      <c r="A753" s="7" t="s">
        <v>805</v>
      </c>
      <c r="B753" s="7">
        <f>ROUND(AVERAGE('SKU sales and Inventory'!D754:Q754),0)</f>
        <v>11</v>
      </c>
      <c r="C753" s="7">
        <f>2*AVERAGE('SKU sales and Inventory'!D754:F754)</f>
        <v>0</v>
      </c>
      <c r="D753" s="7" t="s">
        <v>824</v>
      </c>
    </row>
    <row r="754" spans="1:4" x14ac:dyDescent="0.3">
      <c r="A754" s="7" t="s">
        <v>806</v>
      </c>
      <c r="B754" s="7">
        <f>ROUND(AVERAGE('SKU sales and Inventory'!D755:Q755),0)</f>
        <v>12</v>
      </c>
      <c r="C754" s="7">
        <f>2*AVERAGE('SKU sales and Inventory'!D755:F755)</f>
        <v>0</v>
      </c>
      <c r="D754" s="7" t="s">
        <v>824</v>
      </c>
    </row>
    <row r="755" spans="1:4" x14ac:dyDescent="0.3">
      <c r="A755" s="7" t="s">
        <v>807</v>
      </c>
      <c r="B755" s="7">
        <f>ROUND(AVERAGE('SKU sales and Inventory'!D756:Q756),0)</f>
        <v>0</v>
      </c>
      <c r="C755" s="7">
        <f>2*AVERAGE('SKU sales and Inventory'!D756:F756)</f>
        <v>0</v>
      </c>
      <c r="D755" s="7" t="s">
        <v>824</v>
      </c>
    </row>
    <row r="756" spans="1:4" x14ac:dyDescent="0.3">
      <c r="A756" s="7" t="s">
        <v>808</v>
      </c>
      <c r="B756" s="7">
        <f>ROUND(AVERAGE('SKU sales and Inventory'!D757:Q757),0)</f>
        <v>6</v>
      </c>
      <c r="C756" s="7">
        <f>2*AVERAGE('SKU sales and Inventory'!D757:F757)</f>
        <v>2</v>
      </c>
      <c r="D756" s="7" t="s">
        <v>824</v>
      </c>
    </row>
    <row r="757" spans="1:4" x14ac:dyDescent="0.3">
      <c r="A757" s="7" t="s">
        <v>809</v>
      </c>
      <c r="B757" s="7">
        <f>ROUND(AVERAGE('SKU sales and Inventory'!D758:Q758),0)</f>
        <v>1</v>
      </c>
      <c r="C757" s="7">
        <f>2*AVERAGE('SKU sales and Inventory'!D758:F758)</f>
        <v>0</v>
      </c>
      <c r="D757" s="7" t="s">
        <v>824</v>
      </c>
    </row>
    <row r="758" spans="1:4" x14ac:dyDescent="0.3">
      <c r="A758" s="7" t="s">
        <v>810</v>
      </c>
      <c r="B758" s="7">
        <f>ROUND(AVERAGE('SKU sales and Inventory'!D759:Q759),0)</f>
        <v>1</v>
      </c>
      <c r="C758" s="7">
        <f>2*AVERAGE('SKU sales and Inventory'!D759:F759)</f>
        <v>2</v>
      </c>
      <c r="D758" s="7" t="s">
        <v>824</v>
      </c>
    </row>
    <row r="759" spans="1:4" x14ac:dyDescent="0.3">
      <c r="A759" s="7" t="s">
        <v>811</v>
      </c>
      <c r="B759" s="7">
        <f>ROUND(AVERAGE('SKU sales and Inventory'!D760:Q760),0)</f>
        <v>1</v>
      </c>
      <c r="C759" s="7">
        <f>2*AVERAGE('SKU sales and Inventory'!D760:F760)</f>
        <v>6</v>
      </c>
      <c r="D759" s="7" t="s">
        <v>824</v>
      </c>
    </row>
    <row r="760" spans="1:4" x14ac:dyDescent="0.3">
      <c r="A760" s="7" t="s">
        <v>812</v>
      </c>
      <c r="B760" s="7">
        <f>ROUND(AVERAGE('SKU sales and Inventory'!D761:Q761),0)</f>
        <v>0</v>
      </c>
      <c r="C760" s="7">
        <f>2*AVERAGE('SKU sales and Inventory'!D761:F761)</f>
        <v>0</v>
      </c>
      <c r="D760" s="7" t="s">
        <v>824</v>
      </c>
    </row>
    <row r="761" spans="1:4" x14ac:dyDescent="0.3">
      <c r="A761" s="7" t="s">
        <v>813</v>
      </c>
      <c r="B761" s="7">
        <f>ROUND(AVERAGE('SKU sales and Inventory'!D762:Q762),0)</f>
        <v>2</v>
      </c>
      <c r="C761" s="7">
        <f>2*AVERAGE('SKU sales and Inventory'!D762:F762)</f>
        <v>12</v>
      </c>
      <c r="D761" s="7" t="s">
        <v>824</v>
      </c>
    </row>
    <row r="762" spans="1:4" x14ac:dyDescent="0.3">
      <c r="A762" s="7" t="s">
        <v>814</v>
      </c>
      <c r="B762" s="7">
        <f>ROUND(AVERAGE('SKU sales and Inventory'!D763:Q763),0)</f>
        <v>0</v>
      </c>
      <c r="C762" s="7">
        <f>2*AVERAGE('SKU sales and Inventory'!D763:F763)</f>
        <v>0</v>
      </c>
      <c r="D762" s="7" t="s">
        <v>824</v>
      </c>
    </row>
    <row r="763" spans="1:4" x14ac:dyDescent="0.3">
      <c r="A763" s="7" t="s">
        <v>815</v>
      </c>
      <c r="B763" s="7">
        <f>ROUND(AVERAGE('SKU sales and Inventory'!D764:Q764),0)</f>
        <v>0</v>
      </c>
      <c r="C763" s="7">
        <f>2*AVERAGE('SKU sales and Inventory'!D764:F764)</f>
        <v>2</v>
      </c>
      <c r="D763" s="7" t="s">
        <v>824</v>
      </c>
    </row>
  </sheetData>
  <conditionalFormatting sqref="A2:A763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26AF-72BE-4A51-87BA-8FCD9A20C477}">
  <dimension ref="A1:L763"/>
  <sheetViews>
    <sheetView zoomScale="85" zoomScaleNormal="85" workbookViewId="0">
      <selection activeCell="D2" sqref="D2"/>
    </sheetView>
  </sheetViews>
  <sheetFormatPr defaultRowHeight="15.6" x14ac:dyDescent="0.3"/>
  <cols>
    <col min="1" max="1" width="14.09765625" bestFit="1" customWidth="1"/>
    <col min="2" max="2" width="9.796875" bestFit="1" customWidth="1"/>
    <col min="3" max="3" width="12.296875" bestFit="1" customWidth="1"/>
    <col min="4" max="4" width="16.3984375" bestFit="1" customWidth="1"/>
    <col min="5" max="5" width="15.19921875" bestFit="1" customWidth="1"/>
    <col min="6" max="6" width="11.8984375" bestFit="1" customWidth="1"/>
    <col min="7" max="7" width="15.19921875" bestFit="1" customWidth="1"/>
  </cols>
  <sheetData>
    <row r="1" spans="1:12" x14ac:dyDescent="0.3">
      <c r="A1" s="12" t="s">
        <v>825</v>
      </c>
      <c r="B1" s="12" t="s">
        <v>826</v>
      </c>
      <c r="C1" s="12" t="s">
        <v>827</v>
      </c>
      <c r="D1" s="12" t="s">
        <v>828</v>
      </c>
      <c r="E1" s="12" t="s">
        <v>829</v>
      </c>
      <c r="F1" s="12" t="s">
        <v>830</v>
      </c>
      <c r="G1" s="12" t="s">
        <v>831</v>
      </c>
      <c r="I1" s="14"/>
      <c r="J1" s="14"/>
      <c r="K1" s="14"/>
    </row>
    <row r="2" spans="1:12" x14ac:dyDescent="0.3">
      <c r="A2" s="7" t="s">
        <v>54</v>
      </c>
      <c r="B2" s="7" t="s">
        <v>2</v>
      </c>
      <c r="C2" s="7" cm="1">
        <f t="array" ref="C2">_xlfn.IFS(B2="25-50%",45,B2="50-75%",30,B2="last 25%",30,B2="Retire",0,B2="Top 25 %",60,B2="REST",30)</f>
        <v>45</v>
      </c>
      <c r="D2" s="13" cm="1">
        <f t="array" ref="D2">AVERAGE('SKU sales and Inventory'!D3:F3/30)</f>
        <v>109.7</v>
      </c>
      <c r="E2" s="13">
        <f>D2*C2</f>
        <v>4936.5</v>
      </c>
      <c r="F2" s="7">
        <v>102</v>
      </c>
      <c r="G2" s="13">
        <f>F2-E2</f>
        <v>-4834.5</v>
      </c>
      <c r="L2" s="13"/>
    </row>
    <row r="3" spans="1:12" x14ac:dyDescent="0.3">
      <c r="A3" s="7" t="s">
        <v>55</v>
      </c>
      <c r="B3" s="7" t="s">
        <v>2</v>
      </c>
      <c r="C3" s="7" cm="1">
        <f t="array" ref="C3">_xlfn.IFS(B3="25-50%",45,B3="50-75%",30,B3="last 25%",30,B3="Retire",0,B3="Top 25 %",60,B3="REST",30)</f>
        <v>45</v>
      </c>
      <c r="D3" s="13" cm="1">
        <f t="array" ref="D3">AVERAGE('SKU sales and Inventory'!D4:F4/30)</f>
        <v>195</v>
      </c>
      <c r="E3" s="13">
        <f t="shared" ref="E3:E66" si="0">D3*C3</f>
        <v>8775</v>
      </c>
      <c r="F3" s="7">
        <v>4803</v>
      </c>
      <c r="G3" s="13">
        <f t="shared" ref="G3:G66" si="1">F3-E3</f>
        <v>-3972</v>
      </c>
      <c r="L3" s="13"/>
    </row>
    <row r="4" spans="1:12" x14ac:dyDescent="0.3">
      <c r="A4" s="7" t="s">
        <v>56</v>
      </c>
      <c r="B4" s="7" t="s">
        <v>2</v>
      </c>
      <c r="C4" s="7" cm="1">
        <f t="array" ref="C4">_xlfn.IFS(B4="25-50%",45,B4="50-75%",30,B4="last 25%",30,B4="Retire",0,B4="Top 25 %",60,B4="REST",30)</f>
        <v>45</v>
      </c>
      <c r="D4" s="13" cm="1">
        <f t="array" ref="D4">AVERAGE('SKU sales and Inventory'!D5:F5/30)</f>
        <v>122.16666666666667</v>
      </c>
      <c r="E4" s="13">
        <f t="shared" si="0"/>
        <v>5497.5</v>
      </c>
      <c r="F4" s="7">
        <v>786</v>
      </c>
      <c r="G4" s="13">
        <f t="shared" si="1"/>
        <v>-4711.5</v>
      </c>
      <c r="L4" s="13"/>
    </row>
    <row r="5" spans="1:12" x14ac:dyDescent="0.3">
      <c r="A5" s="7" t="s">
        <v>57</v>
      </c>
      <c r="B5" s="7" t="s">
        <v>4</v>
      </c>
      <c r="C5" s="7" cm="1">
        <f t="array" ref="C5">_xlfn.IFS(B5="25-50%",45,B5="50-75%",30,B5="last 25%",30,B5="Retire",0,B5="Top 25 %",60,B5="REST",30)</f>
        <v>60</v>
      </c>
      <c r="D5" s="13" cm="1">
        <f t="array" ref="D5">AVERAGE('SKU sales and Inventory'!D6:F6/30)</f>
        <v>147.13333333333333</v>
      </c>
      <c r="E5" s="13">
        <f t="shared" si="0"/>
        <v>8828</v>
      </c>
      <c r="F5" s="7">
        <v>2946</v>
      </c>
      <c r="G5" s="13">
        <f t="shared" si="1"/>
        <v>-5882</v>
      </c>
      <c r="L5" s="13"/>
    </row>
    <row r="6" spans="1:12" x14ac:dyDescent="0.3">
      <c r="A6" s="7" t="s">
        <v>58</v>
      </c>
      <c r="B6" s="7" t="s">
        <v>0</v>
      </c>
      <c r="C6" s="7" cm="1">
        <f t="array" ref="C6">_xlfn.IFS(B6="25-50%",45,B6="50-75%",30,B6="last 25%",30,B6="Retire",0,B6="Top 25 %",60,B6="REST",30)</f>
        <v>30</v>
      </c>
      <c r="D6" s="13" cm="1">
        <f t="array" ref="D6">AVERAGE('SKU sales and Inventory'!D7:F7/30)</f>
        <v>96.166666666666671</v>
      </c>
      <c r="E6" s="13">
        <f t="shared" si="0"/>
        <v>2885</v>
      </c>
      <c r="F6" s="7">
        <v>51</v>
      </c>
      <c r="G6" s="13">
        <f t="shared" si="1"/>
        <v>-2834</v>
      </c>
      <c r="L6" s="13"/>
    </row>
    <row r="7" spans="1:12" x14ac:dyDescent="0.3">
      <c r="A7" s="7" t="s">
        <v>59</v>
      </c>
      <c r="B7" s="7" t="s">
        <v>4</v>
      </c>
      <c r="C7" s="7" cm="1">
        <f t="array" ref="C7">_xlfn.IFS(B7="25-50%",45,B7="50-75%",30,B7="last 25%",30,B7="Retire",0,B7="Top 25 %",60,B7="REST",30)</f>
        <v>60</v>
      </c>
      <c r="D7" s="13" cm="1">
        <f t="array" ref="D7">AVERAGE('SKU sales and Inventory'!D8:F8/30)</f>
        <v>93.466666666666683</v>
      </c>
      <c r="E7" s="13">
        <f t="shared" si="0"/>
        <v>5608.0000000000009</v>
      </c>
      <c r="F7" s="7">
        <v>4992</v>
      </c>
      <c r="G7" s="13">
        <f t="shared" si="1"/>
        <v>-616.00000000000091</v>
      </c>
      <c r="L7" s="13"/>
    </row>
    <row r="8" spans="1:12" x14ac:dyDescent="0.3">
      <c r="A8" s="7" t="s">
        <v>60</v>
      </c>
      <c r="B8" s="7" t="s">
        <v>1</v>
      </c>
      <c r="C8" s="7" cm="1">
        <f t="array" ref="C8">_xlfn.IFS(B8="25-50%",45,B8="50-75%",30,B8="last 25%",30,B8="Retire",0,B8="Top 25 %",60,B8="REST",30)</f>
        <v>30</v>
      </c>
      <c r="D8" s="13" cm="1">
        <f t="array" ref="D8">AVERAGE('SKU sales and Inventory'!D9:F9/30)</f>
        <v>63.099999999999994</v>
      </c>
      <c r="E8" s="13">
        <f t="shared" si="0"/>
        <v>1892.9999999999998</v>
      </c>
      <c r="F8" s="7">
        <v>1671</v>
      </c>
      <c r="G8" s="13">
        <f t="shared" si="1"/>
        <v>-221.99999999999977</v>
      </c>
      <c r="L8" s="13"/>
    </row>
    <row r="9" spans="1:12" x14ac:dyDescent="0.3">
      <c r="A9" s="7" t="s">
        <v>61</v>
      </c>
      <c r="B9" s="7" t="s">
        <v>2</v>
      </c>
      <c r="C9" s="7" cm="1">
        <f t="array" ref="C9">_xlfn.IFS(B9="25-50%",45,B9="50-75%",30,B9="last 25%",30,B9="Retire",0,B9="Top 25 %",60,B9="REST",30)</f>
        <v>45</v>
      </c>
      <c r="D9" s="13" cm="1">
        <f t="array" ref="D9">AVERAGE('SKU sales and Inventory'!D10:F10/30)</f>
        <v>140.53333333333333</v>
      </c>
      <c r="E9" s="13">
        <f t="shared" si="0"/>
        <v>6324</v>
      </c>
      <c r="F9" s="7">
        <v>5796</v>
      </c>
      <c r="G9" s="13">
        <f t="shared" si="1"/>
        <v>-528</v>
      </c>
      <c r="L9" s="13"/>
    </row>
    <row r="10" spans="1:12" x14ac:dyDescent="0.3">
      <c r="A10" s="7" t="s">
        <v>62</v>
      </c>
      <c r="B10" s="7" t="s">
        <v>1</v>
      </c>
      <c r="C10" s="7" cm="1">
        <f t="array" ref="C10">_xlfn.IFS(B10="25-50%",45,B10="50-75%",30,B10="last 25%",30,B10="Retire",0,B10="Top 25 %",60,B10="REST",30)</f>
        <v>30</v>
      </c>
      <c r="D10" s="13" cm="1">
        <f t="array" ref="D10">AVERAGE('SKU sales and Inventory'!D11:F11/30)</f>
        <v>60.133333333333326</v>
      </c>
      <c r="E10" s="13">
        <f t="shared" si="0"/>
        <v>1803.9999999999998</v>
      </c>
      <c r="F10" s="7">
        <v>930</v>
      </c>
      <c r="G10" s="13">
        <f t="shared" si="1"/>
        <v>-873.99999999999977</v>
      </c>
      <c r="L10" s="13"/>
    </row>
    <row r="11" spans="1:12" x14ac:dyDescent="0.3">
      <c r="A11" s="7" t="s">
        <v>63</v>
      </c>
      <c r="B11" s="7" t="s">
        <v>2</v>
      </c>
      <c r="C11" s="7" cm="1">
        <f t="array" ref="C11">_xlfn.IFS(B11="25-50%",45,B11="50-75%",30,B11="last 25%",30,B11="Retire",0,B11="Top 25 %",60,B11="REST",30)</f>
        <v>45</v>
      </c>
      <c r="D11" s="13" cm="1">
        <f t="array" ref="D11">AVERAGE('SKU sales and Inventory'!D12:F12/30)</f>
        <v>120.96666666666665</v>
      </c>
      <c r="E11" s="13">
        <f t="shared" si="0"/>
        <v>5443.4999999999991</v>
      </c>
      <c r="F11" s="7">
        <v>8799</v>
      </c>
      <c r="G11" s="13">
        <f t="shared" si="1"/>
        <v>3355.5000000000009</v>
      </c>
      <c r="L11" s="13"/>
    </row>
    <row r="12" spans="1:12" x14ac:dyDescent="0.3">
      <c r="A12" s="7" t="s">
        <v>64</v>
      </c>
      <c r="B12" s="7" t="s">
        <v>4</v>
      </c>
      <c r="C12" s="7" cm="1">
        <f t="array" ref="C12">_xlfn.IFS(B12="25-50%",45,B12="50-75%",30,B12="last 25%",30,B12="Retire",0,B12="Top 25 %",60,B12="REST",30)</f>
        <v>60</v>
      </c>
      <c r="D12" s="13" cm="1">
        <f t="array" ref="D12">AVERAGE('SKU sales and Inventory'!D13:F13/30)</f>
        <v>97.100000000000009</v>
      </c>
      <c r="E12" s="13">
        <f t="shared" si="0"/>
        <v>5826.0000000000009</v>
      </c>
      <c r="F12" s="7">
        <v>2154</v>
      </c>
      <c r="G12" s="13">
        <f t="shared" si="1"/>
        <v>-3672.0000000000009</v>
      </c>
      <c r="L12" s="13"/>
    </row>
    <row r="13" spans="1:12" x14ac:dyDescent="0.3">
      <c r="A13" s="7" t="s">
        <v>65</v>
      </c>
      <c r="B13" s="7" t="s">
        <v>4</v>
      </c>
      <c r="C13" s="7" cm="1">
        <f t="array" ref="C13">_xlfn.IFS(B13="25-50%",45,B13="50-75%",30,B13="last 25%",30,B13="Retire",0,B13="Top 25 %",60,B13="REST",30)</f>
        <v>60</v>
      </c>
      <c r="D13" s="13" cm="1">
        <f t="array" ref="D13">AVERAGE('SKU sales and Inventory'!D14:F14/30)</f>
        <v>56.533333333333339</v>
      </c>
      <c r="E13" s="13">
        <f t="shared" si="0"/>
        <v>3392.0000000000005</v>
      </c>
      <c r="F13" s="7">
        <v>399</v>
      </c>
      <c r="G13" s="13">
        <f t="shared" si="1"/>
        <v>-2993.0000000000005</v>
      </c>
      <c r="L13" s="13"/>
    </row>
    <row r="14" spans="1:12" x14ac:dyDescent="0.3">
      <c r="A14" s="7" t="s">
        <v>66</v>
      </c>
      <c r="B14" s="7" t="s">
        <v>2</v>
      </c>
      <c r="C14" s="7" cm="1">
        <f t="array" ref="C14">_xlfn.IFS(B14="25-50%",45,B14="50-75%",30,B14="last 25%",30,B14="Retire",0,B14="Top 25 %",60,B14="REST",30)</f>
        <v>45</v>
      </c>
      <c r="D14" s="13" cm="1">
        <f t="array" ref="D14">AVERAGE('SKU sales and Inventory'!D15:F15/30)</f>
        <v>107.10000000000001</v>
      </c>
      <c r="E14" s="13">
        <f t="shared" si="0"/>
        <v>4819.5</v>
      </c>
      <c r="F14" s="7">
        <v>3489</v>
      </c>
      <c r="G14" s="13">
        <f t="shared" si="1"/>
        <v>-1330.5</v>
      </c>
      <c r="L14" s="13"/>
    </row>
    <row r="15" spans="1:12" x14ac:dyDescent="0.3">
      <c r="A15" s="7" t="s">
        <v>67</v>
      </c>
      <c r="B15" s="7" t="s">
        <v>2</v>
      </c>
      <c r="C15" s="7" cm="1">
        <f t="array" ref="C15">_xlfn.IFS(B15="25-50%",45,B15="50-75%",30,B15="last 25%",30,B15="Retire",0,B15="Top 25 %",60,B15="REST",30)</f>
        <v>45</v>
      </c>
      <c r="D15" s="13" cm="1">
        <f t="array" ref="D15">AVERAGE('SKU sales and Inventory'!D16:F16/30)</f>
        <v>65.033333333333331</v>
      </c>
      <c r="E15" s="13">
        <f t="shared" si="0"/>
        <v>2926.5</v>
      </c>
      <c r="F15" s="7">
        <v>1629</v>
      </c>
      <c r="G15" s="13">
        <f t="shared" si="1"/>
        <v>-1297.5</v>
      </c>
      <c r="L15" s="13"/>
    </row>
    <row r="16" spans="1:12" x14ac:dyDescent="0.3">
      <c r="A16" s="7" t="s">
        <v>68</v>
      </c>
      <c r="B16" s="7" t="s">
        <v>4</v>
      </c>
      <c r="C16" s="7" cm="1">
        <f t="array" ref="C16">_xlfn.IFS(B16="25-50%",45,B16="50-75%",30,B16="last 25%",30,B16="Retire",0,B16="Top 25 %",60,B16="REST",30)</f>
        <v>60</v>
      </c>
      <c r="D16" s="13" cm="1">
        <f t="array" ref="D16">AVERAGE('SKU sales and Inventory'!D17:F17/30)</f>
        <v>83.966666666666683</v>
      </c>
      <c r="E16" s="13">
        <f t="shared" si="0"/>
        <v>5038.0000000000009</v>
      </c>
      <c r="F16" s="7">
        <v>1356</v>
      </c>
      <c r="G16" s="13">
        <f t="shared" si="1"/>
        <v>-3682.0000000000009</v>
      </c>
      <c r="L16" s="13"/>
    </row>
    <row r="17" spans="1:12" x14ac:dyDescent="0.3">
      <c r="A17" s="7" t="s">
        <v>69</v>
      </c>
      <c r="B17" s="7" t="s">
        <v>0</v>
      </c>
      <c r="C17" s="7" cm="1">
        <f t="array" ref="C17">_xlfn.IFS(B17="25-50%",45,B17="50-75%",30,B17="last 25%",30,B17="Retire",0,B17="Top 25 %",60,B17="REST",30)</f>
        <v>30</v>
      </c>
      <c r="D17" s="13" cm="1">
        <f t="array" ref="D17">AVERAGE('SKU sales and Inventory'!D18:F18/30)</f>
        <v>44.199999999999996</v>
      </c>
      <c r="E17" s="13">
        <f t="shared" si="0"/>
        <v>1325.9999999999998</v>
      </c>
      <c r="F17" s="7">
        <v>63</v>
      </c>
      <c r="G17" s="13">
        <f t="shared" si="1"/>
        <v>-1262.9999999999998</v>
      </c>
      <c r="L17" s="13"/>
    </row>
    <row r="18" spans="1:12" x14ac:dyDescent="0.3">
      <c r="A18" s="7" t="s">
        <v>70</v>
      </c>
      <c r="B18" s="7" t="s">
        <v>4</v>
      </c>
      <c r="C18" s="7" cm="1">
        <f t="array" ref="C18">_xlfn.IFS(B18="25-50%",45,B18="50-75%",30,B18="last 25%",30,B18="Retire",0,B18="Top 25 %",60,B18="REST",30)</f>
        <v>60</v>
      </c>
      <c r="D18" s="13" cm="1">
        <f t="array" ref="D18">AVERAGE('SKU sales and Inventory'!D19:F19/30)</f>
        <v>68.033333333333331</v>
      </c>
      <c r="E18" s="13">
        <f t="shared" si="0"/>
        <v>4082</v>
      </c>
      <c r="F18" s="7">
        <v>1221</v>
      </c>
      <c r="G18" s="13">
        <f t="shared" si="1"/>
        <v>-2861</v>
      </c>
      <c r="L18" s="13"/>
    </row>
    <row r="19" spans="1:12" x14ac:dyDescent="0.3">
      <c r="A19" s="7" t="s">
        <v>71</v>
      </c>
      <c r="B19" s="7" t="s">
        <v>2</v>
      </c>
      <c r="C19" s="7" cm="1">
        <f t="array" ref="C19">_xlfn.IFS(B19="25-50%",45,B19="50-75%",30,B19="last 25%",30,B19="Retire",0,B19="Top 25 %",60,B19="REST",30)</f>
        <v>45</v>
      </c>
      <c r="D19" s="13" cm="1">
        <f t="array" ref="D19">AVERAGE('SKU sales and Inventory'!D20:F20/30)</f>
        <v>56.166666666666664</v>
      </c>
      <c r="E19" s="13">
        <f t="shared" si="0"/>
        <v>2527.5</v>
      </c>
      <c r="F19" s="7">
        <v>3204</v>
      </c>
      <c r="G19" s="13">
        <f t="shared" si="1"/>
        <v>676.5</v>
      </c>
      <c r="L19" s="13"/>
    </row>
    <row r="20" spans="1:12" x14ac:dyDescent="0.3">
      <c r="A20" s="7" t="s">
        <v>72</v>
      </c>
      <c r="B20" s="7" t="s">
        <v>2</v>
      </c>
      <c r="C20" s="7" cm="1">
        <f t="array" ref="C20">_xlfn.IFS(B20="25-50%",45,B20="50-75%",30,B20="last 25%",30,B20="Retire",0,B20="Top 25 %",60,B20="REST",30)</f>
        <v>45</v>
      </c>
      <c r="D20" s="13" cm="1">
        <f t="array" ref="D20">AVERAGE('SKU sales and Inventory'!D21:F21/30)</f>
        <v>71.266666666666666</v>
      </c>
      <c r="E20" s="13">
        <f t="shared" si="0"/>
        <v>3207</v>
      </c>
      <c r="F20" s="7">
        <v>2259</v>
      </c>
      <c r="G20" s="13">
        <f t="shared" si="1"/>
        <v>-948</v>
      </c>
      <c r="L20" s="13"/>
    </row>
    <row r="21" spans="1:12" x14ac:dyDescent="0.3">
      <c r="A21" s="7" t="s">
        <v>73</v>
      </c>
      <c r="B21" s="7" t="s">
        <v>4</v>
      </c>
      <c r="C21" s="7" cm="1">
        <f t="array" ref="C21">_xlfn.IFS(B21="25-50%",45,B21="50-75%",30,B21="last 25%",30,B21="Retire",0,B21="Top 25 %",60,B21="REST",30)</f>
        <v>60</v>
      </c>
      <c r="D21" s="13" cm="1">
        <f t="array" ref="D21">AVERAGE('SKU sales and Inventory'!D22:F22/30)</f>
        <v>56.966666666666661</v>
      </c>
      <c r="E21" s="13">
        <f t="shared" si="0"/>
        <v>3417.9999999999995</v>
      </c>
      <c r="F21" s="7">
        <v>1986</v>
      </c>
      <c r="G21" s="13">
        <f t="shared" si="1"/>
        <v>-1431.9999999999995</v>
      </c>
      <c r="L21" s="13"/>
    </row>
    <row r="22" spans="1:12" x14ac:dyDescent="0.3">
      <c r="A22" s="7" t="s">
        <v>74</v>
      </c>
      <c r="B22" s="7" t="s">
        <v>4</v>
      </c>
      <c r="C22" s="7" cm="1">
        <f t="array" ref="C22">_xlfn.IFS(B22="25-50%",45,B22="50-75%",30,B22="last 25%",30,B22="Retire",0,B22="Top 25 %",60,B22="REST",30)</f>
        <v>60</v>
      </c>
      <c r="D22" s="13" cm="1">
        <f t="array" ref="D22">AVERAGE('SKU sales and Inventory'!D23:F23/30)</f>
        <v>41.699999999999996</v>
      </c>
      <c r="E22" s="13">
        <f t="shared" si="0"/>
        <v>2501.9999999999995</v>
      </c>
      <c r="F22" s="7">
        <v>5034</v>
      </c>
      <c r="G22" s="13">
        <f t="shared" si="1"/>
        <v>2532.0000000000005</v>
      </c>
      <c r="L22" s="13"/>
    </row>
    <row r="23" spans="1:12" x14ac:dyDescent="0.3">
      <c r="A23" s="7" t="s">
        <v>75</v>
      </c>
      <c r="B23" s="7" t="s">
        <v>4</v>
      </c>
      <c r="C23" s="7" cm="1">
        <f t="array" ref="C23">_xlfn.IFS(B23="25-50%",45,B23="50-75%",30,B23="last 25%",30,B23="Retire",0,B23="Top 25 %",60,B23="REST",30)</f>
        <v>60</v>
      </c>
      <c r="D23" s="13" cm="1">
        <f t="array" ref="D23">AVERAGE('SKU sales and Inventory'!D24:F24/30)</f>
        <v>62.466666666666661</v>
      </c>
      <c r="E23" s="13">
        <f t="shared" si="0"/>
        <v>3747.9999999999995</v>
      </c>
      <c r="F23" s="7">
        <v>1182</v>
      </c>
      <c r="G23" s="13">
        <f t="shared" si="1"/>
        <v>-2565.9999999999995</v>
      </c>
      <c r="L23" s="13"/>
    </row>
    <row r="24" spans="1:12" x14ac:dyDescent="0.3">
      <c r="A24" s="7" t="s">
        <v>76</v>
      </c>
      <c r="B24" s="7" t="s">
        <v>1</v>
      </c>
      <c r="C24" s="7" cm="1">
        <f t="array" ref="C24">_xlfn.IFS(B24="25-50%",45,B24="50-75%",30,B24="last 25%",30,B24="Retire",0,B24="Top 25 %",60,B24="REST",30)</f>
        <v>30</v>
      </c>
      <c r="D24" s="13" cm="1">
        <f t="array" ref="D24">AVERAGE('SKU sales and Inventory'!D25:F25/30)</f>
        <v>79.233333333333334</v>
      </c>
      <c r="E24" s="13">
        <f t="shared" si="0"/>
        <v>2377</v>
      </c>
      <c r="F24" s="7">
        <v>3252</v>
      </c>
      <c r="G24" s="13">
        <f t="shared" si="1"/>
        <v>875</v>
      </c>
      <c r="L24" s="13"/>
    </row>
    <row r="25" spans="1:12" x14ac:dyDescent="0.3">
      <c r="A25" s="7" t="s">
        <v>77</v>
      </c>
      <c r="B25" s="7" t="s">
        <v>4</v>
      </c>
      <c r="C25" s="7" cm="1">
        <f t="array" ref="C25">_xlfn.IFS(B25="25-50%",45,B25="50-75%",30,B25="last 25%",30,B25="Retire",0,B25="Top 25 %",60,B25="REST",30)</f>
        <v>60</v>
      </c>
      <c r="D25" s="13" cm="1">
        <f t="array" ref="D25">AVERAGE('SKU sales and Inventory'!D26:F26/30)</f>
        <v>58.133333333333333</v>
      </c>
      <c r="E25" s="13">
        <f t="shared" si="0"/>
        <v>3488</v>
      </c>
      <c r="F25" s="7">
        <v>1845</v>
      </c>
      <c r="G25" s="13">
        <f t="shared" si="1"/>
        <v>-1643</v>
      </c>
      <c r="L25" s="13"/>
    </row>
    <row r="26" spans="1:12" x14ac:dyDescent="0.3">
      <c r="A26" s="7" t="s">
        <v>78</v>
      </c>
      <c r="B26" s="7" t="s">
        <v>2</v>
      </c>
      <c r="C26" s="7" cm="1">
        <f t="array" ref="C26">_xlfn.IFS(B26="25-50%",45,B26="50-75%",30,B26="last 25%",30,B26="Retire",0,B26="Top 25 %",60,B26="REST",30)</f>
        <v>45</v>
      </c>
      <c r="D26" s="13" cm="1">
        <f t="array" ref="D26">AVERAGE('SKU sales and Inventory'!D27:F27/30)</f>
        <v>42.266666666666673</v>
      </c>
      <c r="E26" s="13">
        <f t="shared" si="0"/>
        <v>1902.0000000000002</v>
      </c>
      <c r="F26" s="7">
        <v>1110</v>
      </c>
      <c r="G26" s="13">
        <f t="shared" si="1"/>
        <v>-792.00000000000023</v>
      </c>
      <c r="L26" s="13"/>
    </row>
    <row r="27" spans="1:12" x14ac:dyDescent="0.3">
      <c r="A27" s="7" t="s">
        <v>79</v>
      </c>
      <c r="B27" s="7" t="s">
        <v>2</v>
      </c>
      <c r="C27" s="7" cm="1">
        <f t="array" ref="C27">_xlfn.IFS(B27="25-50%",45,B27="50-75%",30,B27="last 25%",30,B27="Retire",0,B27="Top 25 %",60,B27="REST",30)</f>
        <v>45</v>
      </c>
      <c r="D27" s="13" cm="1">
        <f t="array" ref="D27">AVERAGE('SKU sales and Inventory'!D28:F28/30)</f>
        <v>50.6</v>
      </c>
      <c r="E27" s="13">
        <f t="shared" si="0"/>
        <v>2277</v>
      </c>
      <c r="F27" s="7">
        <v>3150</v>
      </c>
      <c r="G27" s="13">
        <f t="shared" si="1"/>
        <v>873</v>
      </c>
      <c r="L27" s="13"/>
    </row>
    <row r="28" spans="1:12" x14ac:dyDescent="0.3">
      <c r="A28" s="7" t="s">
        <v>80</v>
      </c>
      <c r="B28" s="7" t="s">
        <v>1</v>
      </c>
      <c r="C28" s="7" cm="1">
        <f t="array" ref="C28">_xlfn.IFS(B28="25-50%",45,B28="50-75%",30,B28="last 25%",30,B28="Retire",0,B28="Top 25 %",60,B28="REST",30)</f>
        <v>30</v>
      </c>
      <c r="D28" s="13" cm="1">
        <f t="array" ref="D28">AVERAGE('SKU sales and Inventory'!D29:F29/30)</f>
        <v>37.1</v>
      </c>
      <c r="E28" s="13">
        <f t="shared" si="0"/>
        <v>1113</v>
      </c>
      <c r="F28" s="7">
        <v>1026</v>
      </c>
      <c r="G28" s="13">
        <f t="shared" si="1"/>
        <v>-87</v>
      </c>
      <c r="L28" s="13"/>
    </row>
    <row r="29" spans="1:12" x14ac:dyDescent="0.3">
      <c r="A29" s="7" t="s">
        <v>81</v>
      </c>
      <c r="B29" s="7" t="s">
        <v>0</v>
      </c>
      <c r="C29" s="7" cm="1">
        <f t="array" ref="C29">_xlfn.IFS(B29="25-50%",45,B29="50-75%",30,B29="last 25%",30,B29="Retire",0,B29="Top 25 %",60,B29="REST",30)</f>
        <v>30</v>
      </c>
      <c r="D29" s="13" cm="1">
        <f t="array" ref="D29">AVERAGE('SKU sales and Inventory'!D30:F30/30)</f>
        <v>54.5</v>
      </c>
      <c r="E29" s="13">
        <f t="shared" si="0"/>
        <v>1635</v>
      </c>
      <c r="F29" s="7">
        <v>1410</v>
      </c>
      <c r="G29" s="13">
        <f t="shared" si="1"/>
        <v>-225</v>
      </c>
      <c r="L29" s="13"/>
    </row>
    <row r="30" spans="1:12" x14ac:dyDescent="0.3">
      <c r="A30" s="7" t="s">
        <v>82</v>
      </c>
      <c r="B30" s="7" t="s">
        <v>4</v>
      </c>
      <c r="C30" s="7" cm="1">
        <f t="array" ref="C30">_xlfn.IFS(B30="25-50%",45,B30="50-75%",30,B30="last 25%",30,B30="Retire",0,B30="Top 25 %",60,B30="REST",30)</f>
        <v>60</v>
      </c>
      <c r="D30" s="13" cm="1">
        <f t="array" ref="D30">AVERAGE('SKU sales and Inventory'!D31:F31/30)</f>
        <v>45.9</v>
      </c>
      <c r="E30" s="13">
        <f t="shared" si="0"/>
        <v>2754</v>
      </c>
      <c r="F30" s="7">
        <v>1335</v>
      </c>
      <c r="G30" s="13">
        <f t="shared" si="1"/>
        <v>-1419</v>
      </c>
      <c r="L30" s="13"/>
    </row>
    <row r="31" spans="1:12" x14ac:dyDescent="0.3">
      <c r="A31" s="7" t="s">
        <v>83</v>
      </c>
      <c r="B31" s="7" t="s">
        <v>0</v>
      </c>
      <c r="C31" s="7" cm="1">
        <f t="array" ref="C31">_xlfn.IFS(B31="25-50%",45,B31="50-75%",30,B31="last 25%",30,B31="Retire",0,B31="Top 25 %",60,B31="REST",30)</f>
        <v>30</v>
      </c>
      <c r="D31" s="13" cm="1">
        <f t="array" ref="D31">AVERAGE('SKU sales and Inventory'!D32:F32/30)</f>
        <v>17.399999999999999</v>
      </c>
      <c r="E31" s="13">
        <f t="shared" si="0"/>
        <v>522</v>
      </c>
      <c r="F31" s="7">
        <v>957</v>
      </c>
      <c r="G31" s="13">
        <f t="shared" si="1"/>
        <v>435</v>
      </c>
      <c r="L31" s="13"/>
    </row>
    <row r="32" spans="1:12" x14ac:dyDescent="0.3">
      <c r="A32" s="7" t="s">
        <v>84</v>
      </c>
      <c r="B32" s="7" t="s">
        <v>4</v>
      </c>
      <c r="C32" s="7" cm="1">
        <f t="array" ref="C32">_xlfn.IFS(B32="25-50%",45,B32="50-75%",30,B32="last 25%",30,B32="Retire",0,B32="Top 25 %",60,B32="REST",30)</f>
        <v>60</v>
      </c>
      <c r="D32" s="13" cm="1">
        <f t="array" ref="D32">AVERAGE('SKU sales and Inventory'!D33:F33/30)</f>
        <v>50.433333333333337</v>
      </c>
      <c r="E32" s="13">
        <f t="shared" si="0"/>
        <v>3026</v>
      </c>
      <c r="F32" s="7">
        <v>990</v>
      </c>
      <c r="G32" s="13">
        <f t="shared" si="1"/>
        <v>-2036</v>
      </c>
      <c r="L32" s="13"/>
    </row>
    <row r="33" spans="1:12" x14ac:dyDescent="0.3">
      <c r="A33" s="7" t="s">
        <v>85</v>
      </c>
      <c r="B33" s="7" t="s">
        <v>0</v>
      </c>
      <c r="C33" s="7" cm="1">
        <f t="array" ref="C33">_xlfn.IFS(B33="25-50%",45,B33="50-75%",30,B33="last 25%",30,B33="Retire",0,B33="Top 25 %",60,B33="REST",30)</f>
        <v>30</v>
      </c>
      <c r="D33" s="13" cm="1">
        <f t="array" ref="D33">AVERAGE('SKU sales and Inventory'!D34:F34/30)</f>
        <v>61.466666666666669</v>
      </c>
      <c r="E33" s="13">
        <f t="shared" si="0"/>
        <v>1844</v>
      </c>
      <c r="F33" s="7">
        <v>1971</v>
      </c>
      <c r="G33" s="13">
        <f t="shared" si="1"/>
        <v>127</v>
      </c>
      <c r="L33" s="13"/>
    </row>
    <row r="34" spans="1:12" x14ac:dyDescent="0.3">
      <c r="A34" s="7" t="s">
        <v>86</v>
      </c>
      <c r="B34" s="7" t="s">
        <v>4</v>
      </c>
      <c r="C34" s="7" cm="1">
        <f t="array" ref="C34">_xlfn.IFS(B34="25-50%",45,B34="50-75%",30,B34="last 25%",30,B34="Retire",0,B34="Top 25 %",60,B34="REST",30)</f>
        <v>60</v>
      </c>
      <c r="D34" s="13" cm="1">
        <f t="array" ref="D34">AVERAGE('SKU sales and Inventory'!D35:F35/30)</f>
        <v>44.5</v>
      </c>
      <c r="E34" s="13">
        <f t="shared" si="0"/>
        <v>2670</v>
      </c>
      <c r="F34" s="7">
        <v>1170</v>
      </c>
      <c r="G34" s="13">
        <f t="shared" si="1"/>
        <v>-1500</v>
      </c>
      <c r="L34" s="13"/>
    </row>
    <row r="35" spans="1:12" x14ac:dyDescent="0.3">
      <c r="A35" s="7" t="s">
        <v>87</v>
      </c>
      <c r="B35" s="7" t="s">
        <v>1</v>
      </c>
      <c r="C35" s="7" cm="1">
        <f t="array" ref="C35">_xlfn.IFS(B35="25-50%",45,B35="50-75%",30,B35="last 25%",30,B35="Retire",0,B35="Top 25 %",60,B35="REST",30)</f>
        <v>30</v>
      </c>
      <c r="D35" s="13" cm="1">
        <f t="array" ref="D35">AVERAGE('SKU sales and Inventory'!D36:F36/30)</f>
        <v>35.366666666666667</v>
      </c>
      <c r="E35" s="13">
        <f t="shared" si="0"/>
        <v>1061</v>
      </c>
      <c r="F35" s="7">
        <v>2781</v>
      </c>
      <c r="G35" s="13">
        <f t="shared" si="1"/>
        <v>1720</v>
      </c>
      <c r="L35" s="13"/>
    </row>
    <row r="36" spans="1:12" x14ac:dyDescent="0.3">
      <c r="A36" s="7" t="s">
        <v>88</v>
      </c>
      <c r="B36" s="7" t="s">
        <v>1</v>
      </c>
      <c r="C36" s="7" cm="1">
        <f t="array" ref="C36">_xlfn.IFS(B36="25-50%",45,B36="50-75%",30,B36="last 25%",30,B36="Retire",0,B36="Top 25 %",60,B36="REST",30)</f>
        <v>30</v>
      </c>
      <c r="D36" s="13" cm="1">
        <f t="array" ref="D36">AVERAGE('SKU sales and Inventory'!D37:F37/30)</f>
        <v>49.033333333333331</v>
      </c>
      <c r="E36" s="13">
        <f t="shared" si="0"/>
        <v>1471</v>
      </c>
      <c r="F36" s="7">
        <v>651</v>
      </c>
      <c r="G36" s="13">
        <f t="shared" si="1"/>
        <v>-820</v>
      </c>
      <c r="L36" s="13"/>
    </row>
    <row r="37" spans="1:12" x14ac:dyDescent="0.3">
      <c r="A37" s="7" t="s">
        <v>89</v>
      </c>
      <c r="B37" s="7" t="s">
        <v>4</v>
      </c>
      <c r="C37" s="7" cm="1">
        <f t="array" ref="C37">_xlfn.IFS(B37="25-50%",45,B37="50-75%",30,B37="last 25%",30,B37="Retire",0,B37="Top 25 %",60,B37="REST",30)</f>
        <v>60</v>
      </c>
      <c r="D37" s="13" cm="1">
        <f t="array" ref="D37">AVERAGE('SKU sales and Inventory'!D38:F38/30)</f>
        <v>40.666666666666664</v>
      </c>
      <c r="E37" s="13">
        <f t="shared" si="0"/>
        <v>2440</v>
      </c>
      <c r="F37" s="7">
        <v>4482</v>
      </c>
      <c r="G37" s="13">
        <f t="shared" si="1"/>
        <v>2042</v>
      </c>
      <c r="L37" s="13"/>
    </row>
    <row r="38" spans="1:12" x14ac:dyDescent="0.3">
      <c r="A38" s="7" t="s">
        <v>90</v>
      </c>
      <c r="B38" s="7" t="s">
        <v>2</v>
      </c>
      <c r="C38" s="7" cm="1">
        <f t="array" ref="C38">_xlfn.IFS(B38="25-50%",45,B38="50-75%",30,B38="last 25%",30,B38="Retire",0,B38="Top 25 %",60,B38="REST",30)</f>
        <v>45</v>
      </c>
      <c r="D38" s="13" cm="1">
        <f t="array" ref="D38">AVERAGE('SKU sales and Inventory'!D39:F39/30)</f>
        <v>32.266666666666659</v>
      </c>
      <c r="E38" s="13">
        <f t="shared" si="0"/>
        <v>1451.9999999999995</v>
      </c>
      <c r="F38" s="7">
        <v>18</v>
      </c>
      <c r="G38" s="13">
        <f t="shared" si="1"/>
        <v>-1433.9999999999995</v>
      </c>
      <c r="L38" s="13"/>
    </row>
    <row r="39" spans="1:12" x14ac:dyDescent="0.3">
      <c r="A39" s="7" t="s">
        <v>91</v>
      </c>
      <c r="B39" s="7" t="s">
        <v>0</v>
      </c>
      <c r="C39" s="7" cm="1">
        <f t="array" ref="C39">_xlfn.IFS(B39="25-50%",45,B39="50-75%",30,B39="last 25%",30,B39="Retire",0,B39="Top 25 %",60,B39="REST",30)</f>
        <v>30</v>
      </c>
      <c r="D39" s="13" cm="1">
        <f t="array" ref="D39">AVERAGE('SKU sales and Inventory'!D40:F40/30)</f>
        <v>37</v>
      </c>
      <c r="E39" s="13">
        <f t="shared" si="0"/>
        <v>1110</v>
      </c>
      <c r="F39" s="7">
        <v>768</v>
      </c>
      <c r="G39" s="13">
        <f t="shared" si="1"/>
        <v>-342</v>
      </c>
      <c r="L39" s="13"/>
    </row>
    <row r="40" spans="1:12" x14ac:dyDescent="0.3">
      <c r="A40" s="7" t="s">
        <v>92</v>
      </c>
      <c r="B40" s="7" t="s">
        <v>0</v>
      </c>
      <c r="C40" s="7" cm="1">
        <f t="array" ref="C40">_xlfn.IFS(B40="25-50%",45,B40="50-75%",30,B40="last 25%",30,B40="Retire",0,B40="Top 25 %",60,B40="REST",30)</f>
        <v>30</v>
      </c>
      <c r="D40" s="13" cm="1">
        <f t="array" ref="D40">AVERAGE('SKU sales and Inventory'!D41:F41/30)</f>
        <v>41.033333333333339</v>
      </c>
      <c r="E40" s="13">
        <f t="shared" si="0"/>
        <v>1231.0000000000002</v>
      </c>
      <c r="F40" s="7">
        <v>1578</v>
      </c>
      <c r="G40" s="13">
        <f t="shared" si="1"/>
        <v>346.99999999999977</v>
      </c>
      <c r="L40" s="13"/>
    </row>
    <row r="41" spans="1:12" x14ac:dyDescent="0.3">
      <c r="A41" s="7" t="s">
        <v>93</v>
      </c>
      <c r="B41" s="7" t="s">
        <v>2</v>
      </c>
      <c r="C41" s="7" cm="1">
        <f t="array" ref="C41">_xlfn.IFS(B41="25-50%",45,B41="50-75%",30,B41="last 25%",30,B41="Retire",0,B41="Top 25 %",60,B41="REST",30)</f>
        <v>45</v>
      </c>
      <c r="D41" s="13" cm="1">
        <f t="array" ref="D41">AVERAGE('SKU sales and Inventory'!D42:F42/30)</f>
        <v>47</v>
      </c>
      <c r="E41" s="13">
        <f t="shared" si="0"/>
        <v>2115</v>
      </c>
      <c r="F41" s="7">
        <v>2547</v>
      </c>
      <c r="G41" s="13">
        <f t="shared" si="1"/>
        <v>432</v>
      </c>
      <c r="L41" s="13"/>
    </row>
    <row r="42" spans="1:12" x14ac:dyDescent="0.3">
      <c r="A42" s="7" t="s">
        <v>94</v>
      </c>
      <c r="B42" s="7" t="s">
        <v>4</v>
      </c>
      <c r="C42" s="7" cm="1">
        <f t="array" ref="C42">_xlfn.IFS(B42="25-50%",45,B42="50-75%",30,B42="last 25%",30,B42="Retire",0,B42="Top 25 %",60,B42="REST",30)</f>
        <v>60</v>
      </c>
      <c r="D42" s="13" cm="1">
        <f t="array" ref="D42">AVERAGE('SKU sales and Inventory'!D43:F43/30)</f>
        <v>45.033333333333331</v>
      </c>
      <c r="E42" s="13">
        <f t="shared" si="0"/>
        <v>2702</v>
      </c>
      <c r="F42" s="7">
        <v>1305</v>
      </c>
      <c r="G42" s="13">
        <f t="shared" si="1"/>
        <v>-1397</v>
      </c>
      <c r="L42" s="13"/>
    </row>
    <row r="43" spans="1:12" x14ac:dyDescent="0.3">
      <c r="A43" s="7" t="s">
        <v>95</v>
      </c>
      <c r="B43" s="7" t="s">
        <v>4</v>
      </c>
      <c r="C43" s="7" cm="1">
        <f t="array" ref="C43">_xlfn.IFS(B43="25-50%",45,B43="50-75%",30,B43="last 25%",30,B43="Retire",0,B43="Top 25 %",60,B43="REST",30)</f>
        <v>60</v>
      </c>
      <c r="D43" s="13" cm="1">
        <f t="array" ref="D43">AVERAGE('SKU sales and Inventory'!D44:F44/30)</f>
        <v>44.300000000000004</v>
      </c>
      <c r="E43" s="13">
        <f t="shared" si="0"/>
        <v>2658.0000000000005</v>
      </c>
      <c r="F43" s="7">
        <v>423</v>
      </c>
      <c r="G43" s="13">
        <f t="shared" si="1"/>
        <v>-2235.0000000000005</v>
      </c>
      <c r="L43" s="13"/>
    </row>
    <row r="44" spans="1:12" x14ac:dyDescent="0.3">
      <c r="A44" s="7" t="s">
        <v>96</v>
      </c>
      <c r="B44" s="7" t="s">
        <v>0</v>
      </c>
      <c r="C44" s="7" cm="1">
        <f t="array" ref="C44">_xlfn.IFS(B44="25-50%",45,B44="50-75%",30,B44="last 25%",30,B44="Retire",0,B44="Top 25 %",60,B44="REST",30)</f>
        <v>30</v>
      </c>
      <c r="D44" s="13" cm="1">
        <f t="array" ref="D44">AVERAGE('SKU sales and Inventory'!D45:F45/30)</f>
        <v>20.033333333333335</v>
      </c>
      <c r="E44" s="13">
        <f t="shared" si="0"/>
        <v>601</v>
      </c>
      <c r="F44" s="7">
        <v>372</v>
      </c>
      <c r="G44" s="13">
        <f t="shared" si="1"/>
        <v>-229</v>
      </c>
      <c r="L44" s="13"/>
    </row>
    <row r="45" spans="1:12" x14ac:dyDescent="0.3">
      <c r="A45" s="7" t="s">
        <v>97</v>
      </c>
      <c r="B45" s="7" t="s">
        <v>1</v>
      </c>
      <c r="C45" s="7" cm="1">
        <f t="array" ref="C45">_xlfn.IFS(B45="25-50%",45,B45="50-75%",30,B45="last 25%",30,B45="Retire",0,B45="Top 25 %",60,B45="REST",30)</f>
        <v>30</v>
      </c>
      <c r="D45" s="13" cm="1">
        <f t="array" ref="D45">AVERAGE('SKU sales and Inventory'!D46:F46/30)</f>
        <v>44</v>
      </c>
      <c r="E45" s="13">
        <f t="shared" si="0"/>
        <v>1320</v>
      </c>
      <c r="F45" s="7">
        <v>276</v>
      </c>
      <c r="G45" s="13">
        <f t="shared" si="1"/>
        <v>-1044</v>
      </c>
      <c r="L45" s="13"/>
    </row>
    <row r="46" spans="1:12" x14ac:dyDescent="0.3">
      <c r="A46" s="7" t="s">
        <v>98</v>
      </c>
      <c r="B46" s="7" t="s">
        <v>0</v>
      </c>
      <c r="C46" s="7" cm="1">
        <f t="array" ref="C46">_xlfn.IFS(B46="25-50%",45,B46="50-75%",30,B46="last 25%",30,B46="Retire",0,B46="Top 25 %",60,B46="REST",30)</f>
        <v>30</v>
      </c>
      <c r="D46" s="13" cm="1">
        <f t="array" ref="D46">AVERAGE('SKU sales and Inventory'!D47:F47/30)</f>
        <v>18.766666666666666</v>
      </c>
      <c r="E46" s="13">
        <f t="shared" si="0"/>
        <v>563</v>
      </c>
      <c r="F46" s="7">
        <v>258</v>
      </c>
      <c r="G46" s="13">
        <f t="shared" si="1"/>
        <v>-305</v>
      </c>
      <c r="L46" s="13"/>
    </row>
    <row r="47" spans="1:12" x14ac:dyDescent="0.3">
      <c r="A47" s="7" t="s">
        <v>99</v>
      </c>
      <c r="B47" s="7" t="s">
        <v>2</v>
      </c>
      <c r="C47" s="7" cm="1">
        <f t="array" ref="C47">_xlfn.IFS(B47="25-50%",45,B47="50-75%",30,B47="last 25%",30,B47="Retire",0,B47="Top 25 %",60,B47="REST",30)</f>
        <v>45</v>
      </c>
      <c r="D47" s="13" cm="1">
        <f t="array" ref="D47">AVERAGE('SKU sales and Inventory'!D48:F48/30)</f>
        <v>33.766666666666673</v>
      </c>
      <c r="E47" s="13">
        <f t="shared" si="0"/>
        <v>1519.5000000000002</v>
      </c>
      <c r="F47" s="7">
        <v>1407</v>
      </c>
      <c r="G47" s="13">
        <f t="shared" si="1"/>
        <v>-112.50000000000023</v>
      </c>
      <c r="L47" s="13"/>
    </row>
    <row r="48" spans="1:12" x14ac:dyDescent="0.3">
      <c r="A48" s="7" t="s">
        <v>100</v>
      </c>
      <c r="B48" s="7" t="s">
        <v>0</v>
      </c>
      <c r="C48" s="7" cm="1">
        <f t="array" ref="C48">_xlfn.IFS(B48="25-50%",45,B48="50-75%",30,B48="last 25%",30,B48="Retire",0,B48="Top 25 %",60,B48="REST",30)</f>
        <v>30</v>
      </c>
      <c r="D48" s="13" cm="1">
        <f t="array" ref="D48">AVERAGE('SKU sales and Inventory'!D49:F49/30)</f>
        <v>26.8</v>
      </c>
      <c r="E48" s="13">
        <f t="shared" si="0"/>
        <v>804</v>
      </c>
      <c r="F48" s="7">
        <v>1857</v>
      </c>
      <c r="G48" s="13">
        <f t="shared" si="1"/>
        <v>1053</v>
      </c>
      <c r="L48" s="13"/>
    </row>
    <row r="49" spans="1:12" x14ac:dyDescent="0.3">
      <c r="A49" s="7" t="s">
        <v>101</v>
      </c>
      <c r="B49" s="7" t="s">
        <v>2</v>
      </c>
      <c r="C49" s="7" cm="1">
        <f t="array" ref="C49">_xlfn.IFS(B49="25-50%",45,B49="50-75%",30,B49="last 25%",30,B49="Retire",0,B49="Top 25 %",60,B49="REST",30)</f>
        <v>45</v>
      </c>
      <c r="D49" s="13" cm="1">
        <f t="array" ref="D49">AVERAGE('SKU sales and Inventory'!D50:F50/30)</f>
        <v>44.733333333333327</v>
      </c>
      <c r="E49" s="13">
        <f t="shared" si="0"/>
        <v>2012.9999999999998</v>
      </c>
      <c r="F49" s="7">
        <v>2382</v>
      </c>
      <c r="G49" s="13">
        <f t="shared" si="1"/>
        <v>369.00000000000023</v>
      </c>
      <c r="L49" s="13"/>
    </row>
    <row r="50" spans="1:12" x14ac:dyDescent="0.3">
      <c r="A50" s="7" t="s">
        <v>102</v>
      </c>
      <c r="B50" s="7" t="s">
        <v>2</v>
      </c>
      <c r="C50" s="7" cm="1">
        <f t="array" ref="C50">_xlfn.IFS(B50="25-50%",45,B50="50-75%",30,B50="last 25%",30,B50="Retire",0,B50="Top 25 %",60,B50="REST",30)</f>
        <v>45</v>
      </c>
      <c r="D50" s="13" cm="1">
        <f t="array" ref="D50">AVERAGE('SKU sales and Inventory'!D51:F51/30)</f>
        <v>33.966666666666661</v>
      </c>
      <c r="E50" s="13">
        <f t="shared" si="0"/>
        <v>1528.4999999999998</v>
      </c>
      <c r="F50" s="7">
        <v>915</v>
      </c>
      <c r="G50" s="13">
        <f t="shared" si="1"/>
        <v>-613.49999999999977</v>
      </c>
      <c r="L50" s="13"/>
    </row>
    <row r="51" spans="1:12" x14ac:dyDescent="0.3">
      <c r="A51" s="7" t="s">
        <v>103</v>
      </c>
      <c r="B51" s="7" t="s">
        <v>2</v>
      </c>
      <c r="C51" s="7" cm="1">
        <f t="array" ref="C51">_xlfn.IFS(B51="25-50%",45,B51="50-75%",30,B51="last 25%",30,B51="Retire",0,B51="Top 25 %",60,B51="REST",30)</f>
        <v>45</v>
      </c>
      <c r="D51" s="13" cm="1">
        <f t="array" ref="D51">AVERAGE('SKU sales and Inventory'!D52:F52/30)</f>
        <v>38.333333333333336</v>
      </c>
      <c r="E51" s="13">
        <f t="shared" si="0"/>
        <v>1725</v>
      </c>
      <c r="F51" s="7">
        <v>2328</v>
      </c>
      <c r="G51" s="13">
        <f t="shared" si="1"/>
        <v>603</v>
      </c>
      <c r="L51" s="13"/>
    </row>
    <row r="52" spans="1:12" x14ac:dyDescent="0.3">
      <c r="A52" s="7" t="s">
        <v>104</v>
      </c>
      <c r="B52" s="7" t="s">
        <v>4</v>
      </c>
      <c r="C52" s="7" cm="1">
        <f t="array" ref="C52">_xlfn.IFS(B52="25-50%",45,B52="50-75%",30,B52="last 25%",30,B52="Retire",0,B52="Top 25 %",60,B52="REST",30)</f>
        <v>60</v>
      </c>
      <c r="D52" s="13" cm="1">
        <f t="array" ref="D52">AVERAGE('SKU sales and Inventory'!D53:F53/30)</f>
        <v>39.466666666666669</v>
      </c>
      <c r="E52" s="13">
        <f t="shared" si="0"/>
        <v>2368</v>
      </c>
      <c r="F52" s="7">
        <v>684</v>
      </c>
      <c r="G52" s="13">
        <f t="shared" si="1"/>
        <v>-1684</v>
      </c>
      <c r="L52" s="13"/>
    </row>
    <row r="53" spans="1:12" x14ac:dyDescent="0.3">
      <c r="A53" s="7" t="s">
        <v>105</v>
      </c>
      <c r="B53" s="7" t="s">
        <v>2</v>
      </c>
      <c r="C53" s="7" cm="1">
        <f t="array" ref="C53">_xlfn.IFS(B53="25-50%",45,B53="50-75%",30,B53="last 25%",30,B53="Retire",0,B53="Top 25 %",60,B53="REST",30)</f>
        <v>45</v>
      </c>
      <c r="D53" s="13" cm="1">
        <f t="array" ref="D53">AVERAGE('SKU sales and Inventory'!D54:F54/30)</f>
        <v>42.06666666666667</v>
      </c>
      <c r="E53" s="13">
        <f t="shared" si="0"/>
        <v>1893.0000000000002</v>
      </c>
      <c r="F53" s="7">
        <v>2133</v>
      </c>
      <c r="G53" s="13">
        <f t="shared" si="1"/>
        <v>239.99999999999977</v>
      </c>
      <c r="L53" s="13"/>
    </row>
    <row r="54" spans="1:12" x14ac:dyDescent="0.3">
      <c r="A54" s="7" t="s">
        <v>106</v>
      </c>
      <c r="B54" s="7" t="s">
        <v>1</v>
      </c>
      <c r="C54" s="7" cm="1">
        <f t="array" ref="C54">_xlfn.IFS(B54="25-50%",45,B54="50-75%",30,B54="last 25%",30,B54="Retire",0,B54="Top 25 %",60,B54="REST",30)</f>
        <v>30</v>
      </c>
      <c r="D54" s="13" cm="1">
        <f t="array" ref="D54">AVERAGE('SKU sales and Inventory'!D55:F55/30)</f>
        <v>17.633333333333336</v>
      </c>
      <c r="E54" s="13">
        <f t="shared" si="0"/>
        <v>529.00000000000011</v>
      </c>
      <c r="F54" s="7">
        <v>213</v>
      </c>
      <c r="G54" s="13">
        <f t="shared" si="1"/>
        <v>-316.00000000000011</v>
      </c>
      <c r="L54" s="13"/>
    </row>
    <row r="55" spans="1:12" x14ac:dyDescent="0.3">
      <c r="A55" s="7" t="s">
        <v>107</v>
      </c>
      <c r="B55" s="7" t="s">
        <v>4</v>
      </c>
      <c r="C55" s="7" cm="1">
        <f t="array" ref="C55">_xlfn.IFS(B55="25-50%",45,B55="50-75%",30,B55="last 25%",30,B55="Retire",0,B55="Top 25 %",60,B55="REST",30)</f>
        <v>60</v>
      </c>
      <c r="D55" s="13" cm="1">
        <f t="array" ref="D55">AVERAGE('SKU sales and Inventory'!D56:F56/30)</f>
        <v>35.199999999999996</v>
      </c>
      <c r="E55" s="13">
        <f t="shared" si="0"/>
        <v>2111.9999999999995</v>
      </c>
      <c r="F55" s="7">
        <v>1788</v>
      </c>
      <c r="G55" s="13">
        <f t="shared" si="1"/>
        <v>-323.99999999999955</v>
      </c>
      <c r="L55" s="13"/>
    </row>
    <row r="56" spans="1:12" x14ac:dyDescent="0.3">
      <c r="A56" s="7" t="s">
        <v>108</v>
      </c>
      <c r="B56" s="7" t="s">
        <v>0</v>
      </c>
      <c r="C56" s="7" cm="1">
        <f t="array" ref="C56">_xlfn.IFS(B56="25-50%",45,B56="50-75%",30,B56="last 25%",30,B56="Retire",0,B56="Top 25 %",60,B56="REST",30)</f>
        <v>30</v>
      </c>
      <c r="D56" s="13" cm="1">
        <f t="array" ref="D56">AVERAGE('SKU sales and Inventory'!D57:F57/30)</f>
        <v>17.266666666666669</v>
      </c>
      <c r="E56" s="13">
        <f t="shared" si="0"/>
        <v>518.00000000000011</v>
      </c>
      <c r="F56" s="7">
        <v>258</v>
      </c>
      <c r="G56" s="13">
        <f t="shared" si="1"/>
        <v>-260.00000000000011</v>
      </c>
      <c r="L56" s="13"/>
    </row>
    <row r="57" spans="1:12" x14ac:dyDescent="0.3">
      <c r="A57" s="7" t="s">
        <v>109</v>
      </c>
      <c r="B57" s="7" t="s">
        <v>4</v>
      </c>
      <c r="C57" s="7" cm="1">
        <f t="array" ref="C57">_xlfn.IFS(B57="25-50%",45,B57="50-75%",30,B57="last 25%",30,B57="Retire",0,B57="Top 25 %",60,B57="REST",30)</f>
        <v>60</v>
      </c>
      <c r="D57" s="13" cm="1">
        <f t="array" ref="D57">AVERAGE('SKU sales and Inventory'!D58:F58/30)</f>
        <v>36.033333333333339</v>
      </c>
      <c r="E57" s="13">
        <f t="shared" si="0"/>
        <v>2162.0000000000005</v>
      </c>
      <c r="F57" s="7">
        <v>651</v>
      </c>
      <c r="G57" s="13">
        <f t="shared" si="1"/>
        <v>-1511.0000000000005</v>
      </c>
      <c r="L57" s="13"/>
    </row>
    <row r="58" spans="1:12" x14ac:dyDescent="0.3">
      <c r="A58" s="7" t="s">
        <v>110</v>
      </c>
      <c r="B58" s="7" t="s">
        <v>0</v>
      </c>
      <c r="C58" s="7" cm="1">
        <f t="array" ref="C58">_xlfn.IFS(B58="25-50%",45,B58="50-75%",30,B58="last 25%",30,B58="Retire",0,B58="Top 25 %",60,B58="REST",30)</f>
        <v>30</v>
      </c>
      <c r="D58" s="13" cm="1">
        <f t="array" ref="D58">AVERAGE('SKU sales and Inventory'!D59:F59/30)</f>
        <v>14.733333333333334</v>
      </c>
      <c r="E58" s="13">
        <f t="shared" si="0"/>
        <v>442</v>
      </c>
      <c r="F58" s="7">
        <v>216</v>
      </c>
      <c r="G58" s="13">
        <f t="shared" si="1"/>
        <v>-226</v>
      </c>
      <c r="L58" s="13"/>
    </row>
    <row r="59" spans="1:12" x14ac:dyDescent="0.3">
      <c r="A59" s="7" t="s">
        <v>111</v>
      </c>
      <c r="B59" s="7" t="s">
        <v>0</v>
      </c>
      <c r="C59" s="7" cm="1">
        <f t="array" ref="C59">_xlfn.IFS(B59="25-50%",45,B59="50-75%",30,B59="last 25%",30,B59="Retire",0,B59="Top 25 %",60,B59="REST",30)</f>
        <v>30</v>
      </c>
      <c r="D59" s="13" cm="1">
        <f t="array" ref="D59">AVERAGE('SKU sales and Inventory'!D60:F60/30)</f>
        <v>35.800000000000004</v>
      </c>
      <c r="E59" s="13">
        <f t="shared" si="0"/>
        <v>1074.0000000000002</v>
      </c>
      <c r="F59" s="7">
        <v>813</v>
      </c>
      <c r="G59" s="13">
        <f t="shared" si="1"/>
        <v>-261.00000000000023</v>
      </c>
      <c r="L59" s="13"/>
    </row>
    <row r="60" spans="1:12" x14ac:dyDescent="0.3">
      <c r="A60" s="7" t="s">
        <v>112</v>
      </c>
      <c r="B60" s="7" t="s">
        <v>0</v>
      </c>
      <c r="C60" s="7" cm="1">
        <f t="array" ref="C60">_xlfn.IFS(B60="25-50%",45,B60="50-75%",30,B60="last 25%",30,B60="Retire",0,B60="Top 25 %",60,B60="REST",30)</f>
        <v>30</v>
      </c>
      <c r="D60" s="13" cm="1">
        <f t="array" ref="D60">AVERAGE('SKU sales and Inventory'!D61:F61/30)</f>
        <v>39.800000000000004</v>
      </c>
      <c r="E60" s="13">
        <f t="shared" si="0"/>
        <v>1194.0000000000002</v>
      </c>
      <c r="F60" s="7">
        <v>1737</v>
      </c>
      <c r="G60" s="13">
        <f t="shared" si="1"/>
        <v>542.99999999999977</v>
      </c>
      <c r="L60" s="13"/>
    </row>
    <row r="61" spans="1:12" x14ac:dyDescent="0.3">
      <c r="A61" s="7" t="s">
        <v>113</v>
      </c>
      <c r="B61" s="7" t="s">
        <v>4</v>
      </c>
      <c r="C61" s="7" cm="1">
        <f t="array" ref="C61">_xlfn.IFS(B61="25-50%",45,B61="50-75%",30,B61="last 25%",30,B61="Retire",0,B61="Top 25 %",60,B61="REST",30)</f>
        <v>60</v>
      </c>
      <c r="D61" s="13" cm="1">
        <f t="array" ref="D61">AVERAGE('SKU sales and Inventory'!D62:F62/30)</f>
        <v>44.5</v>
      </c>
      <c r="E61" s="13">
        <f t="shared" si="0"/>
        <v>2670</v>
      </c>
      <c r="F61" s="7">
        <v>675</v>
      </c>
      <c r="G61" s="13">
        <f t="shared" si="1"/>
        <v>-1995</v>
      </c>
      <c r="L61" s="13"/>
    </row>
    <row r="62" spans="1:12" x14ac:dyDescent="0.3">
      <c r="A62" s="7" t="s">
        <v>114</v>
      </c>
      <c r="B62" s="7" t="s">
        <v>2</v>
      </c>
      <c r="C62" s="7" cm="1">
        <f t="array" ref="C62">_xlfn.IFS(B62="25-50%",45,B62="50-75%",30,B62="last 25%",30,B62="Retire",0,B62="Top 25 %",60,B62="REST",30)</f>
        <v>45</v>
      </c>
      <c r="D62" s="13" cm="1">
        <f t="array" ref="D62">AVERAGE('SKU sales and Inventory'!D63:F63/30)</f>
        <v>47.266666666666673</v>
      </c>
      <c r="E62" s="13">
        <f t="shared" si="0"/>
        <v>2127.0000000000005</v>
      </c>
      <c r="F62" s="7">
        <v>1539</v>
      </c>
      <c r="G62" s="13">
        <f t="shared" si="1"/>
        <v>-588.00000000000045</v>
      </c>
      <c r="L62" s="13"/>
    </row>
    <row r="63" spans="1:12" x14ac:dyDescent="0.3">
      <c r="A63" s="7" t="s">
        <v>115</v>
      </c>
      <c r="B63" s="7" t="s">
        <v>4</v>
      </c>
      <c r="C63" s="7" cm="1">
        <f t="array" ref="C63">_xlfn.IFS(B63="25-50%",45,B63="50-75%",30,B63="last 25%",30,B63="Retire",0,B63="Top 25 %",60,B63="REST",30)</f>
        <v>60</v>
      </c>
      <c r="D63" s="13" cm="1">
        <f t="array" ref="D63">AVERAGE('SKU sales and Inventory'!D64:F64/30)</f>
        <v>39.133333333333333</v>
      </c>
      <c r="E63" s="13">
        <f t="shared" si="0"/>
        <v>2348</v>
      </c>
      <c r="F63" s="7">
        <v>789</v>
      </c>
      <c r="G63" s="13">
        <f t="shared" si="1"/>
        <v>-1559</v>
      </c>
      <c r="L63" s="13"/>
    </row>
    <row r="64" spans="1:12" x14ac:dyDescent="0.3">
      <c r="A64" s="7" t="s">
        <v>116</v>
      </c>
      <c r="B64" s="7" t="s">
        <v>0</v>
      </c>
      <c r="C64" s="7" cm="1">
        <f t="array" ref="C64">_xlfn.IFS(B64="25-50%",45,B64="50-75%",30,B64="last 25%",30,B64="Retire",0,B64="Top 25 %",60,B64="REST",30)</f>
        <v>30</v>
      </c>
      <c r="D64" s="13" cm="1">
        <f t="array" ref="D64">AVERAGE('SKU sales and Inventory'!D65:F65/30)</f>
        <v>20.533333333333335</v>
      </c>
      <c r="E64" s="13">
        <f t="shared" si="0"/>
        <v>616</v>
      </c>
      <c r="F64" s="7">
        <v>555</v>
      </c>
      <c r="G64" s="13">
        <f t="shared" si="1"/>
        <v>-61</v>
      </c>
      <c r="L64" s="13"/>
    </row>
    <row r="65" spans="1:12" x14ac:dyDescent="0.3">
      <c r="A65" s="7" t="s">
        <v>117</v>
      </c>
      <c r="B65" s="7" t="s">
        <v>1</v>
      </c>
      <c r="C65" s="7" cm="1">
        <f t="array" ref="C65">_xlfn.IFS(B65="25-50%",45,B65="50-75%",30,B65="last 25%",30,B65="Retire",0,B65="Top 25 %",60,B65="REST",30)</f>
        <v>30</v>
      </c>
      <c r="D65" s="13" cm="1">
        <f t="array" ref="D65">AVERAGE('SKU sales and Inventory'!D66:F66/30)</f>
        <v>40.733333333333327</v>
      </c>
      <c r="E65" s="13">
        <f t="shared" si="0"/>
        <v>1221.9999999999998</v>
      </c>
      <c r="F65" s="7">
        <v>279</v>
      </c>
      <c r="G65" s="13">
        <f t="shared" si="1"/>
        <v>-942.99999999999977</v>
      </c>
      <c r="L65" s="13"/>
    </row>
    <row r="66" spans="1:12" x14ac:dyDescent="0.3">
      <c r="A66" s="7" t="s">
        <v>118</v>
      </c>
      <c r="B66" s="7" t="s">
        <v>2</v>
      </c>
      <c r="C66" s="7" cm="1">
        <f t="array" ref="C66">_xlfn.IFS(B66="25-50%",45,B66="50-75%",30,B66="last 25%",30,B66="Retire",0,B66="Top 25 %",60,B66="REST",30)</f>
        <v>45</v>
      </c>
      <c r="D66" s="13" cm="1">
        <f t="array" ref="D66">AVERAGE('SKU sales and Inventory'!D67:F67/30)</f>
        <v>43.266666666666673</v>
      </c>
      <c r="E66" s="13">
        <f t="shared" si="0"/>
        <v>1947.0000000000002</v>
      </c>
      <c r="F66" s="7">
        <v>6006</v>
      </c>
      <c r="G66" s="13">
        <f t="shared" si="1"/>
        <v>4059</v>
      </c>
      <c r="L66" s="13"/>
    </row>
    <row r="67" spans="1:12" x14ac:dyDescent="0.3">
      <c r="A67" s="7" t="s">
        <v>119</v>
      </c>
      <c r="B67" s="7" t="s">
        <v>2</v>
      </c>
      <c r="C67" s="7" cm="1">
        <f t="array" ref="C67">_xlfn.IFS(B67="25-50%",45,B67="50-75%",30,B67="last 25%",30,B67="Retire",0,B67="Top 25 %",60,B67="REST",30)</f>
        <v>45</v>
      </c>
      <c r="D67" s="13" cm="1">
        <f t="array" ref="D67">AVERAGE('SKU sales and Inventory'!D68:F68/30)</f>
        <v>38.799999999999997</v>
      </c>
      <c r="E67" s="13">
        <f t="shared" ref="E67:E130" si="2">D67*C67</f>
        <v>1745.9999999999998</v>
      </c>
      <c r="F67" s="7">
        <v>1380</v>
      </c>
      <c r="G67" s="13">
        <f t="shared" ref="G67:G130" si="3">F67-E67</f>
        <v>-365.99999999999977</v>
      </c>
      <c r="L67" s="13"/>
    </row>
    <row r="68" spans="1:12" x14ac:dyDescent="0.3">
      <c r="A68" s="7" t="s">
        <v>120</v>
      </c>
      <c r="B68" s="7" t="s">
        <v>2</v>
      </c>
      <c r="C68" s="7" cm="1">
        <f t="array" ref="C68">_xlfn.IFS(B68="25-50%",45,B68="50-75%",30,B68="last 25%",30,B68="Retire",0,B68="Top 25 %",60,B68="REST",30)</f>
        <v>45</v>
      </c>
      <c r="D68" s="13" cm="1">
        <f t="array" ref="D68">AVERAGE('SKU sales and Inventory'!D69:F69/30)</f>
        <v>30.866666666666664</v>
      </c>
      <c r="E68" s="13">
        <f t="shared" si="2"/>
        <v>1388.9999999999998</v>
      </c>
      <c r="F68" s="7">
        <v>1836</v>
      </c>
      <c r="G68" s="13">
        <f t="shared" si="3"/>
        <v>447.00000000000023</v>
      </c>
      <c r="L68" s="13"/>
    </row>
    <row r="69" spans="1:12" x14ac:dyDescent="0.3">
      <c r="A69" s="7" t="s">
        <v>121</v>
      </c>
      <c r="B69" s="7" t="s">
        <v>1</v>
      </c>
      <c r="C69" s="7" cm="1">
        <f t="array" ref="C69">_xlfn.IFS(B69="25-50%",45,B69="50-75%",30,B69="last 25%",30,B69="Retire",0,B69="Top 25 %",60,B69="REST",30)</f>
        <v>30</v>
      </c>
      <c r="D69" s="13" cm="1">
        <f t="array" ref="D69">AVERAGE('SKU sales and Inventory'!D70:F70/30)</f>
        <v>29.5</v>
      </c>
      <c r="E69" s="13">
        <f t="shared" si="2"/>
        <v>885</v>
      </c>
      <c r="F69" s="7">
        <v>2703</v>
      </c>
      <c r="G69" s="13">
        <f t="shared" si="3"/>
        <v>1818</v>
      </c>
      <c r="L69" s="13"/>
    </row>
    <row r="70" spans="1:12" x14ac:dyDescent="0.3">
      <c r="A70" s="7" t="s">
        <v>122</v>
      </c>
      <c r="B70" s="7" t="s">
        <v>1</v>
      </c>
      <c r="C70" s="7" cm="1">
        <f t="array" ref="C70">_xlfn.IFS(B70="25-50%",45,B70="50-75%",30,B70="last 25%",30,B70="Retire",0,B70="Top 25 %",60,B70="REST",30)</f>
        <v>30</v>
      </c>
      <c r="D70" s="13" cm="1">
        <f t="array" ref="D70">AVERAGE('SKU sales and Inventory'!D71:F71/30)</f>
        <v>44.733333333333327</v>
      </c>
      <c r="E70" s="13">
        <f t="shared" si="2"/>
        <v>1341.9999999999998</v>
      </c>
      <c r="F70" s="7">
        <v>1800</v>
      </c>
      <c r="G70" s="13">
        <f t="shared" si="3"/>
        <v>458.00000000000023</v>
      </c>
      <c r="L70" s="13"/>
    </row>
    <row r="71" spans="1:12" x14ac:dyDescent="0.3">
      <c r="A71" s="7" t="s">
        <v>123</v>
      </c>
      <c r="B71" s="7" t="s">
        <v>0</v>
      </c>
      <c r="C71" s="7" cm="1">
        <f t="array" ref="C71">_xlfn.IFS(B71="25-50%",45,B71="50-75%",30,B71="last 25%",30,B71="Retire",0,B71="Top 25 %",60,B71="REST",30)</f>
        <v>30</v>
      </c>
      <c r="D71" s="13" cm="1">
        <f t="array" ref="D71">AVERAGE('SKU sales and Inventory'!D72:F72/30)</f>
        <v>21.866666666666664</v>
      </c>
      <c r="E71" s="13">
        <f t="shared" si="2"/>
        <v>655.99999999999989</v>
      </c>
      <c r="F71" s="7">
        <v>126</v>
      </c>
      <c r="G71" s="13">
        <f t="shared" si="3"/>
        <v>-529.99999999999989</v>
      </c>
      <c r="L71" s="13"/>
    </row>
    <row r="72" spans="1:12" x14ac:dyDescent="0.3">
      <c r="A72" s="7" t="s">
        <v>124</v>
      </c>
      <c r="B72" s="7" t="s">
        <v>0</v>
      </c>
      <c r="C72" s="7" cm="1">
        <f t="array" ref="C72">_xlfn.IFS(B72="25-50%",45,B72="50-75%",30,B72="last 25%",30,B72="Retire",0,B72="Top 25 %",60,B72="REST",30)</f>
        <v>30</v>
      </c>
      <c r="D72" s="13" cm="1">
        <f t="array" ref="D72">AVERAGE('SKU sales and Inventory'!D73:F73/30)</f>
        <v>27.933333333333337</v>
      </c>
      <c r="E72" s="13">
        <f t="shared" si="2"/>
        <v>838.00000000000011</v>
      </c>
      <c r="F72" s="7">
        <v>708</v>
      </c>
      <c r="G72" s="13">
        <f t="shared" si="3"/>
        <v>-130.00000000000011</v>
      </c>
      <c r="L72" s="13"/>
    </row>
    <row r="73" spans="1:12" x14ac:dyDescent="0.3">
      <c r="A73" s="7" t="s">
        <v>125</v>
      </c>
      <c r="B73" s="7" t="s">
        <v>2</v>
      </c>
      <c r="C73" s="7" cm="1">
        <f t="array" ref="C73">_xlfn.IFS(B73="25-50%",45,B73="50-75%",30,B73="last 25%",30,B73="Retire",0,B73="Top 25 %",60,B73="REST",30)</f>
        <v>45</v>
      </c>
      <c r="D73" s="13" cm="1">
        <f t="array" ref="D73">AVERAGE('SKU sales and Inventory'!D74:F74/30)</f>
        <v>26.400000000000002</v>
      </c>
      <c r="E73" s="13">
        <f t="shared" si="2"/>
        <v>1188</v>
      </c>
      <c r="F73" s="7">
        <v>1023</v>
      </c>
      <c r="G73" s="13">
        <f t="shared" si="3"/>
        <v>-165</v>
      </c>
      <c r="L73" s="13"/>
    </row>
    <row r="74" spans="1:12" x14ac:dyDescent="0.3">
      <c r="A74" s="7" t="s">
        <v>126</v>
      </c>
      <c r="B74" s="7" t="s">
        <v>4</v>
      </c>
      <c r="C74" s="7" cm="1">
        <f t="array" ref="C74">_xlfn.IFS(B74="25-50%",45,B74="50-75%",30,B74="last 25%",30,B74="Retire",0,B74="Top 25 %",60,B74="REST",30)</f>
        <v>60</v>
      </c>
      <c r="D74" s="13" cm="1">
        <f t="array" ref="D74">AVERAGE('SKU sales and Inventory'!D75:F75/30)</f>
        <v>32.4</v>
      </c>
      <c r="E74" s="13">
        <f t="shared" si="2"/>
        <v>1944</v>
      </c>
      <c r="F74" s="7">
        <v>606</v>
      </c>
      <c r="G74" s="13">
        <f t="shared" si="3"/>
        <v>-1338</v>
      </c>
      <c r="L74" s="13"/>
    </row>
    <row r="75" spans="1:12" x14ac:dyDescent="0.3">
      <c r="A75" s="7" t="s">
        <v>127</v>
      </c>
      <c r="B75" s="7" t="s">
        <v>0</v>
      </c>
      <c r="C75" s="7" cm="1">
        <f t="array" ref="C75">_xlfn.IFS(B75="25-50%",45,B75="50-75%",30,B75="last 25%",30,B75="Retire",0,B75="Top 25 %",60,B75="REST",30)</f>
        <v>30</v>
      </c>
      <c r="D75" s="13" cm="1">
        <f t="array" ref="D75">AVERAGE('SKU sales and Inventory'!D76:F76/30)</f>
        <v>20.966666666666665</v>
      </c>
      <c r="E75" s="13">
        <f t="shared" si="2"/>
        <v>629</v>
      </c>
      <c r="F75" s="7">
        <v>555</v>
      </c>
      <c r="G75" s="13">
        <f t="shared" si="3"/>
        <v>-74</v>
      </c>
      <c r="L75" s="13"/>
    </row>
    <row r="76" spans="1:12" x14ac:dyDescent="0.3">
      <c r="A76" s="7" t="s">
        <v>128</v>
      </c>
      <c r="B76" s="7" t="s">
        <v>1</v>
      </c>
      <c r="C76" s="7" cm="1">
        <f t="array" ref="C76">_xlfn.IFS(B76="25-50%",45,B76="50-75%",30,B76="last 25%",30,B76="Retire",0,B76="Top 25 %",60,B76="REST",30)</f>
        <v>30</v>
      </c>
      <c r="D76" s="13" cm="1">
        <f t="array" ref="D76">AVERAGE('SKU sales and Inventory'!D77:F77/30)</f>
        <v>23.8</v>
      </c>
      <c r="E76" s="13">
        <f t="shared" si="2"/>
        <v>714</v>
      </c>
      <c r="F76" s="7">
        <v>1365</v>
      </c>
      <c r="G76" s="13">
        <f t="shared" si="3"/>
        <v>651</v>
      </c>
      <c r="L76" s="13"/>
    </row>
    <row r="77" spans="1:12" x14ac:dyDescent="0.3">
      <c r="A77" s="7" t="s">
        <v>129</v>
      </c>
      <c r="B77" s="7" t="s">
        <v>0</v>
      </c>
      <c r="C77" s="7" cm="1">
        <f t="array" ref="C77">_xlfn.IFS(B77="25-50%",45,B77="50-75%",30,B77="last 25%",30,B77="Retire",0,B77="Top 25 %",60,B77="REST",30)</f>
        <v>30</v>
      </c>
      <c r="D77" s="13" cm="1">
        <f t="array" ref="D77">AVERAGE('SKU sales and Inventory'!D78:F78/30)</f>
        <v>22.833333333333332</v>
      </c>
      <c r="E77" s="13">
        <f t="shared" si="2"/>
        <v>685</v>
      </c>
      <c r="F77" s="7">
        <v>855</v>
      </c>
      <c r="G77" s="13">
        <f t="shared" si="3"/>
        <v>170</v>
      </c>
      <c r="L77" s="13"/>
    </row>
    <row r="78" spans="1:12" x14ac:dyDescent="0.3">
      <c r="A78" s="7" t="s">
        <v>130</v>
      </c>
      <c r="B78" s="7" t="s">
        <v>1</v>
      </c>
      <c r="C78" s="7" cm="1">
        <f t="array" ref="C78">_xlfn.IFS(B78="25-50%",45,B78="50-75%",30,B78="last 25%",30,B78="Retire",0,B78="Top 25 %",60,B78="REST",30)</f>
        <v>30</v>
      </c>
      <c r="D78" s="13" cm="1">
        <f t="array" ref="D78">AVERAGE('SKU sales and Inventory'!D79:F79/30)</f>
        <v>23.333333333333332</v>
      </c>
      <c r="E78" s="13">
        <f t="shared" si="2"/>
        <v>700</v>
      </c>
      <c r="F78" s="7">
        <v>240</v>
      </c>
      <c r="G78" s="13">
        <f t="shared" si="3"/>
        <v>-460</v>
      </c>
      <c r="L78" s="13"/>
    </row>
    <row r="79" spans="1:12" x14ac:dyDescent="0.3">
      <c r="A79" s="7" t="s">
        <v>131</v>
      </c>
      <c r="B79" s="7" t="s">
        <v>1</v>
      </c>
      <c r="C79" s="7" cm="1">
        <f t="array" ref="C79">_xlfn.IFS(B79="25-50%",45,B79="50-75%",30,B79="last 25%",30,B79="Retire",0,B79="Top 25 %",60,B79="REST",30)</f>
        <v>30</v>
      </c>
      <c r="D79" s="13" cm="1">
        <f t="array" ref="D79">AVERAGE('SKU sales and Inventory'!D80:F80/30)</f>
        <v>14.200000000000001</v>
      </c>
      <c r="E79" s="13">
        <f t="shared" si="2"/>
        <v>426.00000000000006</v>
      </c>
      <c r="F79" s="7">
        <v>1602</v>
      </c>
      <c r="G79" s="13">
        <f t="shared" si="3"/>
        <v>1176</v>
      </c>
      <c r="L79" s="13"/>
    </row>
    <row r="80" spans="1:12" x14ac:dyDescent="0.3">
      <c r="A80" s="7" t="s">
        <v>132</v>
      </c>
      <c r="B80" s="7" t="s">
        <v>2</v>
      </c>
      <c r="C80" s="7" cm="1">
        <f t="array" ref="C80">_xlfn.IFS(B80="25-50%",45,B80="50-75%",30,B80="last 25%",30,B80="Retire",0,B80="Top 25 %",60,B80="REST",30)</f>
        <v>45</v>
      </c>
      <c r="D80" s="13" cm="1">
        <f t="array" ref="D80">AVERAGE('SKU sales and Inventory'!D81:F81/30)</f>
        <v>28.2</v>
      </c>
      <c r="E80" s="13">
        <f t="shared" si="2"/>
        <v>1269</v>
      </c>
      <c r="F80" s="7">
        <v>579</v>
      </c>
      <c r="G80" s="13">
        <f t="shared" si="3"/>
        <v>-690</v>
      </c>
      <c r="L80" s="13"/>
    </row>
    <row r="81" spans="1:12" x14ac:dyDescent="0.3">
      <c r="A81" s="7" t="s">
        <v>133</v>
      </c>
      <c r="B81" s="7" t="s">
        <v>0</v>
      </c>
      <c r="C81" s="7" cm="1">
        <f t="array" ref="C81">_xlfn.IFS(B81="25-50%",45,B81="50-75%",30,B81="last 25%",30,B81="Retire",0,B81="Top 25 %",60,B81="REST",30)</f>
        <v>30</v>
      </c>
      <c r="D81" s="13" cm="1">
        <f t="array" ref="D81">AVERAGE('SKU sales and Inventory'!D82:F82/30)</f>
        <v>20.766666666666666</v>
      </c>
      <c r="E81" s="13">
        <f t="shared" si="2"/>
        <v>623</v>
      </c>
      <c r="F81" s="7">
        <v>243</v>
      </c>
      <c r="G81" s="13">
        <f t="shared" si="3"/>
        <v>-380</v>
      </c>
      <c r="L81" s="13"/>
    </row>
    <row r="82" spans="1:12" x14ac:dyDescent="0.3">
      <c r="A82" s="7" t="s">
        <v>134</v>
      </c>
      <c r="B82" s="7" t="s">
        <v>0</v>
      </c>
      <c r="C82" s="7" cm="1">
        <f t="array" ref="C82">_xlfn.IFS(B82="25-50%",45,B82="50-75%",30,B82="last 25%",30,B82="Retire",0,B82="Top 25 %",60,B82="REST",30)</f>
        <v>30</v>
      </c>
      <c r="D82" s="13" cm="1">
        <f t="array" ref="D82">AVERAGE('SKU sales and Inventory'!D83:F83/30)</f>
        <v>14.833333333333334</v>
      </c>
      <c r="E82" s="13">
        <f t="shared" si="2"/>
        <v>445</v>
      </c>
      <c r="F82" s="7">
        <v>702</v>
      </c>
      <c r="G82" s="13">
        <f t="shared" si="3"/>
        <v>257</v>
      </c>
      <c r="L82" s="13"/>
    </row>
    <row r="83" spans="1:12" x14ac:dyDescent="0.3">
      <c r="A83" s="7" t="s">
        <v>135</v>
      </c>
      <c r="B83" s="7" t="s">
        <v>0</v>
      </c>
      <c r="C83" s="7" cm="1">
        <f t="array" ref="C83">_xlfn.IFS(B83="25-50%",45,B83="50-75%",30,B83="last 25%",30,B83="Retire",0,B83="Top 25 %",60,B83="REST",30)</f>
        <v>30</v>
      </c>
      <c r="D83" s="13" cm="1">
        <f t="array" ref="D83">AVERAGE('SKU sales and Inventory'!D84:F84/30)</f>
        <v>16.399999999999999</v>
      </c>
      <c r="E83" s="13">
        <f t="shared" si="2"/>
        <v>491.99999999999994</v>
      </c>
      <c r="F83" s="7">
        <v>747</v>
      </c>
      <c r="G83" s="13">
        <f t="shared" si="3"/>
        <v>255.00000000000006</v>
      </c>
      <c r="L83" s="13"/>
    </row>
    <row r="84" spans="1:12" x14ac:dyDescent="0.3">
      <c r="A84" s="7" t="s">
        <v>136</v>
      </c>
      <c r="B84" s="7" t="s">
        <v>1</v>
      </c>
      <c r="C84" s="7" cm="1">
        <f t="array" ref="C84">_xlfn.IFS(B84="25-50%",45,B84="50-75%",30,B84="last 25%",30,B84="Retire",0,B84="Top 25 %",60,B84="REST",30)</f>
        <v>30</v>
      </c>
      <c r="D84" s="13" cm="1">
        <f t="array" ref="D84">AVERAGE('SKU sales and Inventory'!D85:F85/30)</f>
        <v>19.033333333333331</v>
      </c>
      <c r="E84" s="13">
        <f t="shared" si="2"/>
        <v>571</v>
      </c>
      <c r="F84" s="7">
        <v>1851</v>
      </c>
      <c r="G84" s="13">
        <f t="shared" si="3"/>
        <v>1280</v>
      </c>
      <c r="L84" s="13"/>
    </row>
    <row r="85" spans="1:12" x14ac:dyDescent="0.3">
      <c r="A85" s="7" t="s">
        <v>137</v>
      </c>
      <c r="B85" s="7" t="s">
        <v>1</v>
      </c>
      <c r="C85" s="7" cm="1">
        <f t="array" ref="C85">_xlfn.IFS(B85="25-50%",45,B85="50-75%",30,B85="last 25%",30,B85="Retire",0,B85="Top 25 %",60,B85="REST",30)</f>
        <v>30</v>
      </c>
      <c r="D85" s="13" cm="1">
        <f t="array" ref="D85">AVERAGE('SKU sales and Inventory'!D86:F86/30)</f>
        <v>26.666666666666668</v>
      </c>
      <c r="E85" s="13">
        <f t="shared" si="2"/>
        <v>800</v>
      </c>
      <c r="F85" s="7">
        <v>786</v>
      </c>
      <c r="G85" s="13">
        <f t="shared" si="3"/>
        <v>-14</v>
      </c>
      <c r="L85" s="13"/>
    </row>
    <row r="86" spans="1:12" x14ac:dyDescent="0.3">
      <c r="A86" s="7" t="s">
        <v>138</v>
      </c>
      <c r="B86" s="7" t="s">
        <v>0</v>
      </c>
      <c r="C86" s="7" cm="1">
        <f t="array" ref="C86">_xlfn.IFS(B86="25-50%",45,B86="50-75%",30,B86="last 25%",30,B86="Retire",0,B86="Top 25 %",60,B86="REST",30)</f>
        <v>30</v>
      </c>
      <c r="D86" s="13" cm="1">
        <f t="array" ref="D86">AVERAGE('SKU sales and Inventory'!D87:F87/30)</f>
        <v>19.766666666666666</v>
      </c>
      <c r="E86" s="13">
        <f t="shared" si="2"/>
        <v>593</v>
      </c>
      <c r="F86" s="7">
        <v>522</v>
      </c>
      <c r="G86" s="13">
        <f t="shared" si="3"/>
        <v>-71</v>
      </c>
      <c r="L86" s="13"/>
    </row>
    <row r="87" spans="1:12" x14ac:dyDescent="0.3">
      <c r="A87" s="7" t="s">
        <v>139</v>
      </c>
      <c r="B87" s="7" t="s">
        <v>0</v>
      </c>
      <c r="C87" s="7" cm="1">
        <f t="array" ref="C87">_xlfn.IFS(B87="25-50%",45,B87="50-75%",30,B87="last 25%",30,B87="Retire",0,B87="Top 25 %",60,B87="REST",30)</f>
        <v>30</v>
      </c>
      <c r="D87" s="13" cm="1">
        <f t="array" ref="D87">AVERAGE('SKU sales and Inventory'!D88:F88/30)</f>
        <v>12.200000000000001</v>
      </c>
      <c r="E87" s="13">
        <f t="shared" si="2"/>
        <v>366.00000000000006</v>
      </c>
      <c r="F87" s="7">
        <v>501</v>
      </c>
      <c r="G87" s="13">
        <f t="shared" si="3"/>
        <v>134.99999999999994</v>
      </c>
      <c r="L87" s="13"/>
    </row>
    <row r="88" spans="1:12" x14ac:dyDescent="0.3">
      <c r="A88" s="7" t="s">
        <v>140</v>
      </c>
      <c r="B88" s="7" t="s">
        <v>2</v>
      </c>
      <c r="C88" s="7" cm="1">
        <f t="array" ref="C88">_xlfn.IFS(B88="25-50%",45,B88="50-75%",30,B88="last 25%",30,B88="Retire",0,B88="Top 25 %",60,B88="REST",30)</f>
        <v>45</v>
      </c>
      <c r="D88" s="13" cm="1">
        <f t="array" ref="D88">AVERAGE('SKU sales and Inventory'!D89:F89/30)</f>
        <v>27.7</v>
      </c>
      <c r="E88" s="13">
        <f t="shared" si="2"/>
        <v>1246.5</v>
      </c>
      <c r="F88" s="7">
        <v>3450</v>
      </c>
      <c r="G88" s="13">
        <f t="shared" si="3"/>
        <v>2203.5</v>
      </c>
      <c r="L88" s="13"/>
    </row>
    <row r="89" spans="1:12" x14ac:dyDescent="0.3">
      <c r="A89" s="7" t="s">
        <v>141</v>
      </c>
      <c r="B89" s="7" t="s">
        <v>0</v>
      </c>
      <c r="C89" s="7" cm="1">
        <f t="array" ref="C89">_xlfn.IFS(B89="25-50%",45,B89="50-75%",30,B89="last 25%",30,B89="Retire",0,B89="Top 25 %",60,B89="REST",30)</f>
        <v>30</v>
      </c>
      <c r="D89" s="13" cm="1">
        <f t="array" ref="D89">AVERAGE('SKU sales and Inventory'!D90:F90/30)</f>
        <v>23.3</v>
      </c>
      <c r="E89" s="13">
        <f t="shared" si="2"/>
        <v>699</v>
      </c>
      <c r="F89" s="7">
        <v>45</v>
      </c>
      <c r="G89" s="13">
        <f t="shared" si="3"/>
        <v>-654</v>
      </c>
      <c r="L89" s="13"/>
    </row>
    <row r="90" spans="1:12" x14ac:dyDescent="0.3">
      <c r="A90" s="7" t="s">
        <v>142</v>
      </c>
      <c r="B90" s="7" t="s">
        <v>0</v>
      </c>
      <c r="C90" s="7" cm="1">
        <f t="array" ref="C90">_xlfn.IFS(B90="25-50%",45,B90="50-75%",30,B90="last 25%",30,B90="Retire",0,B90="Top 25 %",60,B90="REST",30)</f>
        <v>30</v>
      </c>
      <c r="D90" s="13" cm="1">
        <f t="array" ref="D90">AVERAGE('SKU sales and Inventory'!D91:F91/30)</f>
        <v>6.0333333333333341</v>
      </c>
      <c r="E90" s="13">
        <f t="shared" si="2"/>
        <v>181.00000000000003</v>
      </c>
      <c r="F90" s="7">
        <v>1461</v>
      </c>
      <c r="G90" s="13">
        <f t="shared" si="3"/>
        <v>1280</v>
      </c>
      <c r="L90" s="13"/>
    </row>
    <row r="91" spans="1:12" x14ac:dyDescent="0.3">
      <c r="A91" s="7" t="s">
        <v>143</v>
      </c>
      <c r="B91" s="7" t="s">
        <v>4</v>
      </c>
      <c r="C91" s="7" cm="1">
        <f t="array" ref="C91">_xlfn.IFS(B91="25-50%",45,B91="50-75%",30,B91="last 25%",30,B91="Retire",0,B91="Top 25 %",60,B91="REST",30)</f>
        <v>60</v>
      </c>
      <c r="D91" s="13" cm="1">
        <f t="array" ref="D91">AVERAGE('SKU sales and Inventory'!D92:F92/30)</f>
        <v>15.133333333333333</v>
      </c>
      <c r="E91" s="13">
        <f t="shared" si="2"/>
        <v>908</v>
      </c>
      <c r="F91" s="7">
        <v>471</v>
      </c>
      <c r="G91" s="13">
        <f t="shared" si="3"/>
        <v>-437</v>
      </c>
      <c r="L91" s="13"/>
    </row>
    <row r="92" spans="1:12" x14ac:dyDescent="0.3">
      <c r="A92" s="7" t="s">
        <v>144</v>
      </c>
      <c r="B92" s="7" t="s">
        <v>2</v>
      </c>
      <c r="C92" s="7" cm="1">
        <f t="array" ref="C92">_xlfn.IFS(B92="25-50%",45,B92="50-75%",30,B92="last 25%",30,B92="Retire",0,B92="Top 25 %",60,B92="REST",30)</f>
        <v>45</v>
      </c>
      <c r="D92" s="13" cm="1">
        <f t="array" ref="D92">AVERAGE('SKU sales and Inventory'!D93:F93/30)</f>
        <v>31.099999999999998</v>
      </c>
      <c r="E92" s="13">
        <f t="shared" si="2"/>
        <v>1399.5</v>
      </c>
      <c r="F92" s="7">
        <v>630</v>
      </c>
      <c r="G92" s="13">
        <f t="shared" si="3"/>
        <v>-769.5</v>
      </c>
      <c r="L92" s="13"/>
    </row>
    <row r="93" spans="1:12" x14ac:dyDescent="0.3">
      <c r="A93" s="7" t="s">
        <v>145</v>
      </c>
      <c r="B93" s="7" t="s">
        <v>2</v>
      </c>
      <c r="C93" s="7" cm="1">
        <f t="array" ref="C93">_xlfn.IFS(B93="25-50%",45,B93="50-75%",30,B93="last 25%",30,B93="Retire",0,B93="Top 25 %",60,B93="REST",30)</f>
        <v>45</v>
      </c>
      <c r="D93" s="13" cm="1">
        <f t="array" ref="D93">AVERAGE('SKU sales and Inventory'!D94:F94/30)</f>
        <v>24.033333333333331</v>
      </c>
      <c r="E93" s="13">
        <f t="shared" si="2"/>
        <v>1081.5</v>
      </c>
      <c r="F93" s="7">
        <v>1245</v>
      </c>
      <c r="G93" s="13">
        <f t="shared" si="3"/>
        <v>163.5</v>
      </c>
      <c r="L93" s="13"/>
    </row>
    <row r="94" spans="1:12" x14ac:dyDescent="0.3">
      <c r="A94" s="7" t="s">
        <v>146</v>
      </c>
      <c r="B94" s="7" t="s">
        <v>1</v>
      </c>
      <c r="C94" s="7" cm="1">
        <f t="array" ref="C94">_xlfn.IFS(B94="25-50%",45,B94="50-75%",30,B94="last 25%",30,B94="Retire",0,B94="Top 25 %",60,B94="REST",30)</f>
        <v>30</v>
      </c>
      <c r="D94" s="13" cm="1">
        <f t="array" ref="D94">AVERAGE('SKU sales and Inventory'!D95:F95/30)</f>
        <v>17.766666666666666</v>
      </c>
      <c r="E94" s="13">
        <f t="shared" si="2"/>
        <v>533</v>
      </c>
      <c r="F94" s="7">
        <v>1200</v>
      </c>
      <c r="G94" s="13">
        <f t="shared" si="3"/>
        <v>667</v>
      </c>
      <c r="L94" s="13"/>
    </row>
    <row r="95" spans="1:12" x14ac:dyDescent="0.3">
      <c r="A95" s="7" t="s">
        <v>147</v>
      </c>
      <c r="B95" s="7" t="s">
        <v>2</v>
      </c>
      <c r="C95" s="7" cm="1">
        <f t="array" ref="C95">_xlfn.IFS(B95="25-50%",45,B95="50-75%",30,B95="last 25%",30,B95="Retire",0,B95="Top 25 %",60,B95="REST",30)</f>
        <v>45</v>
      </c>
      <c r="D95" s="13" cm="1">
        <f t="array" ref="D95">AVERAGE('SKU sales and Inventory'!D96:F96/30)</f>
        <v>25.5</v>
      </c>
      <c r="E95" s="13">
        <f t="shared" si="2"/>
        <v>1147.5</v>
      </c>
      <c r="F95" s="7">
        <v>1470</v>
      </c>
      <c r="G95" s="13">
        <f t="shared" si="3"/>
        <v>322.5</v>
      </c>
      <c r="L95" s="13"/>
    </row>
    <row r="96" spans="1:12" x14ac:dyDescent="0.3">
      <c r="A96" s="7" t="s">
        <v>148</v>
      </c>
      <c r="B96" s="7" t="s">
        <v>2</v>
      </c>
      <c r="C96" s="7" cm="1">
        <f t="array" ref="C96">_xlfn.IFS(B96="25-50%",45,B96="50-75%",30,B96="last 25%",30,B96="Retire",0,B96="Top 25 %",60,B96="REST",30)</f>
        <v>45</v>
      </c>
      <c r="D96" s="13" cm="1">
        <f t="array" ref="D96">AVERAGE('SKU sales and Inventory'!D97:F97/30)</f>
        <v>23.833333333333332</v>
      </c>
      <c r="E96" s="13">
        <f t="shared" si="2"/>
        <v>1072.5</v>
      </c>
      <c r="F96" s="7">
        <v>714</v>
      </c>
      <c r="G96" s="13">
        <f t="shared" si="3"/>
        <v>-358.5</v>
      </c>
      <c r="L96" s="13"/>
    </row>
    <row r="97" spans="1:12" x14ac:dyDescent="0.3">
      <c r="A97" s="7" t="s">
        <v>149</v>
      </c>
      <c r="B97" s="7" t="s">
        <v>0</v>
      </c>
      <c r="C97" s="7" cm="1">
        <f t="array" ref="C97">_xlfn.IFS(B97="25-50%",45,B97="50-75%",30,B97="last 25%",30,B97="Retire",0,B97="Top 25 %",60,B97="REST",30)</f>
        <v>30</v>
      </c>
      <c r="D97" s="13" cm="1">
        <f t="array" ref="D97">AVERAGE('SKU sales and Inventory'!D98:F98/30)</f>
        <v>20.500000000000004</v>
      </c>
      <c r="E97" s="13">
        <f t="shared" si="2"/>
        <v>615.00000000000011</v>
      </c>
      <c r="F97" s="7">
        <v>1203</v>
      </c>
      <c r="G97" s="13">
        <f t="shared" si="3"/>
        <v>587.99999999999989</v>
      </c>
      <c r="L97" s="13"/>
    </row>
    <row r="98" spans="1:12" x14ac:dyDescent="0.3">
      <c r="A98" s="7" t="s">
        <v>150</v>
      </c>
      <c r="B98" s="7" t="s">
        <v>0</v>
      </c>
      <c r="C98" s="7" cm="1">
        <f t="array" ref="C98">_xlfn.IFS(B98="25-50%",45,B98="50-75%",30,B98="last 25%",30,B98="Retire",0,B98="Top 25 %",60,B98="REST",30)</f>
        <v>30</v>
      </c>
      <c r="D98" s="13" cm="1">
        <f t="array" ref="D98">AVERAGE('SKU sales and Inventory'!D99:F99/30)</f>
        <v>21.333333333333332</v>
      </c>
      <c r="E98" s="13">
        <f t="shared" si="2"/>
        <v>640</v>
      </c>
      <c r="F98" s="7">
        <v>1026</v>
      </c>
      <c r="G98" s="13">
        <f t="shared" si="3"/>
        <v>386</v>
      </c>
      <c r="L98" s="13"/>
    </row>
    <row r="99" spans="1:12" x14ac:dyDescent="0.3">
      <c r="A99" s="7" t="s">
        <v>151</v>
      </c>
      <c r="B99" s="7" t="s">
        <v>0</v>
      </c>
      <c r="C99" s="7" cm="1">
        <f t="array" ref="C99">_xlfn.IFS(B99="25-50%",45,B99="50-75%",30,B99="last 25%",30,B99="Retire",0,B99="Top 25 %",60,B99="REST",30)</f>
        <v>30</v>
      </c>
      <c r="D99" s="13" cm="1">
        <f t="array" ref="D99">AVERAGE('SKU sales and Inventory'!D100:F100/30)</f>
        <v>20.2</v>
      </c>
      <c r="E99" s="13">
        <f t="shared" si="2"/>
        <v>606</v>
      </c>
      <c r="F99" s="7">
        <v>678</v>
      </c>
      <c r="G99" s="13">
        <f t="shared" si="3"/>
        <v>72</v>
      </c>
      <c r="L99" s="13"/>
    </row>
    <row r="100" spans="1:12" x14ac:dyDescent="0.3">
      <c r="A100" s="7" t="s">
        <v>152</v>
      </c>
      <c r="B100" s="7" t="s">
        <v>2</v>
      </c>
      <c r="C100" s="7" cm="1">
        <f t="array" ref="C100">_xlfn.IFS(B100="25-50%",45,B100="50-75%",30,B100="last 25%",30,B100="Retire",0,B100="Top 25 %",60,B100="REST",30)</f>
        <v>45</v>
      </c>
      <c r="D100" s="13" cm="1">
        <f t="array" ref="D100">AVERAGE('SKU sales and Inventory'!D101:F101/30)</f>
        <v>21.5</v>
      </c>
      <c r="E100" s="13">
        <f t="shared" si="2"/>
        <v>967.5</v>
      </c>
      <c r="F100" s="7">
        <v>1107</v>
      </c>
      <c r="G100" s="13">
        <f t="shared" si="3"/>
        <v>139.5</v>
      </c>
      <c r="L100" s="13"/>
    </row>
    <row r="101" spans="1:12" x14ac:dyDescent="0.3">
      <c r="A101" s="7" t="s">
        <v>153</v>
      </c>
      <c r="B101" s="7" t="s">
        <v>2</v>
      </c>
      <c r="C101" s="7" cm="1">
        <f t="array" ref="C101">_xlfn.IFS(B101="25-50%",45,B101="50-75%",30,B101="last 25%",30,B101="Retire",0,B101="Top 25 %",60,B101="REST",30)</f>
        <v>45</v>
      </c>
      <c r="D101" s="13" cm="1">
        <f t="array" ref="D101">AVERAGE('SKU sales and Inventory'!D102:F102/30)</f>
        <v>22.966666666666669</v>
      </c>
      <c r="E101" s="13">
        <f t="shared" si="2"/>
        <v>1033.5</v>
      </c>
      <c r="F101" s="7">
        <v>741</v>
      </c>
      <c r="G101" s="13">
        <f t="shared" si="3"/>
        <v>-292.5</v>
      </c>
      <c r="L101" s="13"/>
    </row>
    <row r="102" spans="1:12" x14ac:dyDescent="0.3">
      <c r="A102" s="7" t="s">
        <v>154</v>
      </c>
      <c r="B102" s="7" t="s">
        <v>1</v>
      </c>
      <c r="C102" s="7" cm="1">
        <f t="array" ref="C102">_xlfn.IFS(B102="25-50%",45,B102="50-75%",30,B102="last 25%",30,B102="Retire",0,B102="Top 25 %",60,B102="REST",30)</f>
        <v>30</v>
      </c>
      <c r="D102" s="13" cm="1">
        <f t="array" ref="D102">AVERAGE('SKU sales and Inventory'!D103:F103/30)</f>
        <v>18.8</v>
      </c>
      <c r="E102" s="13">
        <f t="shared" si="2"/>
        <v>564</v>
      </c>
      <c r="F102" s="7">
        <v>1293</v>
      </c>
      <c r="G102" s="13">
        <f t="shared" si="3"/>
        <v>729</v>
      </c>
      <c r="L102" s="13"/>
    </row>
    <row r="103" spans="1:12" x14ac:dyDescent="0.3">
      <c r="A103" s="7" t="s">
        <v>155</v>
      </c>
      <c r="B103" s="7" t="s">
        <v>4</v>
      </c>
      <c r="C103" s="7" cm="1">
        <f t="array" ref="C103">_xlfn.IFS(B103="25-50%",45,B103="50-75%",30,B103="last 25%",30,B103="Retire",0,B103="Top 25 %",60,B103="REST",30)</f>
        <v>60</v>
      </c>
      <c r="D103" s="13" cm="1">
        <f t="array" ref="D103">AVERAGE('SKU sales and Inventory'!D104:F104/30)</f>
        <v>25.2</v>
      </c>
      <c r="E103" s="13">
        <f t="shared" si="2"/>
        <v>1512</v>
      </c>
      <c r="F103" s="7">
        <v>1299</v>
      </c>
      <c r="G103" s="13">
        <f t="shared" si="3"/>
        <v>-213</v>
      </c>
      <c r="L103" s="13"/>
    </row>
    <row r="104" spans="1:12" x14ac:dyDescent="0.3">
      <c r="A104" s="7" t="s">
        <v>156</v>
      </c>
      <c r="B104" s="7" t="s">
        <v>1</v>
      </c>
      <c r="C104" s="7" cm="1">
        <f t="array" ref="C104">_xlfn.IFS(B104="25-50%",45,B104="50-75%",30,B104="last 25%",30,B104="Retire",0,B104="Top 25 %",60,B104="REST",30)</f>
        <v>30</v>
      </c>
      <c r="D104" s="13" cm="1">
        <f t="array" ref="D104">AVERAGE('SKU sales and Inventory'!D105:F105/30)</f>
        <v>21.066666666666666</v>
      </c>
      <c r="E104" s="13">
        <f t="shared" si="2"/>
        <v>632</v>
      </c>
      <c r="F104" s="7">
        <v>540</v>
      </c>
      <c r="G104" s="13">
        <f t="shared" si="3"/>
        <v>-92</v>
      </c>
      <c r="L104" s="13"/>
    </row>
    <row r="105" spans="1:12" x14ac:dyDescent="0.3">
      <c r="A105" s="7" t="s">
        <v>157</v>
      </c>
      <c r="B105" s="7" t="s">
        <v>0</v>
      </c>
      <c r="C105" s="7" cm="1">
        <f t="array" ref="C105">_xlfn.IFS(B105="25-50%",45,B105="50-75%",30,B105="last 25%",30,B105="Retire",0,B105="Top 25 %",60,B105="REST",30)</f>
        <v>30</v>
      </c>
      <c r="D105" s="13" cm="1">
        <f t="array" ref="D105">AVERAGE('SKU sales and Inventory'!D106:F106/30)</f>
        <v>15.866666666666667</v>
      </c>
      <c r="E105" s="13">
        <f t="shared" si="2"/>
        <v>476</v>
      </c>
      <c r="F105" s="7">
        <v>438</v>
      </c>
      <c r="G105" s="13">
        <f t="shared" si="3"/>
        <v>-38</v>
      </c>
      <c r="L105" s="13"/>
    </row>
    <row r="106" spans="1:12" x14ac:dyDescent="0.3">
      <c r="A106" s="7" t="s">
        <v>158</v>
      </c>
      <c r="B106" s="7" t="s">
        <v>0</v>
      </c>
      <c r="C106" s="7" cm="1">
        <f t="array" ref="C106">_xlfn.IFS(B106="25-50%",45,B106="50-75%",30,B106="last 25%",30,B106="Retire",0,B106="Top 25 %",60,B106="REST",30)</f>
        <v>30</v>
      </c>
      <c r="D106" s="13" cm="1">
        <f t="array" ref="D106">AVERAGE('SKU sales and Inventory'!D107:F107/30)</f>
        <v>19.233333333333334</v>
      </c>
      <c r="E106" s="13">
        <f t="shared" si="2"/>
        <v>577</v>
      </c>
      <c r="F106" s="7">
        <v>120</v>
      </c>
      <c r="G106" s="13">
        <f t="shared" si="3"/>
        <v>-457</v>
      </c>
      <c r="L106" s="13"/>
    </row>
    <row r="107" spans="1:12" x14ac:dyDescent="0.3">
      <c r="A107" s="7" t="s">
        <v>159</v>
      </c>
      <c r="B107" s="7" t="s">
        <v>0</v>
      </c>
      <c r="C107" s="7" cm="1">
        <f t="array" ref="C107">_xlfn.IFS(B107="25-50%",45,B107="50-75%",30,B107="last 25%",30,B107="Retire",0,B107="Top 25 %",60,B107="REST",30)</f>
        <v>30</v>
      </c>
      <c r="D107" s="13" cm="1">
        <f t="array" ref="D107">AVERAGE('SKU sales and Inventory'!D108:F108/30)</f>
        <v>25.666666666666668</v>
      </c>
      <c r="E107" s="13">
        <f t="shared" si="2"/>
        <v>770</v>
      </c>
      <c r="F107" s="7">
        <v>1017</v>
      </c>
      <c r="G107" s="13">
        <f t="shared" si="3"/>
        <v>247</v>
      </c>
      <c r="L107" s="13"/>
    </row>
    <row r="108" spans="1:12" x14ac:dyDescent="0.3">
      <c r="A108" s="7" t="s">
        <v>160</v>
      </c>
      <c r="B108" s="7" t="s">
        <v>0</v>
      </c>
      <c r="C108" s="7" cm="1">
        <f t="array" ref="C108">_xlfn.IFS(B108="25-50%",45,B108="50-75%",30,B108="last 25%",30,B108="Retire",0,B108="Top 25 %",60,B108="REST",30)</f>
        <v>30</v>
      </c>
      <c r="D108" s="13" cm="1">
        <f t="array" ref="D108">AVERAGE('SKU sales and Inventory'!D109:F109/30)</f>
        <v>11.133333333333333</v>
      </c>
      <c r="E108" s="13">
        <f t="shared" si="2"/>
        <v>334</v>
      </c>
      <c r="F108" s="7">
        <v>375</v>
      </c>
      <c r="G108" s="13">
        <f t="shared" si="3"/>
        <v>41</v>
      </c>
      <c r="L108" s="13"/>
    </row>
    <row r="109" spans="1:12" x14ac:dyDescent="0.3">
      <c r="A109" s="7" t="s">
        <v>161</v>
      </c>
      <c r="B109" s="7" t="s">
        <v>0</v>
      </c>
      <c r="C109" s="7" cm="1">
        <f t="array" ref="C109">_xlfn.IFS(B109="25-50%",45,B109="50-75%",30,B109="last 25%",30,B109="Retire",0,B109="Top 25 %",60,B109="REST",30)</f>
        <v>30</v>
      </c>
      <c r="D109" s="13" cm="1">
        <f t="array" ref="D109">AVERAGE('SKU sales and Inventory'!D110:F110/30)</f>
        <v>21.099999999999998</v>
      </c>
      <c r="E109" s="13">
        <f t="shared" si="2"/>
        <v>632.99999999999989</v>
      </c>
      <c r="F109" s="7">
        <v>660</v>
      </c>
      <c r="G109" s="13">
        <f t="shared" si="3"/>
        <v>27.000000000000114</v>
      </c>
      <c r="L109" s="13"/>
    </row>
    <row r="110" spans="1:12" x14ac:dyDescent="0.3">
      <c r="A110" s="7" t="s">
        <v>162</v>
      </c>
      <c r="B110" s="7" t="s">
        <v>4</v>
      </c>
      <c r="C110" s="7" cm="1">
        <f t="array" ref="C110">_xlfn.IFS(B110="25-50%",45,B110="50-75%",30,B110="last 25%",30,B110="Retire",0,B110="Top 25 %",60,B110="REST",30)</f>
        <v>60</v>
      </c>
      <c r="D110" s="13" cm="1">
        <f t="array" ref="D110">AVERAGE('SKU sales and Inventory'!D111:F111/30)</f>
        <v>21.466666666666669</v>
      </c>
      <c r="E110" s="13">
        <f t="shared" si="2"/>
        <v>1288</v>
      </c>
      <c r="F110" s="7">
        <v>1047</v>
      </c>
      <c r="G110" s="13">
        <f t="shared" si="3"/>
        <v>-241</v>
      </c>
      <c r="L110" s="13"/>
    </row>
    <row r="111" spans="1:12" x14ac:dyDescent="0.3">
      <c r="A111" s="7" t="s">
        <v>163</v>
      </c>
      <c r="B111" s="7" t="s">
        <v>0</v>
      </c>
      <c r="C111" s="7" cm="1">
        <f t="array" ref="C111">_xlfn.IFS(B111="25-50%",45,B111="50-75%",30,B111="last 25%",30,B111="Retire",0,B111="Top 25 %",60,B111="REST",30)</f>
        <v>30</v>
      </c>
      <c r="D111" s="13" cm="1">
        <f t="array" ref="D111">AVERAGE('SKU sales and Inventory'!D112:F112/30)</f>
        <v>7.2</v>
      </c>
      <c r="E111" s="13">
        <f t="shared" si="2"/>
        <v>216</v>
      </c>
      <c r="F111" s="7">
        <v>117</v>
      </c>
      <c r="G111" s="13">
        <f t="shared" si="3"/>
        <v>-99</v>
      </c>
      <c r="L111" s="13"/>
    </row>
    <row r="112" spans="1:12" x14ac:dyDescent="0.3">
      <c r="A112" s="7" t="s">
        <v>164</v>
      </c>
      <c r="B112" s="7" t="s">
        <v>4</v>
      </c>
      <c r="C112" s="7" cm="1">
        <f t="array" ref="C112">_xlfn.IFS(B112="25-50%",45,B112="50-75%",30,B112="last 25%",30,B112="Retire",0,B112="Top 25 %",60,B112="REST",30)</f>
        <v>60</v>
      </c>
      <c r="D112" s="13" cm="1">
        <f t="array" ref="D112">AVERAGE('SKU sales and Inventory'!D113:F113/30)</f>
        <v>16.566666666666666</v>
      </c>
      <c r="E112" s="13">
        <f t="shared" si="2"/>
        <v>994</v>
      </c>
      <c r="F112" s="7">
        <v>1209</v>
      </c>
      <c r="G112" s="13">
        <f t="shared" si="3"/>
        <v>215</v>
      </c>
      <c r="L112" s="13"/>
    </row>
    <row r="113" spans="1:12" x14ac:dyDescent="0.3">
      <c r="A113" s="7" t="s">
        <v>165</v>
      </c>
      <c r="B113" s="7" t="s">
        <v>1</v>
      </c>
      <c r="C113" s="7" cm="1">
        <f t="array" ref="C113">_xlfn.IFS(B113="25-50%",45,B113="50-75%",30,B113="last 25%",30,B113="Retire",0,B113="Top 25 %",60,B113="REST",30)</f>
        <v>30</v>
      </c>
      <c r="D113" s="13" cm="1">
        <f t="array" ref="D113">AVERAGE('SKU sales and Inventory'!D114:F114/30)</f>
        <v>18.8</v>
      </c>
      <c r="E113" s="13">
        <f t="shared" si="2"/>
        <v>564</v>
      </c>
      <c r="F113" s="7">
        <v>498</v>
      </c>
      <c r="G113" s="13">
        <f t="shared" si="3"/>
        <v>-66</v>
      </c>
      <c r="L113" s="13"/>
    </row>
    <row r="114" spans="1:12" x14ac:dyDescent="0.3">
      <c r="A114" s="7" t="s">
        <v>166</v>
      </c>
      <c r="B114" s="7" t="s">
        <v>0</v>
      </c>
      <c r="C114" s="7" cm="1">
        <f t="array" ref="C114">_xlfn.IFS(B114="25-50%",45,B114="50-75%",30,B114="last 25%",30,B114="Retire",0,B114="Top 25 %",60,B114="REST",30)</f>
        <v>30</v>
      </c>
      <c r="D114" s="13" cm="1">
        <f t="array" ref="D114">AVERAGE('SKU sales and Inventory'!D115:F115/30)</f>
        <v>15.9</v>
      </c>
      <c r="E114" s="13">
        <f t="shared" si="2"/>
        <v>477</v>
      </c>
      <c r="F114" s="7">
        <v>951</v>
      </c>
      <c r="G114" s="13">
        <f t="shared" si="3"/>
        <v>474</v>
      </c>
      <c r="L114" s="13"/>
    </row>
    <row r="115" spans="1:12" x14ac:dyDescent="0.3">
      <c r="A115" s="7" t="s">
        <v>167</v>
      </c>
      <c r="B115" s="7" t="s">
        <v>0</v>
      </c>
      <c r="C115" s="7" cm="1">
        <f t="array" ref="C115">_xlfn.IFS(B115="25-50%",45,B115="50-75%",30,B115="last 25%",30,B115="Retire",0,B115="Top 25 %",60,B115="REST",30)</f>
        <v>30</v>
      </c>
      <c r="D115" s="13" cm="1">
        <f t="array" ref="D115">AVERAGE('SKU sales and Inventory'!D116:F116/30)</f>
        <v>15.1</v>
      </c>
      <c r="E115" s="13">
        <f t="shared" si="2"/>
        <v>453</v>
      </c>
      <c r="F115" s="7">
        <v>537</v>
      </c>
      <c r="G115" s="13">
        <f t="shared" si="3"/>
        <v>84</v>
      </c>
      <c r="L115" s="13"/>
    </row>
    <row r="116" spans="1:12" x14ac:dyDescent="0.3">
      <c r="A116" s="7" t="s">
        <v>168</v>
      </c>
      <c r="B116" s="7" t="s">
        <v>0</v>
      </c>
      <c r="C116" s="7" cm="1">
        <f t="array" ref="C116">_xlfn.IFS(B116="25-50%",45,B116="50-75%",30,B116="last 25%",30,B116="Retire",0,B116="Top 25 %",60,B116="REST",30)</f>
        <v>30</v>
      </c>
      <c r="D116" s="13" cm="1">
        <f t="array" ref="D116">AVERAGE('SKU sales and Inventory'!D117:F117/30)</f>
        <v>17.966666666666669</v>
      </c>
      <c r="E116" s="13">
        <f t="shared" si="2"/>
        <v>539</v>
      </c>
      <c r="F116" s="7">
        <v>1119</v>
      </c>
      <c r="G116" s="13">
        <f t="shared" si="3"/>
        <v>580</v>
      </c>
      <c r="L116" s="13"/>
    </row>
    <row r="117" spans="1:12" x14ac:dyDescent="0.3">
      <c r="A117" s="7" t="s">
        <v>169</v>
      </c>
      <c r="B117" s="7" t="s">
        <v>4</v>
      </c>
      <c r="C117" s="7" cm="1">
        <f t="array" ref="C117">_xlfn.IFS(B117="25-50%",45,B117="50-75%",30,B117="last 25%",30,B117="Retire",0,B117="Top 25 %",60,B117="REST",30)</f>
        <v>60</v>
      </c>
      <c r="D117" s="13" cm="1">
        <f t="array" ref="D117">AVERAGE('SKU sales and Inventory'!D118:F118/30)</f>
        <v>19.066666666666666</v>
      </c>
      <c r="E117" s="13">
        <f t="shared" si="2"/>
        <v>1144</v>
      </c>
      <c r="F117" s="7">
        <v>486</v>
      </c>
      <c r="G117" s="13">
        <f t="shared" si="3"/>
        <v>-658</v>
      </c>
      <c r="L117" s="13"/>
    </row>
    <row r="118" spans="1:12" x14ac:dyDescent="0.3">
      <c r="A118" s="7" t="s">
        <v>170</v>
      </c>
      <c r="B118" s="7" t="s">
        <v>2</v>
      </c>
      <c r="C118" s="7" cm="1">
        <f t="array" ref="C118">_xlfn.IFS(B118="25-50%",45,B118="50-75%",30,B118="last 25%",30,B118="Retire",0,B118="Top 25 %",60,B118="REST",30)</f>
        <v>45</v>
      </c>
      <c r="D118" s="13" cm="1">
        <f t="array" ref="D118">AVERAGE('SKU sales and Inventory'!D119:F119/30)</f>
        <v>26.033333333333331</v>
      </c>
      <c r="E118" s="13">
        <f t="shared" si="2"/>
        <v>1171.5</v>
      </c>
      <c r="F118" s="7">
        <v>816</v>
      </c>
      <c r="G118" s="13">
        <f t="shared" si="3"/>
        <v>-355.5</v>
      </c>
      <c r="L118" s="13"/>
    </row>
    <row r="119" spans="1:12" x14ac:dyDescent="0.3">
      <c r="A119" s="7" t="s">
        <v>171</v>
      </c>
      <c r="B119" s="7" t="s">
        <v>0</v>
      </c>
      <c r="C119" s="7" cm="1">
        <f t="array" ref="C119">_xlfn.IFS(B119="25-50%",45,B119="50-75%",30,B119="last 25%",30,B119="Retire",0,B119="Top 25 %",60,B119="REST",30)</f>
        <v>30</v>
      </c>
      <c r="D119" s="13" cm="1">
        <f t="array" ref="D119">AVERAGE('SKU sales and Inventory'!D120:F120/30)</f>
        <v>13.4</v>
      </c>
      <c r="E119" s="13">
        <f t="shared" si="2"/>
        <v>402</v>
      </c>
      <c r="F119" s="7">
        <v>366</v>
      </c>
      <c r="G119" s="13">
        <f t="shared" si="3"/>
        <v>-36</v>
      </c>
      <c r="L119" s="13"/>
    </row>
    <row r="120" spans="1:12" x14ac:dyDescent="0.3">
      <c r="A120" s="7" t="s">
        <v>172</v>
      </c>
      <c r="B120" s="7" t="s">
        <v>0</v>
      </c>
      <c r="C120" s="7" cm="1">
        <f t="array" ref="C120">_xlfn.IFS(B120="25-50%",45,B120="50-75%",30,B120="last 25%",30,B120="Retire",0,B120="Top 25 %",60,B120="REST",30)</f>
        <v>30</v>
      </c>
      <c r="D120" s="13" cm="1">
        <f t="array" ref="D120">AVERAGE('SKU sales and Inventory'!D121:F121/30)</f>
        <v>6.0666666666666664</v>
      </c>
      <c r="E120" s="13">
        <f t="shared" si="2"/>
        <v>182</v>
      </c>
      <c r="F120" s="7">
        <v>315</v>
      </c>
      <c r="G120" s="13">
        <f t="shared" si="3"/>
        <v>133</v>
      </c>
      <c r="L120" s="13"/>
    </row>
    <row r="121" spans="1:12" x14ac:dyDescent="0.3">
      <c r="A121" s="7" t="s">
        <v>173</v>
      </c>
      <c r="B121" s="7" t="s">
        <v>0</v>
      </c>
      <c r="C121" s="7" cm="1">
        <f t="array" ref="C121">_xlfn.IFS(B121="25-50%",45,B121="50-75%",30,B121="last 25%",30,B121="Retire",0,B121="Top 25 %",60,B121="REST",30)</f>
        <v>30</v>
      </c>
      <c r="D121" s="13" cm="1">
        <f t="array" ref="D121">AVERAGE('SKU sales and Inventory'!D122:F122/30)</f>
        <v>12.133333333333335</v>
      </c>
      <c r="E121" s="13">
        <f t="shared" si="2"/>
        <v>364.00000000000006</v>
      </c>
      <c r="F121" s="7">
        <v>720</v>
      </c>
      <c r="G121" s="13">
        <f t="shared" si="3"/>
        <v>355.99999999999994</v>
      </c>
      <c r="L121" s="13"/>
    </row>
    <row r="122" spans="1:12" x14ac:dyDescent="0.3">
      <c r="A122" s="7" t="s">
        <v>174</v>
      </c>
      <c r="B122" s="7" t="s">
        <v>2</v>
      </c>
      <c r="C122" s="7" cm="1">
        <f t="array" ref="C122">_xlfn.IFS(B122="25-50%",45,B122="50-75%",30,B122="last 25%",30,B122="Retire",0,B122="Top 25 %",60,B122="REST",30)</f>
        <v>45</v>
      </c>
      <c r="D122" s="13" cm="1">
        <f t="array" ref="D122">AVERAGE('SKU sales and Inventory'!D123:F123/30)</f>
        <v>16.533333333333335</v>
      </c>
      <c r="E122" s="13">
        <f t="shared" si="2"/>
        <v>744.00000000000011</v>
      </c>
      <c r="F122" s="7">
        <v>1176</v>
      </c>
      <c r="G122" s="13">
        <f t="shared" si="3"/>
        <v>431.99999999999989</v>
      </c>
      <c r="L122" s="13"/>
    </row>
    <row r="123" spans="1:12" x14ac:dyDescent="0.3">
      <c r="A123" s="7" t="s">
        <v>175</v>
      </c>
      <c r="B123" s="7" t="s">
        <v>1</v>
      </c>
      <c r="C123" s="7" cm="1">
        <f t="array" ref="C123">_xlfn.IFS(B123="25-50%",45,B123="50-75%",30,B123="last 25%",30,B123="Retire",0,B123="Top 25 %",60,B123="REST",30)</f>
        <v>30</v>
      </c>
      <c r="D123" s="13" cm="1">
        <f t="array" ref="D123">AVERAGE('SKU sales and Inventory'!D124:F124/30)</f>
        <v>13.466666666666667</v>
      </c>
      <c r="E123" s="13">
        <f t="shared" si="2"/>
        <v>404</v>
      </c>
      <c r="F123" s="7">
        <v>414</v>
      </c>
      <c r="G123" s="13">
        <f t="shared" si="3"/>
        <v>10</v>
      </c>
      <c r="L123" s="13"/>
    </row>
    <row r="124" spans="1:12" x14ac:dyDescent="0.3">
      <c r="A124" s="7" t="s">
        <v>176</v>
      </c>
      <c r="B124" s="7" t="s">
        <v>1</v>
      </c>
      <c r="C124" s="7" cm="1">
        <f t="array" ref="C124">_xlfn.IFS(B124="25-50%",45,B124="50-75%",30,B124="last 25%",30,B124="Retire",0,B124="Top 25 %",60,B124="REST",30)</f>
        <v>30</v>
      </c>
      <c r="D124" s="13" cm="1">
        <f t="array" ref="D124">AVERAGE('SKU sales and Inventory'!D125:F125/30)</f>
        <v>16.3</v>
      </c>
      <c r="E124" s="13">
        <f t="shared" si="2"/>
        <v>489</v>
      </c>
      <c r="F124" s="7">
        <v>3894</v>
      </c>
      <c r="G124" s="13">
        <f t="shared" si="3"/>
        <v>3405</v>
      </c>
      <c r="L124" s="13"/>
    </row>
    <row r="125" spans="1:12" x14ac:dyDescent="0.3">
      <c r="A125" s="7" t="s">
        <v>177</v>
      </c>
      <c r="B125" s="7" t="s">
        <v>1</v>
      </c>
      <c r="C125" s="7" cm="1">
        <f t="array" ref="C125">_xlfn.IFS(B125="25-50%",45,B125="50-75%",30,B125="last 25%",30,B125="Retire",0,B125="Top 25 %",60,B125="REST",30)</f>
        <v>30</v>
      </c>
      <c r="D125" s="13" cm="1">
        <f t="array" ref="D125">AVERAGE('SKU sales and Inventory'!D126:F126/30)</f>
        <v>10.366666666666665</v>
      </c>
      <c r="E125" s="13">
        <f t="shared" si="2"/>
        <v>310.99999999999994</v>
      </c>
      <c r="F125" s="7">
        <v>1956</v>
      </c>
      <c r="G125" s="13">
        <f t="shared" si="3"/>
        <v>1645</v>
      </c>
      <c r="L125" s="13"/>
    </row>
    <row r="126" spans="1:12" x14ac:dyDescent="0.3">
      <c r="A126" s="7" t="s">
        <v>178</v>
      </c>
      <c r="B126" s="7" t="s">
        <v>0</v>
      </c>
      <c r="C126" s="7" cm="1">
        <f t="array" ref="C126">_xlfn.IFS(B126="25-50%",45,B126="50-75%",30,B126="last 25%",30,B126="Retire",0,B126="Top 25 %",60,B126="REST",30)</f>
        <v>30</v>
      </c>
      <c r="D126" s="13" cm="1">
        <f t="array" ref="D126">AVERAGE('SKU sales and Inventory'!D127:F127/30)</f>
        <v>17.166666666666668</v>
      </c>
      <c r="E126" s="13">
        <f t="shared" si="2"/>
        <v>515</v>
      </c>
      <c r="F126" s="7">
        <v>588</v>
      </c>
      <c r="G126" s="13">
        <f t="shared" si="3"/>
        <v>73</v>
      </c>
      <c r="L126" s="13"/>
    </row>
    <row r="127" spans="1:12" x14ac:dyDescent="0.3">
      <c r="A127" s="7" t="s">
        <v>179</v>
      </c>
      <c r="B127" s="7" t="s">
        <v>0</v>
      </c>
      <c r="C127" s="7" cm="1">
        <f t="array" ref="C127">_xlfn.IFS(B127="25-50%",45,B127="50-75%",30,B127="last 25%",30,B127="Retire",0,B127="Top 25 %",60,B127="REST",30)</f>
        <v>30</v>
      </c>
      <c r="D127" s="13" cm="1">
        <f t="array" ref="D127">AVERAGE('SKU sales and Inventory'!D128:F128/30)</f>
        <v>11</v>
      </c>
      <c r="E127" s="13">
        <f t="shared" si="2"/>
        <v>330</v>
      </c>
      <c r="F127" s="7">
        <v>309</v>
      </c>
      <c r="G127" s="13">
        <f t="shared" si="3"/>
        <v>-21</v>
      </c>
      <c r="L127" s="13"/>
    </row>
    <row r="128" spans="1:12" x14ac:dyDescent="0.3">
      <c r="A128" s="7" t="s">
        <v>180</v>
      </c>
      <c r="B128" s="7" t="s">
        <v>0</v>
      </c>
      <c r="C128" s="7" cm="1">
        <f t="array" ref="C128">_xlfn.IFS(B128="25-50%",45,B128="50-75%",30,B128="last 25%",30,B128="Retire",0,B128="Top 25 %",60,B128="REST",30)</f>
        <v>30</v>
      </c>
      <c r="D128" s="13" cm="1">
        <f t="array" ref="D128">AVERAGE('SKU sales and Inventory'!D129:F129/30)</f>
        <v>12.833333333333334</v>
      </c>
      <c r="E128" s="13">
        <f t="shared" si="2"/>
        <v>385</v>
      </c>
      <c r="F128" s="7">
        <v>27</v>
      </c>
      <c r="G128" s="13">
        <f t="shared" si="3"/>
        <v>-358</v>
      </c>
      <c r="L128" s="13"/>
    </row>
    <row r="129" spans="1:12" x14ac:dyDescent="0.3">
      <c r="A129" s="7" t="s">
        <v>181</v>
      </c>
      <c r="B129" s="7" t="s">
        <v>2</v>
      </c>
      <c r="C129" s="7" cm="1">
        <f t="array" ref="C129">_xlfn.IFS(B129="25-50%",45,B129="50-75%",30,B129="last 25%",30,B129="Retire",0,B129="Top 25 %",60,B129="REST",30)</f>
        <v>45</v>
      </c>
      <c r="D129" s="13" cm="1">
        <f t="array" ref="D129">AVERAGE('SKU sales and Inventory'!D130:F130/30)</f>
        <v>18.599999999999998</v>
      </c>
      <c r="E129" s="13">
        <f t="shared" si="2"/>
        <v>836.99999999999989</v>
      </c>
      <c r="F129" s="7">
        <v>843</v>
      </c>
      <c r="G129" s="13">
        <f t="shared" si="3"/>
        <v>6.0000000000001137</v>
      </c>
      <c r="L129" s="13"/>
    </row>
    <row r="130" spans="1:12" x14ac:dyDescent="0.3">
      <c r="A130" s="7" t="s">
        <v>182</v>
      </c>
      <c r="B130" s="7" t="s">
        <v>3</v>
      </c>
      <c r="C130" s="7" cm="1">
        <f t="array" ref="C130">_xlfn.IFS(B130="25-50%",45,B130="50-75%",30,B130="last 25%",30,B130="Retire",0,B130="Top 25 %",60,B130="REST",30)</f>
        <v>0</v>
      </c>
      <c r="D130" s="13" cm="1">
        <f t="array" ref="D130">AVERAGE('SKU sales and Inventory'!D131:F131/30)</f>
        <v>8.2000000000000011</v>
      </c>
      <c r="E130" s="13">
        <f t="shared" si="2"/>
        <v>0</v>
      </c>
      <c r="F130" s="7">
        <v>39</v>
      </c>
      <c r="G130" s="13">
        <f t="shared" si="3"/>
        <v>39</v>
      </c>
      <c r="L130" s="13"/>
    </row>
    <row r="131" spans="1:12" x14ac:dyDescent="0.3">
      <c r="A131" s="7" t="s">
        <v>183</v>
      </c>
      <c r="B131" s="7" t="s">
        <v>4</v>
      </c>
      <c r="C131" s="7" cm="1">
        <f t="array" ref="C131">_xlfn.IFS(B131="25-50%",45,B131="50-75%",30,B131="last 25%",30,B131="Retire",0,B131="Top 25 %",60,B131="REST",30)</f>
        <v>60</v>
      </c>
      <c r="D131" s="13" cm="1">
        <f t="array" ref="D131">AVERAGE('SKU sales and Inventory'!D132:F132/30)</f>
        <v>16.266666666666666</v>
      </c>
      <c r="E131" s="13">
        <f t="shared" ref="E131:E194" si="4">D131*C131</f>
        <v>976</v>
      </c>
      <c r="F131" s="7">
        <v>630</v>
      </c>
      <c r="G131" s="13">
        <f t="shared" ref="G131:G194" si="5">F131-E131</f>
        <v>-346</v>
      </c>
      <c r="L131" s="13"/>
    </row>
    <row r="132" spans="1:12" x14ac:dyDescent="0.3">
      <c r="A132" s="7" t="s">
        <v>184</v>
      </c>
      <c r="B132" s="7" t="s">
        <v>0</v>
      </c>
      <c r="C132" s="7" cm="1">
        <f t="array" ref="C132">_xlfn.IFS(B132="25-50%",45,B132="50-75%",30,B132="last 25%",30,B132="Retire",0,B132="Top 25 %",60,B132="REST",30)</f>
        <v>30</v>
      </c>
      <c r="D132" s="13" cm="1">
        <f t="array" ref="D132">AVERAGE('SKU sales and Inventory'!D133:F133/30)</f>
        <v>11.233333333333333</v>
      </c>
      <c r="E132" s="13">
        <f t="shared" si="4"/>
        <v>337</v>
      </c>
      <c r="F132" s="7">
        <v>948</v>
      </c>
      <c r="G132" s="13">
        <f t="shared" si="5"/>
        <v>611</v>
      </c>
      <c r="L132" s="13"/>
    </row>
    <row r="133" spans="1:12" x14ac:dyDescent="0.3">
      <c r="A133" s="7" t="s">
        <v>185</v>
      </c>
      <c r="B133" s="7" t="s">
        <v>4</v>
      </c>
      <c r="C133" s="7" cm="1">
        <f t="array" ref="C133">_xlfn.IFS(B133="25-50%",45,B133="50-75%",30,B133="last 25%",30,B133="Retire",0,B133="Top 25 %",60,B133="REST",30)</f>
        <v>60</v>
      </c>
      <c r="D133" s="13" cm="1">
        <f t="array" ref="D133">AVERAGE('SKU sales and Inventory'!D134:F134/30)</f>
        <v>13.433333333333332</v>
      </c>
      <c r="E133" s="13">
        <f t="shared" si="4"/>
        <v>805.99999999999989</v>
      </c>
      <c r="F133" s="7">
        <v>1158</v>
      </c>
      <c r="G133" s="13">
        <f t="shared" si="5"/>
        <v>352.00000000000011</v>
      </c>
      <c r="L133" s="13"/>
    </row>
    <row r="134" spans="1:12" x14ac:dyDescent="0.3">
      <c r="A134" s="7" t="s">
        <v>186</v>
      </c>
      <c r="B134" s="7" t="s">
        <v>0</v>
      </c>
      <c r="C134" s="7" cm="1">
        <f t="array" ref="C134">_xlfn.IFS(B134="25-50%",45,B134="50-75%",30,B134="last 25%",30,B134="Retire",0,B134="Top 25 %",60,B134="REST",30)</f>
        <v>30</v>
      </c>
      <c r="D134" s="13" cm="1">
        <f t="array" ref="D134">AVERAGE('SKU sales and Inventory'!D135:F135/30)</f>
        <v>5.4666666666666659</v>
      </c>
      <c r="E134" s="13">
        <f t="shared" si="4"/>
        <v>163.99999999999997</v>
      </c>
      <c r="F134" s="7">
        <v>207</v>
      </c>
      <c r="G134" s="13">
        <f t="shared" si="5"/>
        <v>43.000000000000028</v>
      </c>
      <c r="L134" s="13"/>
    </row>
    <row r="135" spans="1:12" x14ac:dyDescent="0.3">
      <c r="A135" s="7" t="s">
        <v>187</v>
      </c>
      <c r="B135" s="7" t="s">
        <v>4</v>
      </c>
      <c r="C135" s="7" cm="1">
        <f t="array" ref="C135">_xlfn.IFS(B135="25-50%",45,B135="50-75%",30,B135="last 25%",30,B135="Retire",0,B135="Top 25 %",60,B135="REST",30)</f>
        <v>60</v>
      </c>
      <c r="D135" s="13" cm="1">
        <f t="array" ref="D135">AVERAGE('SKU sales and Inventory'!D136:F136/30)</f>
        <v>12.766666666666666</v>
      </c>
      <c r="E135" s="13">
        <f t="shared" si="4"/>
        <v>766</v>
      </c>
      <c r="F135" s="7">
        <v>459</v>
      </c>
      <c r="G135" s="13">
        <f t="shared" si="5"/>
        <v>-307</v>
      </c>
      <c r="L135" s="13"/>
    </row>
    <row r="136" spans="1:12" x14ac:dyDescent="0.3">
      <c r="A136" s="7" t="s">
        <v>188</v>
      </c>
      <c r="B136" s="7" t="s">
        <v>0</v>
      </c>
      <c r="C136" s="7" cm="1">
        <f t="array" ref="C136">_xlfn.IFS(B136="25-50%",45,B136="50-75%",30,B136="last 25%",30,B136="Retire",0,B136="Top 25 %",60,B136="REST",30)</f>
        <v>30</v>
      </c>
      <c r="D136" s="13" cm="1">
        <f t="array" ref="D136">AVERAGE('SKU sales and Inventory'!D137:F137/30)</f>
        <v>8.4333333333333318</v>
      </c>
      <c r="E136" s="13">
        <f t="shared" si="4"/>
        <v>252.99999999999994</v>
      </c>
      <c r="F136" s="7">
        <v>159</v>
      </c>
      <c r="G136" s="13">
        <f t="shared" si="5"/>
        <v>-93.999999999999943</v>
      </c>
      <c r="L136" s="13"/>
    </row>
    <row r="137" spans="1:12" x14ac:dyDescent="0.3">
      <c r="A137" s="7" t="s">
        <v>189</v>
      </c>
      <c r="B137" s="7" t="s">
        <v>0</v>
      </c>
      <c r="C137" s="7" cm="1">
        <f t="array" ref="C137">_xlfn.IFS(B137="25-50%",45,B137="50-75%",30,B137="last 25%",30,B137="Retire",0,B137="Top 25 %",60,B137="REST",30)</f>
        <v>30</v>
      </c>
      <c r="D137" s="13" cm="1">
        <f t="array" ref="D137">AVERAGE('SKU sales and Inventory'!D138:F138/30)</f>
        <v>8.3666666666666671</v>
      </c>
      <c r="E137" s="13">
        <f t="shared" si="4"/>
        <v>251</v>
      </c>
      <c r="F137" s="7">
        <v>207</v>
      </c>
      <c r="G137" s="13">
        <f t="shared" si="5"/>
        <v>-44</v>
      </c>
      <c r="L137" s="13"/>
    </row>
    <row r="138" spans="1:12" x14ac:dyDescent="0.3">
      <c r="A138" s="7" t="s">
        <v>190</v>
      </c>
      <c r="B138" s="7" t="s">
        <v>0</v>
      </c>
      <c r="C138" s="7" cm="1">
        <f t="array" ref="C138">_xlfn.IFS(B138="25-50%",45,B138="50-75%",30,B138="last 25%",30,B138="Retire",0,B138="Top 25 %",60,B138="REST",30)</f>
        <v>30</v>
      </c>
      <c r="D138" s="13" cm="1">
        <f t="array" ref="D138">AVERAGE('SKU sales and Inventory'!D139:F139/30)</f>
        <v>5.8</v>
      </c>
      <c r="E138" s="13">
        <f t="shared" si="4"/>
        <v>174</v>
      </c>
      <c r="F138" s="7">
        <v>129</v>
      </c>
      <c r="G138" s="13">
        <f t="shared" si="5"/>
        <v>-45</v>
      </c>
      <c r="L138" s="13"/>
    </row>
    <row r="139" spans="1:12" x14ac:dyDescent="0.3">
      <c r="A139" s="7" t="s">
        <v>191</v>
      </c>
      <c r="B139" s="7" t="s">
        <v>0</v>
      </c>
      <c r="C139" s="7" cm="1">
        <f t="array" ref="C139">_xlfn.IFS(B139="25-50%",45,B139="50-75%",30,B139="last 25%",30,B139="Retire",0,B139="Top 25 %",60,B139="REST",30)</f>
        <v>30</v>
      </c>
      <c r="D139" s="13" cm="1">
        <f t="array" ref="D139">AVERAGE('SKU sales and Inventory'!D140:F140/30)</f>
        <v>11.733333333333334</v>
      </c>
      <c r="E139" s="13">
        <f t="shared" si="4"/>
        <v>352</v>
      </c>
      <c r="F139" s="7">
        <v>237</v>
      </c>
      <c r="G139" s="13">
        <f t="shared" si="5"/>
        <v>-115</v>
      </c>
      <c r="L139" s="13"/>
    </row>
    <row r="140" spans="1:12" x14ac:dyDescent="0.3">
      <c r="A140" s="7" t="s">
        <v>192</v>
      </c>
      <c r="B140" s="7" t="s">
        <v>0</v>
      </c>
      <c r="C140" s="7" cm="1">
        <f t="array" ref="C140">_xlfn.IFS(B140="25-50%",45,B140="50-75%",30,B140="last 25%",30,B140="Retire",0,B140="Top 25 %",60,B140="REST",30)</f>
        <v>30</v>
      </c>
      <c r="D140" s="13" cm="1">
        <f t="array" ref="D140">AVERAGE('SKU sales and Inventory'!D141:F141/30)</f>
        <v>5.3</v>
      </c>
      <c r="E140" s="13">
        <f t="shared" si="4"/>
        <v>159</v>
      </c>
      <c r="F140" s="7">
        <v>261</v>
      </c>
      <c r="G140" s="13">
        <f t="shared" si="5"/>
        <v>102</v>
      </c>
      <c r="L140" s="13"/>
    </row>
    <row r="141" spans="1:12" x14ac:dyDescent="0.3">
      <c r="A141" s="7" t="s">
        <v>193</v>
      </c>
      <c r="B141" s="7" t="s">
        <v>1</v>
      </c>
      <c r="C141" s="7" cm="1">
        <f t="array" ref="C141">_xlfn.IFS(B141="25-50%",45,B141="50-75%",30,B141="last 25%",30,B141="Retire",0,B141="Top 25 %",60,B141="REST",30)</f>
        <v>30</v>
      </c>
      <c r="D141" s="13" cm="1">
        <f t="array" ref="D141">AVERAGE('SKU sales and Inventory'!D142:F142/30)</f>
        <v>11.299999999999999</v>
      </c>
      <c r="E141" s="13">
        <f t="shared" si="4"/>
        <v>338.99999999999994</v>
      </c>
      <c r="F141" s="7">
        <v>396</v>
      </c>
      <c r="G141" s="13">
        <f t="shared" si="5"/>
        <v>57.000000000000057</v>
      </c>
      <c r="L141" s="13"/>
    </row>
    <row r="142" spans="1:12" x14ac:dyDescent="0.3">
      <c r="A142" s="7" t="s">
        <v>194</v>
      </c>
      <c r="B142" s="7" t="s">
        <v>1</v>
      </c>
      <c r="C142" s="7" cm="1">
        <f t="array" ref="C142">_xlfn.IFS(B142="25-50%",45,B142="50-75%",30,B142="last 25%",30,B142="Retire",0,B142="Top 25 %",60,B142="REST",30)</f>
        <v>30</v>
      </c>
      <c r="D142" s="13" cm="1">
        <f t="array" ref="D142">AVERAGE('SKU sales and Inventory'!D143:F143/30)</f>
        <v>7.7333333333333334</v>
      </c>
      <c r="E142" s="13">
        <f t="shared" si="4"/>
        <v>232</v>
      </c>
      <c r="F142" s="7">
        <v>1230</v>
      </c>
      <c r="G142" s="13">
        <f t="shared" si="5"/>
        <v>998</v>
      </c>
      <c r="L142" s="13"/>
    </row>
    <row r="143" spans="1:12" x14ac:dyDescent="0.3">
      <c r="A143" s="7" t="s">
        <v>195</v>
      </c>
      <c r="B143" s="7" t="s">
        <v>4</v>
      </c>
      <c r="C143" s="7" cm="1">
        <f t="array" ref="C143">_xlfn.IFS(B143="25-50%",45,B143="50-75%",30,B143="last 25%",30,B143="Retire",0,B143="Top 25 %",60,B143="REST",30)</f>
        <v>60</v>
      </c>
      <c r="D143" s="13" cm="1">
        <f t="array" ref="D143">AVERAGE('SKU sales and Inventory'!D144:F144/30)</f>
        <v>10.633333333333335</v>
      </c>
      <c r="E143" s="13">
        <f t="shared" si="4"/>
        <v>638.00000000000011</v>
      </c>
      <c r="F143" s="7">
        <v>567</v>
      </c>
      <c r="G143" s="13">
        <f t="shared" si="5"/>
        <v>-71.000000000000114</v>
      </c>
      <c r="L143" s="13"/>
    </row>
    <row r="144" spans="1:12" x14ac:dyDescent="0.3">
      <c r="A144" s="7" t="s">
        <v>196</v>
      </c>
      <c r="B144" s="7" t="s">
        <v>0</v>
      </c>
      <c r="C144" s="7" cm="1">
        <f t="array" ref="C144">_xlfn.IFS(B144="25-50%",45,B144="50-75%",30,B144="last 25%",30,B144="Retire",0,B144="Top 25 %",60,B144="REST",30)</f>
        <v>30</v>
      </c>
      <c r="D144" s="13" cm="1">
        <f t="array" ref="D144">AVERAGE('SKU sales and Inventory'!D145:F145/30)</f>
        <v>6.3999999999999995</v>
      </c>
      <c r="E144" s="13">
        <f t="shared" si="4"/>
        <v>191.99999999999997</v>
      </c>
      <c r="F144" s="7">
        <v>297</v>
      </c>
      <c r="G144" s="13">
        <f t="shared" si="5"/>
        <v>105.00000000000003</v>
      </c>
      <c r="L144" s="13"/>
    </row>
    <row r="145" spans="1:12" x14ac:dyDescent="0.3">
      <c r="A145" s="7" t="s">
        <v>197</v>
      </c>
      <c r="B145" s="7" t="s">
        <v>0</v>
      </c>
      <c r="C145" s="7" cm="1">
        <f t="array" ref="C145">_xlfn.IFS(B145="25-50%",45,B145="50-75%",30,B145="last 25%",30,B145="Retire",0,B145="Top 25 %",60,B145="REST",30)</f>
        <v>30</v>
      </c>
      <c r="D145" s="13" cm="1">
        <f t="array" ref="D145">AVERAGE('SKU sales and Inventory'!D146:F146/30)</f>
        <v>7.5333333333333341</v>
      </c>
      <c r="E145" s="13">
        <f t="shared" si="4"/>
        <v>226.00000000000003</v>
      </c>
      <c r="F145" s="7">
        <v>726</v>
      </c>
      <c r="G145" s="13">
        <f t="shared" si="5"/>
        <v>500</v>
      </c>
      <c r="L145" s="13"/>
    </row>
    <row r="146" spans="1:12" x14ac:dyDescent="0.3">
      <c r="A146" s="7" t="s">
        <v>198</v>
      </c>
      <c r="B146" s="7" t="s">
        <v>0</v>
      </c>
      <c r="C146" s="7" cm="1">
        <f t="array" ref="C146">_xlfn.IFS(B146="25-50%",45,B146="50-75%",30,B146="last 25%",30,B146="Retire",0,B146="Top 25 %",60,B146="REST",30)</f>
        <v>30</v>
      </c>
      <c r="D146" s="13" cm="1">
        <f t="array" ref="D146">AVERAGE('SKU sales and Inventory'!D147:F147/30)</f>
        <v>7.0666666666666664</v>
      </c>
      <c r="E146" s="13">
        <f t="shared" si="4"/>
        <v>212</v>
      </c>
      <c r="F146" s="7">
        <v>789</v>
      </c>
      <c r="G146" s="13">
        <f t="shared" si="5"/>
        <v>577</v>
      </c>
      <c r="L146" s="13"/>
    </row>
    <row r="147" spans="1:12" x14ac:dyDescent="0.3">
      <c r="A147" s="7" t="s">
        <v>199</v>
      </c>
      <c r="B147" s="7" t="s">
        <v>0</v>
      </c>
      <c r="C147" s="7" cm="1">
        <f t="array" ref="C147">_xlfn.IFS(B147="25-50%",45,B147="50-75%",30,B147="last 25%",30,B147="Retire",0,B147="Top 25 %",60,B147="REST",30)</f>
        <v>30</v>
      </c>
      <c r="D147" s="13" cm="1">
        <f t="array" ref="D147">AVERAGE('SKU sales and Inventory'!D148:F148/30)</f>
        <v>8.1</v>
      </c>
      <c r="E147" s="13">
        <f t="shared" si="4"/>
        <v>243</v>
      </c>
      <c r="F147" s="7">
        <v>837</v>
      </c>
      <c r="G147" s="13">
        <f t="shared" si="5"/>
        <v>594</v>
      </c>
      <c r="L147" s="13"/>
    </row>
    <row r="148" spans="1:12" x14ac:dyDescent="0.3">
      <c r="A148" s="7" t="s">
        <v>200</v>
      </c>
      <c r="B148" s="7" t="s">
        <v>0</v>
      </c>
      <c r="C148" s="7" cm="1">
        <f t="array" ref="C148">_xlfn.IFS(B148="25-50%",45,B148="50-75%",30,B148="last 25%",30,B148="Retire",0,B148="Top 25 %",60,B148="REST",30)</f>
        <v>30</v>
      </c>
      <c r="D148" s="13" cm="1">
        <f t="array" ref="D148">AVERAGE('SKU sales and Inventory'!D149:F149/30)</f>
        <v>7.4666666666666659</v>
      </c>
      <c r="E148" s="13">
        <f t="shared" si="4"/>
        <v>223.99999999999997</v>
      </c>
      <c r="F148" s="7">
        <v>642</v>
      </c>
      <c r="G148" s="13">
        <f t="shared" si="5"/>
        <v>418</v>
      </c>
      <c r="L148" s="13"/>
    </row>
    <row r="149" spans="1:12" x14ac:dyDescent="0.3">
      <c r="A149" s="7" t="s">
        <v>201</v>
      </c>
      <c r="B149" s="7" t="s">
        <v>4</v>
      </c>
      <c r="C149" s="7" cm="1">
        <f t="array" ref="C149">_xlfn.IFS(B149="25-50%",45,B149="50-75%",30,B149="last 25%",30,B149="Retire",0,B149="Top 25 %",60,B149="REST",30)</f>
        <v>60</v>
      </c>
      <c r="D149" s="13" cm="1">
        <f t="array" ref="D149">AVERAGE('SKU sales and Inventory'!D150:F150/30)</f>
        <v>8.9333333333333318</v>
      </c>
      <c r="E149" s="13">
        <f t="shared" si="4"/>
        <v>535.99999999999989</v>
      </c>
      <c r="F149" s="7">
        <v>315</v>
      </c>
      <c r="G149" s="13">
        <f t="shared" si="5"/>
        <v>-220.99999999999989</v>
      </c>
      <c r="L149" s="13"/>
    </row>
    <row r="150" spans="1:12" x14ac:dyDescent="0.3">
      <c r="A150" s="7" t="s">
        <v>202</v>
      </c>
      <c r="B150" s="7" t="s">
        <v>0</v>
      </c>
      <c r="C150" s="7" cm="1">
        <f t="array" ref="C150">_xlfn.IFS(B150="25-50%",45,B150="50-75%",30,B150="last 25%",30,B150="Retire",0,B150="Top 25 %",60,B150="REST",30)</f>
        <v>30</v>
      </c>
      <c r="D150" s="13" cm="1">
        <f t="array" ref="D150">AVERAGE('SKU sales and Inventory'!D151:F151/30)</f>
        <v>8.7999999999999989</v>
      </c>
      <c r="E150" s="13">
        <f t="shared" si="4"/>
        <v>263.99999999999994</v>
      </c>
      <c r="F150" s="7">
        <v>666</v>
      </c>
      <c r="G150" s="13">
        <f t="shared" si="5"/>
        <v>402.00000000000006</v>
      </c>
      <c r="L150" s="13"/>
    </row>
    <row r="151" spans="1:12" x14ac:dyDescent="0.3">
      <c r="A151" s="7" t="s">
        <v>203</v>
      </c>
      <c r="B151" s="7" t="s">
        <v>0</v>
      </c>
      <c r="C151" s="7" cm="1">
        <f t="array" ref="C151">_xlfn.IFS(B151="25-50%",45,B151="50-75%",30,B151="last 25%",30,B151="Retire",0,B151="Top 25 %",60,B151="REST",30)</f>
        <v>30</v>
      </c>
      <c r="D151" s="13" cm="1">
        <f t="array" ref="D151">AVERAGE('SKU sales and Inventory'!D152:F152/30)</f>
        <v>7.9333333333333327</v>
      </c>
      <c r="E151" s="13">
        <f t="shared" si="4"/>
        <v>237.99999999999997</v>
      </c>
      <c r="F151" s="7">
        <v>228</v>
      </c>
      <c r="G151" s="13">
        <f t="shared" si="5"/>
        <v>-9.9999999999999716</v>
      </c>
      <c r="L151" s="13"/>
    </row>
    <row r="152" spans="1:12" x14ac:dyDescent="0.3">
      <c r="A152" s="7" t="s">
        <v>204</v>
      </c>
      <c r="B152" s="7" t="s">
        <v>0</v>
      </c>
      <c r="C152" s="7" cm="1">
        <f t="array" ref="C152">_xlfn.IFS(B152="25-50%",45,B152="50-75%",30,B152="last 25%",30,B152="Retire",0,B152="Top 25 %",60,B152="REST",30)</f>
        <v>30</v>
      </c>
      <c r="D152" s="13" cm="1">
        <f t="array" ref="D152">AVERAGE('SKU sales and Inventory'!D153:F153/30)</f>
        <v>21.833333333333332</v>
      </c>
      <c r="E152" s="13">
        <f t="shared" si="4"/>
        <v>655</v>
      </c>
      <c r="F152" s="7">
        <v>21</v>
      </c>
      <c r="G152" s="13">
        <f t="shared" si="5"/>
        <v>-634</v>
      </c>
      <c r="L152" s="13"/>
    </row>
    <row r="153" spans="1:12" x14ac:dyDescent="0.3">
      <c r="A153" s="7" t="s">
        <v>205</v>
      </c>
      <c r="B153" s="7" t="s">
        <v>3</v>
      </c>
      <c r="C153" s="7" cm="1">
        <f t="array" ref="C153">_xlfn.IFS(B153="25-50%",45,B153="50-75%",30,B153="last 25%",30,B153="Retire",0,B153="Top 25 %",60,B153="REST",30)</f>
        <v>0</v>
      </c>
      <c r="D153" s="13" cm="1">
        <f t="array" ref="D153">AVERAGE('SKU sales and Inventory'!D154:F154/30)</f>
        <v>6.5333333333333341</v>
      </c>
      <c r="E153" s="13">
        <f t="shared" si="4"/>
        <v>0</v>
      </c>
      <c r="F153" s="7">
        <v>105</v>
      </c>
      <c r="G153" s="13">
        <f t="shared" si="5"/>
        <v>105</v>
      </c>
      <c r="L153" s="13"/>
    </row>
    <row r="154" spans="1:12" x14ac:dyDescent="0.3">
      <c r="A154" s="7" t="s">
        <v>206</v>
      </c>
      <c r="B154" s="7" t="s">
        <v>1</v>
      </c>
      <c r="C154" s="7" cm="1">
        <f t="array" ref="C154">_xlfn.IFS(B154="25-50%",45,B154="50-75%",30,B154="last 25%",30,B154="Retire",0,B154="Top 25 %",60,B154="REST",30)</f>
        <v>30</v>
      </c>
      <c r="D154" s="13" cm="1">
        <f t="array" ref="D154">AVERAGE('SKU sales and Inventory'!D155:F155/30)</f>
        <v>13.233333333333334</v>
      </c>
      <c r="E154" s="13">
        <f t="shared" si="4"/>
        <v>397</v>
      </c>
      <c r="F154" s="7">
        <v>384</v>
      </c>
      <c r="G154" s="13">
        <f t="shared" si="5"/>
        <v>-13</v>
      </c>
      <c r="L154" s="13"/>
    </row>
    <row r="155" spans="1:12" x14ac:dyDescent="0.3">
      <c r="A155" s="7" t="s">
        <v>207</v>
      </c>
      <c r="B155" s="7" t="s">
        <v>1</v>
      </c>
      <c r="C155" s="7" cm="1">
        <f t="array" ref="C155">_xlfn.IFS(B155="25-50%",45,B155="50-75%",30,B155="last 25%",30,B155="Retire",0,B155="Top 25 %",60,B155="REST",30)</f>
        <v>30</v>
      </c>
      <c r="D155" s="13" cm="1">
        <f t="array" ref="D155">AVERAGE('SKU sales and Inventory'!D156:F156/30)</f>
        <v>6.666666666666667</v>
      </c>
      <c r="E155" s="13">
        <f t="shared" si="4"/>
        <v>200</v>
      </c>
      <c r="F155" s="7">
        <v>579</v>
      </c>
      <c r="G155" s="13">
        <f t="shared" si="5"/>
        <v>379</v>
      </c>
      <c r="L155" s="13"/>
    </row>
    <row r="156" spans="1:12" x14ac:dyDescent="0.3">
      <c r="A156" s="7" t="s">
        <v>208</v>
      </c>
      <c r="B156" s="7" t="s">
        <v>1</v>
      </c>
      <c r="C156" s="7" cm="1">
        <f t="array" ref="C156">_xlfn.IFS(B156="25-50%",45,B156="50-75%",30,B156="last 25%",30,B156="Retire",0,B156="Top 25 %",60,B156="REST",30)</f>
        <v>30</v>
      </c>
      <c r="D156" s="13" cm="1">
        <f t="array" ref="D156">AVERAGE('SKU sales and Inventory'!D157:F157/30)</f>
        <v>6.8666666666666671</v>
      </c>
      <c r="E156" s="13">
        <f t="shared" si="4"/>
        <v>206</v>
      </c>
      <c r="F156" s="7">
        <v>759</v>
      </c>
      <c r="G156" s="13">
        <f t="shared" si="5"/>
        <v>553</v>
      </c>
      <c r="L156" s="13"/>
    </row>
    <row r="157" spans="1:12" x14ac:dyDescent="0.3">
      <c r="A157" s="7" t="s">
        <v>209</v>
      </c>
      <c r="B157" s="7" t="s">
        <v>0</v>
      </c>
      <c r="C157" s="7" cm="1">
        <f t="array" ref="C157">_xlfn.IFS(B157="25-50%",45,B157="50-75%",30,B157="last 25%",30,B157="Retire",0,B157="Top 25 %",60,B157="REST",30)</f>
        <v>30</v>
      </c>
      <c r="D157" s="13" cm="1">
        <f t="array" ref="D157">AVERAGE('SKU sales and Inventory'!D158:F158/30)</f>
        <v>8.2333333333333343</v>
      </c>
      <c r="E157" s="13">
        <f t="shared" si="4"/>
        <v>247.00000000000003</v>
      </c>
      <c r="F157" s="7">
        <v>51</v>
      </c>
      <c r="G157" s="13">
        <f t="shared" si="5"/>
        <v>-196.00000000000003</v>
      </c>
      <c r="L157" s="13"/>
    </row>
    <row r="158" spans="1:12" x14ac:dyDescent="0.3">
      <c r="A158" s="7" t="s">
        <v>210</v>
      </c>
      <c r="B158" s="7" t="s">
        <v>0</v>
      </c>
      <c r="C158" s="7" cm="1">
        <f t="array" ref="C158">_xlfn.IFS(B158="25-50%",45,B158="50-75%",30,B158="last 25%",30,B158="Retire",0,B158="Top 25 %",60,B158="REST",30)</f>
        <v>30</v>
      </c>
      <c r="D158" s="13" cm="1">
        <f t="array" ref="D158">AVERAGE('SKU sales and Inventory'!D159:F159/30)</f>
        <v>5.333333333333333</v>
      </c>
      <c r="E158" s="13">
        <f t="shared" si="4"/>
        <v>160</v>
      </c>
      <c r="F158" s="7">
        <v>102</v>
      </c>
      <c r="G158" s="13">
        <f t="shared" si="5"/>
        <v>-58</v>
      </c>
      <c r="L158" s="13"/>
    </row>
    <row r="159" spans="1:12" x14ac:dyDescent="0.3">
      <c r="A159" s="7" t="s">
        <v>211</v>
      </c>
      <c r="B159" s="7" t="s">
        <v>0</v>
      </c>
      <c r="C159" s="7" cm="1">
        <f t="array" ref="C159">_xlfn.IFS(B159="25-50%",45,B159="50-75%",30,B159="last 25%",30,B159="Retire",0,B159="Top 25 %",60,B159="REST",30)</f>
        <v>30</v>
      </c>
      <c r="D159" s="13" cm="1">
        <f t="array" ref="D159">AVERAGE('SKU sales and Inventory'!D160:F160/30)</f>
        <v>4.4333333333333327</v>
      </c>
      <c r="E159" s="13">
        <f t="shared" si="4"/>
        <v>132.99999999999997</v>
      </c>
      <c r="F159" s="7">
        <v>1104</v>
      </c>
      <c r="G159" s="13">
        <f t="shared" si="5"/>
        <v>971</v>
      </c>
      <c r="L159" s="13"/>
    </row>
    <row r="160" spans="1:12" x14ac:dyDescent="0.3">
      <c r="A160" s="7" t="s">
        <v>212</v>
      </c>
      <c r="B160" s="7" t="s">
        <v>1</v>
      </c>
      <c r="C160" s="7" cm="1">
        <f t="array" ref="C160">_xlfn.IFS(B160="25-50%",45,B160="50-75%",30,B160="last 25%",30,B160="Retire",0,B160="Top 25 %",60,B160="REST",30)</f>
        <v>30</v>
      </c>
      <c r="D160" s="13" cm="1">
        <f t="array" ref="D160">AVERAGE('SKU sales and Inventory'!D161:F161/30)</f>
        <v>10.933333333333332</v>
      </c>
      <c r="E160" s="13">
        <f t="shared" si="4"/>
        <v>327.99999999999994</v>
      </c>
      <c r="F160" s="7">
        <v>1008</v>
      </c>
      <c r="G160" s="13">
        <f t="shared" si="5"/>
        <v>680</v>
      </c>
      <c r="L160" s="13"/>
    </row>
    <row r="161" spans="1:12" x14ac:dyDescent="0.3">
      <c r="A161" s="7" t="s">
        <v>213</v>
      </c>
      <c r="B161" s="7" t="s">
        <v>1</v>
      </c>
      <c r="C161" s="7" cm="1">
        <f t="array" ref="C161">_xlfn.IFS(B161="25-50%",45,B161="50-75%",30,B161="last 25%",30,B161="Retire",0,B161="Top 25 %",60,B161="REST",30)</f>
        <v>30</v>
      </c>
      <c r="D161" s="13" cm="1">
        <f t="array" ref="D161">AVERAGE('SKU sales and Inventory'!D162:F162/30)</f>
        <v>5.7</v>
      </c>
      <c r="E161" s="13">
        <f t="shared" si="4"/>
        <v>171</v>
      </c>
      <c r="F161" s="7">
        <v>570</v>
      </c>
      <c r="G161" s="13">
        <f t="shared" si="5"/>
        <v>399</v>
      </c>
      <c r="L161" s="13"/>
    </row>
    <row r="162" spans="1:12" x14ac:dyDescent="0.3">
      <c r="A162" s="7" t="s">
        <v>214</v>
      </c>
      <c r="B162" s="7" t="s">
        <v>0</v>
      </c>
      <c r="C162" s="7" cm="1">
        <f t="array" ref="C162">_xlfn.IFS(B162="25-50%",45,B162="50-75%",30,B162="last 25%",30,B162="Retire",0,B162="Top 25 %",60,B162="REST",30)</f>
        <v>30</v>
      </c>
      <c r="D162" s="13" cm="1">
        <f t="array" ref="D162">AVERAGE('SKU sales and Inventory'!D163:F163/30)</f>
        <v>7.9333333333333336</v>
      </c>
      <c r="E162" s="13">
        <f t="shared" si="4"/>
        <v>238</v>
      </c>
      <c r="F162" s="7">
        <v>375</v>
      </c>
      <c r="G162" s="13">
        <f t="shared" si="5"/>
        <v>137</v>
      </c>
      <c r="L162" s="13"/>
    </row>
    <row r="163" spans="1:12" x14ac:dyDescent="0.3">
      <c r="A163" s="7" t="s">
        <v>215</v>
      </c>
      <c r="B163" s="7" t="s">
        <v>2</v>
      </c>
      <c r="C163" s="7" cm="1">
        <f t="array" ref="C163">_xlfn.IFS(B163="25-50%",45,B163="50-75%",30,B163="last 25%",30,B163="Retire",0,B163="Top 25 %",60,B163="REST",30)</f>
        <v>45</v>
      </c>
      <c r="D163" s="13" cm="1">
        <f t="array" ref="D163">AVERAGE('SKU sales and Inventory'!D164:F164/30)</f>
        <v>10.700000000000001</v>
      </c>
      <c r="E163" s="13">
        <f t="shared" si="4"/>
        <v>481.50000000000006</v>
      </c>
      <c r="F163" s="7">
        <v>807</v>
      </c>
      <c r="G163" s="13">
        <f t="shared" si="5"/>
        <v>325.49999999999994</v>
      </c>
      <c r="L163" s="13"/>
    </row>
    <row r="164" spans="1:12" x14ac:dyDescent="0.3">
      <c r="A164" s="7" t="s">
        <v>216</v>
      </c>
      <c r="B164" s="7" t="s">
        <v>0</v>
      </c>
      <c r="C164" s="7" cm="1">
        <f t="array" ref="C164">_xlfn.IFS(B164="25-50%",45,B164="50-75%",30,B164="last 25%",30,B164="Retire",0,B164="Top 25 %",60,B164="REST",30)</f>
        <v>30</v>
      </c>
      <c r="D164" s="13" cm="1">
        <f t="array" ref="D164">AVERAGE('SKU sales and Inventory'!D165:F165/30)</f>
        <v>2.7666666666666662</v>
      </c>
      <c r="E164" s="13">
        <f t="shared" si="4"/>
        <v>82.999999999999986</v>
      </c>
      <c r="F164" s="7">
        <v>36</v>
      </c>
      <c r="G164" s="13">
        <f t="shared" si="5"/>
        <v>-46.999999999999986</v>
      </c>
      <c r="L164" s="13"/>
    </row>
    <row r="165" spans="1:12" x14ac:dyDescent="0.3">
      <c r="A165" s="7" t="s">
        <v>217</v>
      </c>
      <c r="B165" s="7" t="s">
        <v>0</v>
      </c>
      <c r="C165" s="7" cm="1">
        <f t="array" ref="C165">_xlfn.IFS(B165="25-50%",45,B165="50-75%",30,B165="last 25%",30,B165="Retire",0,B165="Top 25 %",60,B165="REST",30)</f>
        <v>30</v>
      </c>
      <c r="D165" s="13" cm="1">
        <f t="array" ref="D165">AVERAGE('SKU sales and Inventory'!D166:F166/30)</f>
        <v>5.4333333333333327</v>
      </c>
      <c r="E165" s="13">
        <f t="shared" si="4"/>
        <v>162.99999999999997</v>
      </c>
      <c r="F165" s="7">
        <v>162</v>
      </c>
      <c r="G165" s="13">
        <f t="shared" si="5"/>
        <v>-0.99999999999997158</v>
      </c>
      <c r="L165" s="13"/>
    </row>
    <row r="166" spans="1:12" x14ac:dyDescent="0.3">
      <c r="A166" s="7" t="s">
        <v>218</v>
      </c>
      <c r="B166" s="7" t="s">
        <v>2</v>
      </c>
      <c r="C166" s="7" cm="1">
        <f t="array" ref="C166">_xlfn.IFS(B166="25-50%",45,B166="50-75%",30,B166="last 25%",30,B166="Retire",0,B166="Top 25 %",60,B166="REST",30)</f>
        <v>45</v>
      </c>
      <c r="D166" s="13" cm="1">
        <f t="array" ref="D166">AVERAGE('SKU sales and Inventory'!D167:F167/30)</f>
        <v>8.1333333333333346</v>
      </c>
      <c r="E166" s="13">
        <f t="shared" si="4"/>
        <v>366.00000000000006</v>
      </c>
      <c r="F166" s="7">
        <v>93</v>
      </c>
      <c r="G166" s="13">
        <f t="shared" si="5"/>
        <v>-273.00000000000006</v>
      </c>
      <c r="L166" s="13"/>
    </row>
    <row r="167" spans="1:12" x14ac:dyDescent="0.3">
      <c r="A167" s="7" t="s">
        <v>219</v>
      </c>
      <c r="B167" s="7" t="s">
        <v>2</v>
      </c>
      <c r="C167" s="7" cm="1">
        <f t="array" ref="C167">_xlfn.IFS(B167="25-50%",45,B167="50-75%",30,B167="last 25%",30,B167="Retire",0,B167="Top 25 %",60,B167="REST",30)</f>
        <v>45</v>
      </c>
      <c r="D167" s="13" cm="1">
        <f t="array" ref="D167">AVERAGE('SKU sales and Inventory'!D168:F168/30)</f>
        <v>8.8333333333333339</v>
      </c>
      <c r="E167" s="13">
        <f t="shared" si="4"/>
        <v>397.5</v>
      </c>
      <c r="F167" s="7">
        <v>1047</v>
      </c>
      <c r="G167" s="13">
        <f t="shared" si="5"/>
        <v>649.5</v>
      </c>
      <c r="L167" s="13"/>
    </row>
    <row r="168" spans="1:12" x14ac:dyDescent="0.3">
      <c r="A168" s="7" t="s">
        <v>220</v>
      </c>
      <c r="B168" s="7" t="s">
        <v>0</v>
      </c>
      <c r="C168" s="7" cm="1">
        <f t="array" ref="C168">_xlfn.IFS(B168="25-50%",45,B168="50-75%",30,B168="last 25%",30,B168="Retire",0,B168="Top 25 %",60,B168="REST",30)</f>
        <v>30</v>
      </c>
      <c r="D168" s="13" cm="1">
        <f t="array" ref="D168">AVERAGE('SKU sales and Inventory'!D169:F169/30)</f>
        <v>10.4</v>
      </c>
      <c r="E168" s="13">
        <f t="shared" si="4"/>
        <v>312</v>
      </c>
      <c r="F168" s="7">
        <v>234</v>
      </c>
      <c r="G168" s="13">
        <f t="shared" si="5"/>
        <v>-78</v>
      </c>
      <c r="L168" s="13"/>
    </row>
    <row r="169" spans="1:12" x14ac:dyDescent="0.3">
      <c r="A169" s="7" t="s">
        <v>221</v>
      </c>
      <c r="B169" s="7" t="s">
        <v>1</v>
      </c>
      <c r="C169" s="7" cm="1">
        <f t="array" ref="C169">_xlfn.IFS(B169="25-50%",45,B169="50-75%",30,B169="last 25%",30,B169="Retire",0,B169="Top 25 %",60,B169="REST",30)</f>
        <v>30</v>
      </c>
      <c r="D169" s="13" cm="1">
        <f t="array" ref="D169">AVERAGE('SKU sales and Inventory'!D170:F170/30)</f>
        <v>8.2333333333333325</v>
      </c>
      <c r="E169" s="13">
        <f t="shared" si="4"/>
        <v>246.99999999999997</v>
      </c>
      <c r="F169" s="7">
        <v>1347</v>
      </c>
      <c r="G169" s="13">
        <f t="shared" si="5"/>
        <v>1100</v>
      </c>
      <c r="L169" s="13"/>
    </row>
    <row r="170" spans="1:12" x14ac:dyDescent="0.3">
      <c r="A170" s="7" t="s">
        <v>222</v>
      </c>
      <c r="B170" s="7" t="s">
        <v>1</v>
      </c>
      <c r="C170" s="7" cm="1">
        <f t="array" ref="C170">_xlfn.IFS(B170="25-50%",45,B170="50-75%",30,B170="last 25%",30,B170="Retire",0,B170="Top 25 %",60,B170="REST",30)</f>
        <v>30</v>
      </c>
      <c r="D170" s="13" cm="1">
        <f t="array" ref="D170">AVERAGE('SKU sales and Inventory'!D171:F171/30)</f>
        <v>9.2333333333333343</v>
      </c>
      <c r="E170" s="13">
        <f t="shared" si="4"/>
        <v>277</v>
      </c>
      <c r="F170" s="7">
        <v>402</v>
      </c>
      <c r="G170" s="13">
        <f t="shared" si="5"/>
        <v>125</v>
      </c>
      <c r="L170" s="13"/>
    </row>
    <row r="171" spans="1:12" x14ac:dyDescent="0.3">
      <c r="A171" s="7" t="s">
        <v>223</v>
      </c>
      <c r="B171" s="7" t="s">
        <v>0</v>
      </c>
      <c r="C171" s="7" cm="1">
        <f t="array" ref="C171">_xlfn.IFS(B171="25-50%",45,B171="50-75%",30,B171="last 25%",30,B171="Retire",0,B171="Top 25 %",60,B171="REST",30)</f>
        <v>30</v>
      </c>
      <c r="D171" s="13" cm="1">
        <f t="array" ref="D171">AVERAGE('SKU sales and Inventory'!D172:F172/30)</f>
        <v>4.5333333333333332</v>
      </c>
      <c r="E171" s="13">
        <f t="shared" si="4"/>
        <v>136</v>
      </c>
      <c r="F171" s="7">
        <v>432</v>
      </c>
      <c r="G171" s="13">
        <f t="shared" si="5"/>
        <v>296</v>
      </c>
      <c r="L171" s="13"/>
    </row>
    <row r="172" spans="1:12" x14ac:dyDescent="0.3">
      <c r="A172" s="7" t="s">
        <v>224</v>
      </c>
      <c r="B172" s="7" t="s">
        <v>2</v>
      </c>
      <c r="C172" s="7" cm="1">
        <f t="array" ref="C172">_xlfn.IFS(B172="25-50%",45,B172="50-75%",30,B172="last 25%",30,B172="Retire",0,B172="Top 25 %",60,B172="REST",30)</f>
        <v>45</v>
      </c>
      <c r="D172" s="13" cm="1">
        <f t="array" ref="D172">AVERAGE('SKU sales and Inventory'!D173:F173/30)</f>
        <v>10.266666666666667</v>
      </c>
      <c r="E172" s="13">
        <f t="shared" si="4"/>
        <v>462.00000000000006</v>
      </c>
      <c r="F172" s="7">
        <v>702</v>
      </c>
      <c r="G172" s="13">
        <f t="shared" si="5"/>
        <v>239.99999999999994</v>
      </c>
      <c r="L172" s="13"/>
    </row>
    <row r="173" spans="1:12" x14ac:dyDescent="0.3">
      <c r="A173" s="7" t="s">
        <v>225</v>
      </c>
      <c r="B173" s="7" t="s">
        <v>2</v>
      </c>
      <c r="C173" s="7" cm="1">
        <f t="array" ref="C173">_xlfn.IFS(B173="25-50%",45,B173="50-75%",30,B173="last 25%",30,B173="Retire",0,B173="Top 25 %",60,B173="REST",30)</f>
        <v>45</v>
      </c>
      <c r="D173" s="13" cm="1">
        <f t="array" ref="D173">AVERAGE('SKU sales and Inventory'!D174:F174/30)</f>
        <v>10.566666666666666</v>
      </c>
      <c r="E173" s="13">
        <f t="shared" si="4"/>
        <v>475.5</v>
      </c>
      <c r="F173" s="7">
        <v>555</v>
      </c>
      <c r="G173" s="13">
        <f t="shared" si="5"/>
        <v>79.5</v>
      </c>
      <c r="L173" s="13"/>
    </row>
    <row r="174" spans="1:12" x14ac:dyDescent="0.3">
      <c r="A174" s="7" t="s">
        <v>226</v>
      </c>
      <c r="B174" s="7" t="s">
        <v>1</v>
      </c>
      <c r="C174" s="7" cm="1">
        <f t="array" ref="C174">_xlfn.IFS(B174="25-50%",45,B174="50-75%",30,B174="last 25%",30,B174="Retire",0,B174="Top 25 %",60,B174="REST",30)</f>
        <v>30</v>
      </c>
      <c r="D174" s="13" cm="1">
        <f t="array" ref="D174">AVERAGE('SKU sales and Inventory'!D175:F175/30)</f>
        <v>8.9333333333333336</v>
      </c>
      <c r="E174" s="13">
        <f t="shared" si="4"/>
        <v>268</v>
      </c>
      <c r="F174" s="7">
        <v>1098</v>
      </c>
      <c r="G174" s="13">
        <f t="shared" si="5"/>
        <v>830</v>
      </c>
      <c r="L174" s="13"/>
    </row>
    <row r="175" spans="1:12" x14ac:dyDescent="0.3">
      <c r="A175" s="7" t="s">
        <v>227</v>
      </c>
      <c r="B175" s="7" t="s">
        <v>0</v>
      </c>
      <c r="C175" s="7" cm="1">
        <f t="array" ref="C175">_xlfn.IFS(B175="25-50%",45,B175="50-75%",30,B175="last 25%",30,B175="Retire",0,B175="Top 25 %",60,B175="REST",30)</f>
        <v>30</v>
      </c>
      <c r="D175" s="13" cm="1">
        <f t="array" ref="D175">AVERAGE('SKU sales and Inventory'!D176:F176/30)</f>
        <v>4.8</v>
      </c>
      <c r="E175" s="13">
        <f t="shared" si="4"/>
        <v>144</v>
      </c>
      <c r="F175" s="7">
        <v>684</v>
      </c>
      <c r="G175" s="13">
        <f t="shared" si="5"/>
        <v>540</v>
      </c>
      <c r="L175" s="13"/>
    </row>
    <row r="176" spans="1:12" x14ac:dyDescent="0.3">
      <c r="A176" s="7" t="s">
        <v>228</v>
      </c>
      <c r="B176" s="7" t="s">
        <v>0</v>
      </c>
      <c r="C176" s="7" cm="1">
        <f t="array" ref="C176">_xlfn.IFS(B176="25-50%",45,B176="50-75%",30,B176="last 25%",30,B176="Retire",0,B176="Top 25 %",60,B176="REST",30)</f>
        <v>30</v>
      </c>
      <c r="D176" s="13" cm="1">
        <f t="array" ref="D176">AVERAGE('SKU sales and Inventory'!D177:F177/30)</f>
        <v>5</v>
      </c>
      <c r="E176" s="13">
        <f t="shared" si="4"/>
        <v>150</v>
      </c>
      <c r="F176" s="7">
        <v>78</v>
      </c>
      <c r="G176" s="13">
        <f t="shared" si="5"/>
        <v>-72</v>
      </c>
      <c r="L176" s="13"/>
    </row>
    <row r="177" spans="1:12" x14ac:dyDescent="0.3">
      <c r="A177" s="7" t="s">
        <v>229</v>
      </c>
      <c r="B177" s="7" t="s">
        <v>0</v>
      </c>
      <c r="C177" s="7" cm="1">
        <f t="array" ref="C177">_xlfn.IFS(B177="25-50%",45,B177="50-75%",30,B177="last 25%",30,B177="Retire",0,B177="Top 25 %",60,B177="REST",30)</f>
        <v>30</v>
      </c>
      <c r="D177" s="13" cm="1">
        <f t="array" ref="D177">AVERAGE('SKU sales and Inventory'!D178:F178/30)</f>
        <v>5.5666666666666664</v>
      </c>
      <c r="E177" s="13">
        <f t="shared" si="4"/>
        <v>167</v>
      </c>
      <c r="F177" s="7">
        <v>174</v>
      </c>
      <c r="G177" s="13">
        <f t="shared" si="5"/>
        <v>7</v>
      </c>
      <c r="L177" s="13"/>
    </row>
    <row r="178" spans="1:12" x14ac:dyDescent="0.3">
      <c r="A178" s="7" t="s">
        <v>230</v>
      </c>
      <c r="B178" s="7" t="s">
        <v>1</v>
      </c>
      <c r="C178" s="7" cm="1">
        <f t="array" ref="C178">_xlfn.IFS(B178="25-50%",45,B178="50-75%",30,B178="last 25%",30,B178="Retire",0,B178="Top 25 %",60,B178="REST",30)</f>
        <v>30</v>
      </c>
      <c r="D178" s="13" cm="1">
        <f t="array" ref="D178">AVERAGE('SKU sales and Inventory'!D179:F179/30)</f>
        <v>5.666666666666667</v>
      </c>
      <c r="E178" s="13">
        <f t="shared" si="4"/>
        <v>170</v>
      </c>
      <c r="F178" s="7">
        <v>462</v>
      </c>
      <c r="G178" s="13">
        <f t="shared" si="5"/>
        <v>292</v>
      </c>
      <c r="L178" s="13"/>
    </row>
    <row r="179" spans="1:12" x14ac:dyDescent="0.3">
      <c r="A179" s="7" t="s">
        <v>231</v>
      </c>
      <c r="B179" s="7" t="s">
        <v>0</v>
      </c>
      <c r="C179" s="7" cm="1">
        <f t="array" ref="C179">_xlfn.IFS(B179="25-50%",45,B179="50-75%",30,B179="last 25%",30,B179="Retire",0,B179="Top 25 %",60,B179="REST",30)</f>
        <v>30</v>
      </c>
      <c r="D179" s="13" cm="1">
        <f t="array" ref="D179">AVERAGE('SKU sales and Inventory'!D180:F180/30)</f>
        <v>8.7666666666666675</v>
      </c>
      <c r="E179" s="13">
        <f t="shared" si="4"/>
        <v>263</v>
      </c>
      <c r="F179" s="7">
        <v>1389</v>
      </c>
      <c r="G179" s="13">
        <f t="shared" si="5"/>
        <v>1126</v>
      </c>
      <c r="L179" s="13"/>
    </row>
    <row r="180" spans="1:12" x14ac:dyDescent="0.3">
      <c r="A180" s="7" t="s">
        <v>232</v>
      </c>
      <c r="B180" s="7" t="s">
        <v>0</v>
      </c>
      <c r="C180" s="7" cm="1">
        <f t="array" ref="C180">_xlfn.IFS(B180="25-50%",45,B180="50-75%",30,B180="last 25%",30,B180="Retire",0,B180="Top 25 %",60,B180="REST",30)</f>
        <v>30</v>
      </c>
      <c r="D180" s="13" cm="1">
        <f t="array" ref="D180">AVERAGE('SKU sales and Inventory'!D181:F181/30)</f>
        <v>10.133333333333333</v>
      </c>
      <c r="E180" s="13">
        <f t="shared" si="4"/>
        <v>304</v>
      </c>
      <c r="F180" s="7">
        <v>450</v>
      </c>
      <c r="G180" s="13">
        <f t="shared" si="5"/>
        <v>146</v>
      </c>
      <c r="L180" s="13"/>
    </row>
    <row r="181" spans="1:12" x14ac:dyDescent="0.3">
      <c r="A181" s="7" t="s">
        <v>233</v>
      </c>
      <c r="B181" s="7" t="s">
        <v>0</v>
      </c>
      <c r="C181" s="7" cm="1">
        <f t="array" ref="C181">_xlfn.IFS(B181="25-50%",45,B181="50-75%",30,B181="last 25%",30,B181="Retire",0,B181="Top 25 %",60,B181="REST",30)</f>
        <v>30</v>
      </c>
      <c r="D181" s="13" cm="1">
        <f t="array" ref="D181">AVERAGE('SKU sales and Inventory'!D182:F182/30)</f>
        <v>4.8999999999999995</v>
      </c>
      <c r="E181" s="13">
        <f t="shared" si="4"/>
        <v>146.99999999999997</v>
      </c>
      <c r="F181" s="7">
        <v>165</v>
      </c>
      <c r="G181" s="13">
        <f t="shared" si="5"/>
        <v>18.000000000000028</v>
      </c>
      <c r="L181" s="13"/>
    </row>
    <row r="182" spans="1:12" x14ac:dyDescent="0.3">
      <c r="A182" s="7" t="s">
        <v>234</v>
      </c>
      <c r="B182" s="7" t="s">
        <v>0</v>
      </c>
      <c r="C182" s="7" cm="1">
        <f t="array" ref="C182">_xlfn.IFS(B182="25-50%",45,B182="50-75%",30,B182="last 25%",30,B182="Retire",0,B182="Top 25 %",60,B182="REST",30)</f>
        <v>30</v>
      </c>
      <c r="D182" s="13" cm="1">
        <f t="array" ref="D182">AVERAGE('SKU sales and Inventory'!D183:F183/30)</f>
        <v>2.9666666666666668</v>
      </c>
      <c r="E182" s="13">
        <f t="shared" si="4"/>
        <v>89</v>
      </c>
      <c r="F182" s="7">
        <v>57</v>
      </c>
      <c r="G182" s="13">
        <f t="shared" si="5"/>
        <v>-32</v>
      </c>
      <c r="L182" s="13"/>
    </row>
    <row r="183" spans="1:12" x14ac:dyDescent="0.3">
      <c r="A183" s="7" t="s">
        <v>235</v>
      </c>
      <c r="B183" s="7" t="s">
        <v>0</v>
      </c>
      <c r="C183" s="7" cm="1">
        <f t="array" ref="C183">_xlfn.IFS(B183="25-50%",45,B183="50-75%",30,B183="last 25%",30,B183="Retire",0,B183="Top 25 %",60,B183="REST",30)</f>
        <v>30</v>
      </c>
      <c r="D183" s="13" cm="1">
        <f t="array" ref="D183">AVERAGE('SKU sales and Inventory'!D184:F184/30)</f>
        <v>8.6</v>
      </c>
      <c r="E183" s="13">
        <f t="shared" si="4"/>
        <v>258</v>
      </c>
      <c r="F183" s="7">
        <v>570</v>
      </c>
      <c r="G183" s="13">
        <f t="shared" si="5"/>
        <v>312</v>
      </c>
      <c r="L183" s="13"/>
    </row>
    <row r="184" spans="1:12" x14ac:dyDescent="0.3">
      <c r="A184" s="7" t="s">
        <v>236</v>
      </c>
      <c r="B184" s="7" t="s">
        <v>0</v>
      </c>
      <c r="C184" s="7" cm="1">
        <f t="array" ref="C184">_xlfn.IFS(B184="25-50%",45,B184="50-75%",30,B184="last 25%",30,B184="Retire",0,B184="Top 25 %",60,B184="REST",30)</f>
        <v>30</v>
      </c>
      <c r="D184" s="13" cm="1">
        <f t="array" ref="D184">AVERAGE('SKU sales and Inventory'!D185:F185/30)</f>
        <v>4.6000000000000005</v>
      </c>
      <c r="E184" s="13">
        <f t="shared" si="4"/>
        <v>138.00000000000003</v>
      </c>
      <c r="F184" s="7">
        <v>18</v>
      </c>
      <c r="G184" s="13">
        <f t="shared" si="5"/>
        <v>-120.00000000000003</v>
      </c>
      <c r="L184" s="13"/>
    </row>
    <row r="185" spans="1:12" x14ac:dyDescent="0.3">
      <c r="A185" s="7" t="s">
        <v>237</v>
      </c>
      <c r="B185" s="7" t="s">
        <v>1</v>
      </c>
      <c r="C185" s="7" cm="1">
        <f t="array" ref="C185">_xlfn.IFS(B185="25-50%",45,B185="50-75%",30,B185="last 25%",30,B185="Retire",0,B185="Top 25 %",60,B185="REST",30)</f>
        <v>30</v>
      </c>
      <c r="D185" s="13" cm="1">
        <f t="array" ref="D185">AVERAGE('SKU sales and Inventory'!D186:F186/30)</f>
        <v>10.499999999999998</v>
      </c>
      <c r="E185" s="13">
        <f t="shared" si="4"/>
        <v>314.99999999999994</v>
      </c>
      <c r="F185" s="7">
        <v>120</v>
      </c>
      <c r="G185" s="13">
        <f t="shared" si="5"/>
        <v>-194.99999999999994</v>
      </c>
      <c r="L185" s="13"/>
    </row>
    <row r="186" spans="1:12" x14ac:dyDescent="0.3">
      <c r="A186" s="7" t="s">
        <v>238</v>
      </c>
      <c r="B186" s="7" t="s">
        <v>1</v>
      </c>
      <c r="C186" s="7" cm="1">
        <f t="array" ref="C186">_xlfn.IFS(B186="25-50%",45,B186="50-75%",30,B186="last 25%",30,B186="Retire",0,B186="Top 25 %",60,B186="REST",30)</f>
        <v>30</v>
      </c>
      <c r="D186" s="13" cm="1">
        <f t="array" ref="D186">AVERAGE('SKU sales and Inventory'!D187:F187/30)</f>
        <v>9.5333333333333332</v>
      </c>
      <c r="E186" s="13">
        <f t="shared" si="4"/>
        <v>286</v>
      </c>
      <c r="F186" s="7">
        <v>183</v>
      </c>
      <c r="G186" s="13">
        <f t="shared" si="5"/>
        <v>-103</v>
      </c>
      <c r="L186" s="13"/>
    </row>
    <row r="187" spans="1:12" x14ac:dyDescent="0.3">
      <c r="A187" s="7" t="s">
        <v>239</v>
      </c>
      <c r="B187" s="7" t="s">
        <v>0</v>
      </c>
      <c r="C187" s="7" cm="1">
        <f t="array" ref="C187">_xlfn.IFS(B187="25-50%",45,B187="50-75%",30,B187="last 25%",30,B187="Retire",0,B187="Top 25 %",60,B187="REST",30)</f>
        <v>30</v>
      </c>
      <c r="D187" s="13" cm="1">
        <f t="array" ref="D187">AVERAGE('SKU sales and Inventory'!D188:F188/30)</f>
        <v>5.1333333333333329</v>
      </c>
      <c r="E187" s="13">
        <f t="shared" si="4"/>
        <v>154</v>
      </c>
      <c r="F187" s="7">
        <v>603</v>
      </c>
      <c r="G187" s="13">
        <f t="shared" si="5"/>
        <v>449</v>
      </c>
      <c r="L187" s="13"/>
    </row>
    <row r="188" spans="1:12" x14ac:dyDescent="0.3">
      <c r="A188" s="7" t="s">
        <v>240</v>
      </c>
      <c r="B188" s="7" t="s">
        <v>0</v>
      </c>
      <c r="C188" s="7" cm="1">
        <f t="array" ref="C188">_xlfn.IFS(B188="25-50%",45,B188="50-75%",30,B188="last 25%",30,B188="Retire",0,B188="Top 25 %",60,B188="REST",30)</f>
        <v>30</v>
      </c>
      <c r="D188" s="13" cm="1">
        <f t="array" ref="D188">AVERAGE('SKU sales and Inventory'!D189:F189/30)</f>
        <v>7.6333333333333329</v>
      </c>
      <c r="E188" s="13">
        <f t="shared" si="4"/>
        <v>229</v>
      </c>
      <c r="F188" s="7">
        <v>147</v>
      </c>
      <c r="G188" s="13">
        <f t="shared" si="5"/>
        <v>-82</v>
      </c>
      <c r="L188" s="13"/>
    </row>
    <row r="189" spans="1:12" x14ac:dyDescent="0.3">
      <c r="A189" s="7" t="s">
        <v>241</v>
      </c>
      <c r="B189" s="7" t="s">
        <v>2</v>
      </c>
      <c r="C189" s="7" cm="1">
        <f t="array" ref="C189">_xlfn.IFS(B189="25-50%",45,B189="50-75%",30,B189="last 25%",30,B189="Retire",0,B189="Top 25 %",60,B189="REST",30)</f>
        <v>45</v>
      </c>
      <c r="D189" s="13" cm="1">
        <f t="array" ref="D189">AVERAGE('SKU sales and Inventory'!D190:F190/30)</f>
        <v>12.933333333333332</v>
      </c>
      <c r="E189" s="13">
        <f t="shared" si="4"/>
        <v>581.99999999999989</v>
      </c>
      <c r="F189" s="7">
        <v>648</v>
      </c>
      <c r="G189" s="13">
        <f t="shared" si="5"/>
        <v>66.000000000000114</v>
      </c>
      <c r="L189" s="13"/>
    </row>
    <row r="190" spans="1:12" x14ac:dyDescent="0.3">
      <c r="A190" s="7" t="s">
        <v>242</v>
      </c>
      <c r="B190" s="7" t="s">
        <v>1</v>
      </c>
      <c r="C190" s="7" cm="1">
        <f t="array" ref="C190">_xlfn.IFS(B190="25-50%",45,B190="50-75%",30,B190="last 25%",30,B190="Retire",0,B190="Top 25 %",60,B190="REST",30)</f>
        <v>30</v>
      </c>
      <c r="D190" s="13" cm="1">
        <f t="array" ref="D190">AVERAGE('SKU sales and Inventory'!D191:F191/30)</f>
        <v>6.2333333333333343</v>
      </c>
      <c r="E190" s="13">
        <f t="shared" si="4"/>
        <v>187.00000000000003</v>
      </c>
      <c r="F190" s="7">
        <v>780</v>
      </c>
      <c r="G190" s="13">
        <f t="shared" si="5"/>
        <v>593</v>
      </c>
      <c r="L190" s="13"/>
    </row>
    <row r="191" spans="1:12" x14ac:dyDescent="0.3">
      <c r="A191" s="7" t="s">
        <v>243</v>
      </c>
      <c r="B191" s="7" t="s">
        <v>0</v>
      </c>
      <c r="C191" s="7" cm="1">
        <f t="array" ref="C191">_xlfn.IFS(B191="25-50%",45,B191="50-75%",30,B191="last 25%",30,B191="Retire",0,B191="Top 25 %",60,B191="REST",30)</f>
        <v>30</v>
      </c>
      <c r="D191" s="13" cm="1">
        <f t="array" ref="D191">AVERAGE('SKU sales and Inventory'!D192:F192/30)</f>
        <v>9.0666666666666682</v>
      </c>
      <c r="E191" s="13">
        <f t="shared" si="4"/>
        <v>272.00000000000006</v>
      </c>
      <c r="F191" s="7">
        <v>36</v>
      </c>
      <c r="G191" s="13">
        <f t="shared" si="5"/>
        <v>-236.00000000000006</v>
      </c>
      <c r="L191" s="13"/>
    </row>
    <row r="192" spans="1:12" x14ac:dyDescent="0.3">
      <c r="A192" s="7" t="s">
        <v>244</v>
      </c>
      <c r="B192" s="7" t="s">
        <v>0</v>
      </c>
      <c r="C192" s="7" cm="1">
        <f t="array" ref="C192">_xlfn.IFS(B192="25-50%",45,B192="50-75%",30,B192="last 25%",30,B192="Retire",0,B192="Top 25 %",60,B192="REST",30)</f>
        <v>30</v>
      </c>
      <c r="D192" s="13" cm="1">
        <f t="array" ref="D192">AVERAGE('SKU sales and Inventory'!D193:F193/30)</f>
        <v>5.2</v>
      </c>
      <c r="E192" s="13">
        <f t="shared" si="4"/>
        <v>156</v>
      </c>
      <c r="F192" s="7">
        <v>150</v>
      </c>
      <c r="G192" s="13">
        <f t="shared" si="5"/>
        <v>-6</v>
      </c>
      <c r="L192" s="13"/>
    </row>
    <row r="193" spans="1:12" x14ac:dyDescent="0.3">
      <c r="A193" s="7" t="s">
        <v>245</v>
      </c>
      <c r="B193" s="7" t="s">
        <v>0</v>
      </c>
      <c r="C193" s="7" cm="1">
        <f t="array" ref="C193">_xlfn.IFS(B193="25-50%",45,B193="50-75%",30,B193="last 25%",30,B193="Retire",0,B193="Top 25 %",60,B193="REST",30)</f>
        <v>30</v>
      </c>
      <c r="D193" s="13" cm="1">
        <f t="array" ref="D193">AVERAGE('SKU sales and Inventory'!D194:F194/30)</f>
        <v>3.1333333333333333</v>
      </c>
      <c r="E193" s="13">
        <f t="shared" si="4"/>
        <v>94</v>
      </c>
      <c r="F193" s="7">
        <v>27</v>
      </c>
      <c r="G193" s="13">
        <f t="shared" si="5"/>
        <v>-67</v>
      </c>
      <c r="L193" s="13"/>
    </row>
    <row r="194" spans="1:12" x14ac:dyDescent="0.3">
      <c r="A194" s="7" t="s">
        <v>246</v>
      </c>
      <c r="B194" s="7" t="s">
        <v>1</v>
      </c>
      <c r="C194" s="7" cm="1">
        <f t="array" ref="C194">_xlfn.IFS(B194="25-50%",45,B194="50-75%",30,B194="last 25%",30,B194="Retire",0,B194="Top 25 %",60,B194="REST",30)</f>
        <v>30</v>
      </c>
      <c r="D194" s="13" cm="1">
        <f t="array" ref="D194">AVERAGE('SKU sales and Inventory'!D195:F195/30)</f>
        <v>6.166666666666667</v>
      </c>
      <c r="E194" s="13">
        <f t="shared" si="4"/>
        <v>185</v>
      </c>
      <c r="F194" s="7">
        <v>765</v>
      </c>
      <c r="G194" s="13">
        <f t="shared" si="5"/>
        <v>580</v>
      </c>
      <c r="L194" s="13"/>
    </row>
    <row r="195" spans="1:12" x14ac:dyDescent="0.3">
      <c r="A195" s="7" t="s">
        <v>247</v>
      </c>
      <c r="B195" s="7" t="s">
        <v>0</v>
      </c>
      <c r="C195" s="7" cm="1">
        <f t="array" ref="C195">_xlfn.IFS(B195="25-50%",45,B195="50-75%",30,B195="last 25%",30,B195="Retire",0,B195="Top 25 %",60,B195="REST",30)</f>
        <v>30</v>
      </c>
      <c r="D195" s="13" cm="1">
        <f t="array" ref="D195">AVERAGE('SKU sales and Inventory'!D196:F196/30)</f>
        <v>3.3000000000000003</v>
      </c>
      <c r="E195" s="13">
        <f t="shared" ref="E195:E258" si="6">D195*C195</f>
        <v>99.000000000000014</v>
      </c>
      <c r="F195" s="7">
        <v>396</v>
      </c>
      <c r="G195" s="13">
        <f t="shared" ref="G195:G258" si="7">F195-E195</f>
        <v>297</v>
      </c>
      <c r="L195" s="13"/>
    </row>
    <row r="196" spans="1:12" x14ac:dyDescent="0.3">
      <c r="A196" s="7" t="s">
        <v>248</v>
      </c>
      <c r="B196" s="7" t="s">
        <v>2</v>
      </c>
      <c r="C196" s="7" cm="1">
        <f t="array" ref="C196">_xlfn.IFS(B196="25-50%",45,B196="50-75%",30,B196="last 25%",30,B196="Retire",0,B196="Top 25 %",60,B196="REST",30)</f>
        <v>45</v>
      </c>
      <c r="D196" s="13" cm="1">
        <f t="array" ref="D196">AVERAGE('SKU sales and Inventory'!D197:F197/30)</f>
        <v>6.166666666666667</v>
      </c>
      <c r="E196" s="13">
        <f t="shared" si="6"/>
        <v>277.5</v>
      </c>
      <c r="F196" s="7">
        <v>102</v>
      </c>
      <c r="G196" s="13">
        <f t="shared" si="7"/>
        <v>-175.5</v>
      </c>
      <c r="L196" s="13"/>
    </row>
    <row r="197" spans="1:12" x14ac:dyDescent="0.3">
      <c r="A197" s="7" t="s">
        <v>249</v>
      </c>
      <c r="B197" s="7" t="s">
        <v>1</v>
      </c>
      <c r="C197" s="7" cm="1">
        <f t="array" ref="C197">_xlfn.IFS(B197="25-50%",45,B197="50-75%",30,B197="last 25%",30,B197="Retire",0,B197="Top 25 %",60,B197="REST",30)</f>
        <v>30</v>
      </c>
      <c r="D197" s="13" cm="1">
        <f t="array" ref="D197">AVERAGE('SKU sales and Inventory'!D198:F198/30)</f>
        <v>6.2333333333333334</v>
      </c>
      <c r="E197" s="13">
        <f t="shared" si="6"/>
        <v>187</v>
      </c>
      <c r="F197" s="7">
        <v>528</v>
      </c>
      <c r="G197" s="13">
        <f t="shared" si="7"/>
        <v>341</v>
      </c>
      <c r="L197" s="13"/>
    </row>
    <row r="198" spans="1:12" x14ac:dyDescent="0.3">
      <c r="A198" s="7" t="s">
        <v>250</v>
      </c>
      <c r="B198" s="7" t="s">
        <v>0</v>
      </c>
      <c r="C198" s="7" cm="1">
        <f t="array" ref="C198">_xlfn.IFS(B198="25-50%",45,B198="50-75%",30,B198="last 25%",30,B198="Retire",0,B198="Top 25 %",60,B198="REST",30)</f>
        <v>30</v>
      </c>
      <c r="D198" s="13" cm="1">
        <f t="array" ref="D198">AVERAGE('SKU sales and Inventory'!D199:F199/30)</f>
        <v>5.0666666666666664</v>
      </c>
      <c r="E198" s="13">
        <f t="shared" si="6"/>
        <v>152</v>
      </c>
      <c r="F198" s="7">
        <v>120</v>
      </c>
      <c r="G198" s="13">
        <f t="shared" si="7"/>
        <v>-32</v>
      </c>
      <c r="L198" s="13"/>
    </row>
    <row r="199" spans="1:12" x14ac:dyDescent="0.3">
      <c r="A199" s="7" t="s">
        <v>251</v>
      </c>
      <c r="B199" s="7" t="s">
        <v>0</v>
      </c>
      <c r="C199" s="7" cm="1">
        <f t="array" ref="C199">_xlfn.IFS(B199="25-50%",45,B199="50-75%",30,B199="last 25%",30,B199="Retire",0,B199="Top 25 %",60,B199="REST",30)</f>
        <v>30</v>
      </c>
      <c r="D199" s="13" cm="1">
        <f t="array" ref="D199">AVERAGE('SKU sales and Inventory'!D200:F200/30)</f>
        <v>5.9666666666666659</v>
      </c>
      <c r="E199" s="13">
        <f t="shared" si="6"/>
        <v>178.99999999999997</v>
      </c>
      <c r="F199" s="7">
        <v>84</v>
      </c>
      <c r="G199" s="13">
        <f t="shared" si="7"/>
        <v>-94.999999999999972</v>
      </c>
      <c r="L199" s="13"/>
    </row>
    <row r="200" spans="1:12" x14ac:dyDescent="0.3">
      <c r="A200" s="7" t="s">
        <v>252</v>
      </c>
      <c r="B200" s="7" t="s">
        <v>0</v>
      </c>
      <c r="C200" s="7" cm="1">
        <f t="array" ref="C200">_xlfn.IFS(B200="25-50%",45,B200="50-75%",30,B200="last 25%",30,B200="Retire",0,B200="Top 25 %",60,B200="REST",30)</f>
        <v>30</v>
      </c>
      <c r="D200" s="13" cm="1">
        <f t="array" ref="D200">AVERAGE('SKU sales and Inventory'!D201:F201/30)</f>
        <v>5.0333333333333332</v>
      </c>
      <c r="E200" s="13">
        <f t="shared" si="6"/>
        <v>151</v>
      </c>
      <c r="F200" s="7">
        <v>192</v>
      </c>
      <c r="G200" s="13">
        <f t="shared" si="7"/>
        <v>41</v>
      </c>
      <c r="L200" s="13"/>
    </row>
    <row r="201" spans="1:12" x14ac:dyDescent="0.3">
      <c r="A201" s="7" t="s">
        <v>253</v>
      </c>
      <c r="B201" s="7" t="s">
        <v>4</v>
      </c>
      <c r="C201" s="7" cm="1">
        <f t="array" ref="C201">_xlfn.IFS(B201="25-50%",45,B201="50-75%",30,B201="last 25%",30,B201="Retire",0,B201="Top 25 %",60,B201="REST",30)</f>
        <v>60</v>
      </c>
      <c r="D201" s="13" cm="1">
        <f t="array" ref="D201">AVERAGE('SKU sales and Inventory'!D202:F202/30)</f>
        <v>6.2333333333333334</v>
      </c>
      <c r="E201" s="13">
        <f t="shared" si="6"/>
        <v>374</v>
      </c>
      <c r="F201" s="7">
        <v>480</v>
      </c>
      <c r="G201" s="13">
        <f t="shared" si="7"/>
        <v>106</v>
      </c>
      <c r="L201" s="13"/>
    </row>
    <row r="202" spans="1:12" x14ac:dyDescent="0.3">
      <c r="A202" s="7" t="s">
        <v>254</v>
      </c>
      <c r="B202" s="7" t="s">
        <v>2</v>
      </c>
      <c r="C202" s="7" cm="1">
        <f t="array" ref="C202">_xlfn.IFS(B202="25-50%",45,B202="50-75%",30,B202="last 25%",30,B202="Retire",0,B202="Top 25 %",60,B202="REST",30)</f>
        <v>45</v>
      </c>
      <c r="D202" s="13" cm="1">
        <f t="array" ref="D202">AVERAGE('SKU sales and Inventory'!D203:F203/30)</f>
        <v>7.7666666666666657</v>
      </c>
      <c r="E202" s="13">
        <f t="shared" si="6"/>
        <v>349.49999999999994</v>
      </c>
      <c r="F202" s="7">
        <v>669</v>
      </c>
      <c r="G202" s="13">
        <f t="shared" si="7"/>
        <v>319.50000000000006</v>
      </c>
      <c r="L202" s="13"/>
    </row>
    <row r="203" spans="1:12" x14ac:dyDescent="0.3">
      <c r="A203" s="7" t="s">
        <v>255</v>
      </c>
      <c r="B203" s="7" t="s">
        <v>2</v>
      </c>
      <c r="C203" s="7" cm="1">
        <f t="array" ref="C203">_xlfn.IFS(B203="25-50%",45,B203="50-75%",30,B203="last 25%",30,B203="Retire",0,B203="Top 25 %",60,B203="REST",30)</f>
        <v>45</v>
      </c>
      <c r="D203" s="13" cm="1">
        <f t="array" ref="D203">AVERAGE('SKU sales and Inventory'!D204:F204/30)</f>
        <v>8.4333333333333336</v>
      </c>
      <c r="E203" s="13">
        <f t="shared" si="6"/>
        <v>379.5</v>
      </c>
      <c r="F203" s="7">
        <v>276</v>
      </c>
      <c r="G203" s="13">
        <f t="shared" si="7"/>
        <v>-103.5</v>
      </c>
      <c r="L203" s="13"/>
    </row>
    <row r="204" spans="1:12" x14ac:dyDescent="0.3">
      <c r="A204" s="7" t="s">
        <v>256</v>
      </c>
      <c r="B204" s="7" t="s">
        <v>0</v>
      </c>
      <c r="C204" s="7" cm="1">
        <f t="array" ref="C204">_xlfn.IFS(B204="25-50%",45,B204="50-75%",30,B204="last 25%",30,B204="Retire",0,B204="Top 25 %",60,B204="REST",30)</f>
        <v>30</v>
      </c>
      <c r="D204" s="13" cm="1">
        <f t="array" ref="D204">AVERAGE('SKU sales and Inventory'!D205:F205/30)</f>
        <v>8.0333333333333332</v>
      </c>
      <c r="E204" s="13">
        <f t="shared" si="6"/>
        <v>241</v>
      </c>
      <c r="F204" s="7">
        <v>1056</v>
      </c>
      <c r="G204" s="13">
        <f t="shared" si="7"/>
        <v>815</v>
      </c>
      <c r="L204" s="13"/>
    </row>
    <row r="205" spans="1:12" x14ac:dyDescent="0.3">
      <c r="A205" s="7" t="s">
        <v>257</v>
      </c>
      <c r="B205" s="7" t="s">
        <v>0</v>
      </c>
      <c r="C205" s="7" cm="1">
        <f t="array" ref="C205">_xlfn.IFS(B205="25-50%",45,B205="50-75%",30,B205="last 25%",30,B205="Retire",0,B205="Top 25 %",60,B205="REST",30)</f>
        <v>30</v>
      </c>
      <c r="D205" s="13" cm="1">
        <f t="array" ref="D205">AVERAGE('SKU sales and Inventory'!D206:F206/30)</f>
        <v>3.5333333333333337</v>
      </c>
      <c r="E205" s="13">
        <f t="shared" si="6"/>
        <v>106.00000000000001</v>
      </c>
      <c r="F205" s="7">
        <v>888</v>
      </c>
      <c r="G205" s="13">
        <f t="shared" si="7"/>
        <v>782</v>
      </c>
      <c r="L205" s="13"/>
    </row>
    <row r="206" spans="1:12" x14ac:dyDescent="0.3">
      <c r="A206" s="7" t="s">
        <v>258</v>
      </c>
      <c r="B206" s="7" t="s">
        <v>0</v>
      </c>
      <c r="C206" s="7" cm="1">
        <f t="array" ref="C206">_xlfn.IFS(B206="25-50%",45,B206="50-75%",30,B206="last 25%",30,B206="Retire",0,B206="Top 25 %",60,B206="REST",30)</f>
        <v>30</v>
      </c>
      <c r="D206" s="13" cm="1">
        <f t="array" ref="D206">AVERAGE('SKU sales and Inventory'!D207:F207/30)</f>
        <v>10.033333333333333</v>
      </c>
      <c r="E206" s="13">
        <f t="shared" si="6"/>
        <v>301</v>
      </c>
      <c r="F206" s="7">
        <v>318</v>
      </c>
      <c r="G206" s="13">
        <f t="shared" si="7"/>
        <v>17</v>
      </c>
      <c r="L206" s="13"/>
    </row>
    <row r="207" spans="1:12" x14ac:dyDescent="0.3">
      <c r="A207" s="7" t="s">
        <v>259</v>
      </c>
      <c r="B207" s="7" t="s">
        <v>0</v>
      </c>
      <c r="C207" s="7" cm="1">
        <f t="array" ref="C207">_xlfn.IFS(B207="25-50%",45,B207="50-75%",30,B207="last 25%",30,B207="Retire",0,B207="Top 25 %",60,B207="REST",30)</f>
        <v>30</v>
      </c>
      <c r="D207" s="13" cm="1">
        <f t="array" ref="D207">AVERAGE('SKU sales and Inventory'!D208:F208/30)</f>
        <v>4.1000000000000005</v>
      </c>
      <c r="E207" s="13">
        <f t="shared" si="6"/>
        <v>123.00000000000001</v>
      </c>
      <c r="F207" s="7">
        <v>192</v>
      </c>
      <c r="G207" s="13">
        <f t="shared" si="7"/>
        <v>68.999999999999986</v>
      </c>
      <c r="L207" s="13"/>
    </row>
    <row r="208" spans="1:12" x14ac:dyDescent="0.3">
      <c r="A208" s="7" t="s">
        <v>260</v>
      </c>
      <c r="B208" s="7" t="s">
        <v>0</v>
      </c>
      <c r="C208" s="7" cm="1">
        <f t="array" ref="C208">_xlfn.IFS(B208="25-50%",45,B208="50-75%",30,B208="last 25%",30,B208="Retire",0,B208="Top 25 %",60,B208="REST",30)</f>
        <v>30</v>
      </c>
      <c r="D208" s="13" cm="1">
        <f t="array" ref="D208">AVERAGE('SKU sales and Inventory'!D209:F209/30)</f>
        <v>3.2333333333333329</v>
      </c>
      <c r="E208" s="13">
        <f t="shared" si="6"/>
        <v>96.999999999999986</v>
      </c>
      <c r="F208" s="7">
        <v>309</v>
      </c>
      <c r="G208" s="13">
        <f t="shared" si="7"/>
        <v>212</v>
      </c>
      <c r="L208" s="13"/>
    </row>
    <row r="209" spans="1:12" x14ac:dyDescent="0.3">
      <c r="A209" s="7" t="s">
        <v>261</v>
      </c>
      <c r="B209" s="7" t="s">
        <v>1</v>
      </c>
      <c r="C209" s="7" cm="1">
        <f t="array" ref="C209">_xlfn.IFS(B209="25-50%",45,B209="50-75%",30,B209="last 25%",30,B209="Retire",0,B209="Top 25 %",60,B209="REST",30)</f>
        <v>30</v>
      </c>
      <c r="D209" s="13" cm="1">
        <f t="array" ref="D209">AVERAGE('SKU sales and Inventory'!D210:F210/30)</f>
        <v>5.5666666666666673</v>
      </c>
      <c r="E209" s="13">
        <f t="shared" si="6"/>
        <v>167.00000000000003</v>
      </c>
      <c r="F209" s="7">
        <v>543</v>
      </c>
      <c r="G209" s="13">
        <f t="shared" si="7"/>
        <v>376</v>
      </c>
      <c r="L209" s="13"/>
    </row>
    <row r="210" spans="1:12" x14ac:dyDescent="0.3">
      <c r="A210" s="7" t="s">
        <v>262</v>
      </c>
      <c r="B210" s="7" t="s">
        <v>1</v>
      </c>
      <c r="C210" s="7" cm="1">
        <f t="array" ref="C210">_xlfn.IFS(B210="25-50%",45,B210="50-75%",30,B210="last 25%",30,B210="Retire",0,B210="Top 25 %",60,B210="REST",30)</f>
        <v>30</v>
      </c>
      <c r="D210" s="13" cm="1">
        <f t="array" ref="D210">AVERAGE('SKU sales and Inventory'!D211:F211/30)</f>
        <v>4.3666666666666663</v>
      </c>
      <c r="E210" s="13">
        <f t="shared" si="6"/>
        <v>131</v>
      </c>
      <c r="F210" s="7">
        <v>303</v>
      </c>
      <c r="G210" s="13">
        <f t="shared" si="7"/>
        <v>172</v>
      </c>
      <c r="L210" s="13"/>
    </row>
    <row r="211" spans="1:12" x14ac:dyDescent="0.3">
      <c r="A211" s="7" t="s">
        <v>263</v>
      </c>
      <c r="B211" s="7" t="s">
        <v>0</v>
      </c>
      <c r="C211" s="7" cm="1">
        <f t="array" ref="C211">_xlfn.IFS(B211="25-50%",45,B211="50-75%",30,B211="last 25%",30,B211="Retire",0,B211="Top 25 %",60,B211="REST",30)</f>
        <v>30</v>
      </c>
      <c r="D211" s="13" cm="1">
        <f t="array" ref="D211">AVERAGE('SKU sales and Inventory'!D212:F212/30)</f>
        <v>5.166666666666667</v>
      </c>
      <c r="E211" s="13">
        <f t="shared" si="6"/>
        <v>155</v>
      </c>
      <c r="F211" s="7">
        <v>210</v>
      </c>
      <c r="G211" s="13">
        <f t="shared" si="7"/>
        <v>55</v>
      </c>
      <c r="L211" s="13"/>
    </row>
    <row r="212" spans="1:12" x14ac:dyDescent="0.3">
      <c r="A212" s="7" t="s">
        <v>264</v>
      </c>
      <c r="B212" s="7" t="s">
        <v>0</v>
      </c>
      <c r="C212" s="7" cm="1">
        <f t="array" ref="C212">_xlfn.IFS(B212="25-50%",45,B212="50-75%",30,B212="last 25%",30,B212="Retire",0,B212="Top 25 %",60,B212="REST",30)</f>
        <v>30</v>
      </c>
      <c r="D212" s="13" cm="1">
        <f t="array" ref="D212">AVERAGE('SKU sales and Inventory'!D213:F213/30)</f>
        <v>3.0333333333333332</v>
      </c>
      <c r="E212" s="13">
        <f t="shared" si="6"/>
        <v>91</v>
      </c>
      <c r="F212" s="7">
        <v>510</v>
      </c>
      <c r="G212" s="13">
        <f t="shared" si="7"/>
        <v>419</v>
      </c>
      <c r="L212" s="13"/>
    </row>
    <row r="213" spans="1:12" x14ac:dyDescent="0.3">
      <c r="A213" s="7" t="s">
        <v>265</v>
      </c>
      <c r="B213" s="7" t="s">
        <v>0</v>
      </c>
      <c r="C213" s="7" cm="1">
        <f t="array" ref="C213">_xlfn.IFS(B213="25-50%",45,B213="50-75%",30,B213="last 25%",30,B213="Retire",0,B213="Top 25 %",60,B213="REST",30)</f>
        <v>30</v>
      </c>
      <c r="D213" s="13" cm="1">
        <f t="array" ref="D213">AVERAGE('SKU sales and Inventory'!D214:F214/30)</f>
        <v>2.5666666666666669</v>
      </c>
      <c r="E213" s="13">
        <f t="shared" si="6"/>
        <v>77</v>
      </c>
      <c r="F213" s="7">
        <v>303</v>
      </c>
      <c r="G213" s="13">
        <f t="shared" si="7"/>
        <v>226</v>
      </c>
      <c r="L213" s="13"/>
    </row>
    <row r="214" spans="1:12" x14ac:dyDescent="0.3">
      <c r="A214" s="7" t="s">
        <v>266</v>
      </c>
      <c r="B214" s="7" t="s">
        <v>0</v>
      </c>
      <c r="C214" s="7" cm="1">
        <f t="array" ref="C214">_xlfn.IFS(B214="25-50%",45,B214="50-75%",30,B214="last 25%",30,B214="Retire",0,B214="Top 25 %",60,B214="REST",30)</f>
        <v>30</v>
      </c>
      <c r="D214" s="13" cm="1">
        <f t="array" ref="D214">AVERAGE('SKU sales and Inventory'!D215:F215/30)</f>
        <v>5.3999999999999995</v>
      </c>
      <c r="E214" s="13">
        <f t="shared" si="6"/>
        <v>161.99999999999997</v>
      </c>
      <c r="F214" s="7">
        <v>309</v>
      </c>
      <c r="G214" s="13">
        <f t="shared" si="7"/>
        <v>147.00000000000003</v>
      </c>
      <c r="L214" s="13"/>
    </row>
    <row r="215" spans="1:12" x14ac:dyDescent="0.3">
      <c r="A215" s="7" t="s">
        <v>267</v>
      </c>
      <c r="B215" s="7" t="s">
        <v>0</v>
      </c>
      <c r="C215" s="7" cm="1">
        <f t="array" ref="C215">_xlfn.IFS(B215="25-50%",45,B215="50-75%",30,B215="last 25%",30,B215="Retire",0,B215="Top 25 %",60,B215="REST",30)</f>
        <v>30</v>
      </c>
      <c r="D215" s="13" cm="1">
        <f t="array" ref="D215">AVERAGE('SKU sales and Inventory'!D216:F216/30)</f>
        <v>3.9666666666666668</v>
      </c>
      <c r="E215" s="13">
        <f t="shared" si="6"/>
        <v>119</v>
      </c>
      <c r="F215" s="7">
        <v>426</v>
      </c>
      <c r="G215" s="13">
        <f t="shared" si="7"/>
        <v>307</v>
      </c>
      <c r="L215" s="13"/>
    </row>
    <row r="216" spans="1:12" x14ac:dyDescent="0.3">
      <c r="A216" s="7" t="s">
        <v>268</v>
      </c>
      <c r="B216" s="7" t="s">
        <v>2</v>
      </c>
      <c r="C216" s="7" cm="1">
        <f t="array" ref="C216">_xlfn.IFS(B216="25-50%",45,B216="50-75%",30,B216="last 25%",30,B216="Retire",0,B216="Top 25 %",60,B216="REST",30)</f>
        <v>45</v>
      </c>
      <c r="D216" s="13" cm="1">
        <f t="array" ref="D216">AVERAGE('SKU sales and Inventory'!D217:F217/30)</f>
        <v>12.6</v>
      </c>
      <c r="E216" s="13">
        <f t="shared" si="6"/>
        <v>567</v>
      </c>
      <c r="F216" s="7">
        <v>498</v>
      </c>
      <c r="G216" s="13">
        <f t="shared" si="7"/>
        <v>-69</v>
      </c>
      <c r="L216" s="13"/>
    </row>
    <row r="217" spans="1:12" x14ac:dyDescent="0.3">
      <c r="A217" s="7" t="s">
        <v>269</v>
      </c>
      <c r="B217" s="7" t="s">
        <v>1</v>
      </c>
      <c r="C217" s="7" cm="1">
        <f t="array" ref="C217">_xlfn.IFS(B217="25-50%",45,B217="50-75%",30,B217="last 25%",30,B217="Retire",0,B217="Top 25 %",60,B217="REST",30)</f>
        <v>30</v>
      </c>
      <c r="D217" s="13" cm="1">
        <f t="array" ref="D217">AVERAGE('SKU sales and Inventory'!D218:F218/30)</f>
        <v>8.7333333333333343</v>
      </c>
      <c r="E217" s="13">
        <f t="shared" si="6"/>
        <v>262</v>
      </c>
      <c r="F217" s="7">
        <v>843</v>
      </c>
      <c r="G217" s="13">
        <f t="shared" si="7"/>
        <v>581</v>
      </c>
      <c r="L217" s="13"/>
    </row>
    <row r="218" spans="1:12" x14ac:dyDescent="0.3">
      <c r="A218" s="7" t="s">
        <v>270</v>
      </c>
      <c r="B218" s="7" t="s">
        <v>1</v>
      </c>
      <c r="C218" s="7" cm="1">
        <f t="array" ref="C218">_xlfn.IFS(B218="25-50%",45,B218="50-75%",30,B218="last 25%",30,B218="Retire",0,B218="Top 25 %",60,B218="REST",30)</f>
        <v>30</v>
      </c>
      <c r="D218" s="13" cm="1">
        <f t="array" ref="D218">AVERAGE('SKU sales and Inventory'!D219:F219/30)</f>
        <v>7.5666666666666664</v>
      </c>
      <c r="E218" s="13">
        <f t="shared" si="6"/>
        <v>227</v>
      </c>
      <c r="F218" s="7">
        <v>261</v>
      </c>
      <c r="G218" s="13">
        <f t="shared" si="7"/>
        <v>34</v>
      </c>
      <c r="L218" s="13"/>
    </row>
    <row r="219" spans="1:12" x14ac:dyDescent="0.3">
      <c r="A219" s="7" t="s">
        <v>271</v>
      </c>
      <c r="B219" s="7" t="s">
        <v>0</v>
      </c>
      <c r="C219" s="7" cm="1">
        <f t="array" ref="C219">_xlfn.IFS(B219="25-50%",45,B219="50-75%",30,B219="last 25%",30,B219="Retire",0,B219="Top 25 %",60,B219="REST",30)</f>
        <v>30</v>
      </c>
      <c r="D219" s="13" cm="1">
        <f t="array" ref="D219">AVERAGE('SKU sales and Inventory'!D220:F220/30)</f>
        <v>6.5</v>
      </c>
      <c r="E219" s="13">
        <f t="shared" si="6"/>
        <v>195</v>
      </c>
      <c r="F219" s="7">
        <v>111</v>
      </c>
      <c r="G219" s="13">
        <f t="shared" si="7"/>
        <v>-84</v>
      </c>
      <c r="L219" s="13"/>
    </row>
    <row r="220" spans="1:12" x14ac:dyDescent="0.3">
      <c r="A220" s="7" t="s">
        <v>272</v>
      </c>
      <c r="B220" s="7" t="s">
        <v>0</v>
      </c>
      <c r="C220" s="7" cm="1">
        <f t="array" ref="C220">_xlfn.IFS(B220="25-50%",45,B220="50-75%",30,B220="last 25%",30,B220="Retire",0,B220="Top 25 %",60,B220="REST",30)</f>
        <v>30</v>
      </c>
      <c r="D220" s="13" cm="1">
        <f t="array" ref="D220">AVERAGE('SKU sales and Inventory'!D221:F221/30)</f>
        <v>2.9333333333333336</v>
      </c>
      <c r="E220" s="13">
        <f t="shared" si="6"/>
        <v>88</v>
      </c>
      <c r="F220" s="7">
        <v>294</v>
      </c>
      <c r="G220" s="13">
        <f t="shared" si="7"/>
        <v>206</v>
      </c>
      <c r="L220" s="13"/>
    </row>
    <row r="221" spans="1:12" x14ac:dyDescent="0.3">
      <c r="A221" s="7" t="s">
        <v>273</v>
      </c>
      <c r="B221" s="7" t="s">
        <v>2</v>
      </c>
      <c r="C221" s="7" cm="1">
        <f t="array" ref="C221">_xlfn.IFS(B221="25-50%",45,B221="50-75%",30,B221="last 25%",30,B221="Retire",0,B221="Top 25 %",60,B221="REST",30)</f>
        <v>45</v>
      </c>
      <c r="D221" s="13" cm="1">
        <f t="array" ref="D221">AVERAGE('SKU sales and Inventory'!D222:F222/30)</f>
        <v>6.9000000000000012</v>
      </c>
      <c r="E221" s="13">
        <f t="shared" si="6"/>
        <v>310.50000000000006</v>
      </c>
      <c r="F221" s="7">
        <v>216</v>
      </c>
      <c r="G221" s="13">
        <f t="shared" si="7"/>
        <v>-94.500000000000057</v>
      </c>
      <c r="L221" s="13"/>
    </row>
    <row r="222" spans="1:12" x14ac:dyDescent="0.3">
      <c r="A222" s="7" t="s">
        <v>274</v>
      </c>
      <c r="B222" s="7" t="s">
        <v>0</v>
      </c>
      <c r="C222" s="7" cm="1">
        <f t="array" ref="C222">_xlfn.IFS(B222="25-50%",45,B222="50-75%",30,B222="last 25%",30,B222="Retire",0,B222="Top 25 %",60,B222="REST",30)</f>
        <v>30</v>
      </c>
      <c r="D222" s="13" cm="1">
        <f t="array" ref="D222">AVERAGE('SKU sales and Inventory'!D223:F223/30)</f>
        <v>5.0999999999999996</v>
      </c>
      <c r="E222" s="13">
        <f t="shared" si="6"/>
        <v>153</v>
      </c>
      <c r="F222" s="7">
        <v>204</v>
      </c>
      <c r="G222" s="13">
        <f t="shared" si="7"/>
        <v>51</v>
      </c>
      <c r="L222" s="13"/>
    </row>
    <row r="223" spans="1:12" x14ac:dyDescent="0.3">
      <c r="A223" s="7" t="s">
        <v>275</v>
      </c>
      <c r="B223" s="7" t="s">
        <v>0</v>
      </c>
      <c r="C223" s="7" cm="1">
        <f t="array" ref="C223">_xlfn.IFS(B223="25-50%",45,B223="50-75%",30,B223="last 25%",30,B223="Retire",0,B223="Top 25 %",60,B223="REST",30)</f>
        <v>30</v>
      </c>
      <c r="D223" s="13" cm="1">
        <f t="array" ref="D223">AVERAGE('SKU sales and Inventory'!D224:F224/30)</f>
        <v>4.6333333333333329</v>
      </c>
      <c r="E223" s="13">
        <f t="shared" si="6"/>
        <v>139</v>
      </c>
      <c r="F223" s="7">
        <v>96</v>
      </c>
      <c r="G223" s="13">
        <f t="shared" si="7"/>
        <v>-43</v>
      </c>
      <c r="L223" s="13"/>
    </row>
    <row r="224" spans="1:12" x14ac:dyDescent="0.3">
      <c r="A224" s="7" t="s">
        <v>276</v>
      </c>
      <c r="B224" s="7" t="s">
        <v>0</v>
      </c>
      <c r="C224" s="7" cm="1">
        <f t="array" ref="C224">_xlfn.IFS(B224="25-50%",45,B224="50-75%",30,B224="last 25%",30,B224="Retire",0,B224="Top 25 %",60,B224="REST",30)</f>
        <v>30</v>
      </c>
      <c r="D224" s="13" cm="1">
        <f t="array" ref="D224">AVERAGE('SKU sales and Inventory'!D225:F225/30)</f>
        <v>2.9666666666666668</v>
      </c>
      <c r="E224" s="13">
        <f t="shared" si="6"/>
        <v>89</v>
      </c>
      <c r="F224" s="7">
        <v>720</v>
      </c>
      <c r="G224" s="13">
        <f t="shared" si="7"/>
        <v>631</v>
      </c>
      <c r="L224" s="13"/>
    </row>
    <row r="225" spans="1:12" x14ac:dyDescent="0.3">
      <c r="A225" s="7" t="s">
        <v>277</v>
      </c>
      <c r="B225" s="7" t="s">
        <v>2</v>
      </c>
      <c r="C225" s="7" cm="1">
        <f t="array" ref="C225">_xlfn.IFS(B225="25-50%",45,B225="50-75%",30,B225="last 25%",30,B225="Retire",0,B225="Top 25 %",60,B225="REST",30)</f>
        <v>45</v>
      </c>
      <c r="D225" s="13" cm="1">
        <f t="array" ref="D225">AVERAGE('SKU sales and Inventory'!D226:F226/30)</f>
        <v>8.9333333333333318</v>
      </c>
      <c r="E225" s="13">
        <f t="shared" si="6"/>
        <v>401.99999999999994</v>
      </c>
      <c r="F225" s="7">
        <v>213</v>
      </c>
      <c r="G225" s="13">
        <f t="shared" si="7"/>
        <v>-188.99999999999994</v>
      </c>
      <c r="L225" s="13"/>
    </row>
    <row r="226" spans="1:12" x14ac:dyDescent="0.3">
      <c r="A226" s="7" t="s">
        <v>278</v>
      </c>
      <c r="B226" s="7" t="s">
        <v>1</v>
      </c>
      <c r="C226" s="7" cm="1">
        <f t="array" ref="C226">_xlfn.IFS(B226="25-50%",45,B226="50-75%",30,B226="last 25%",30,B226="Retire",0,B226="Top 25 %",60,B226="REST",30)</f>
        <v>30</v>
      </c>
      <c r="D226" s="13" cm="1">
        <f t="array" ref="D226">AVERAGE('SKU sales and Inventory'!D227:F227/30)</f>
        <v>5.7666666666666666</v>
      </c>
      <c r="E226" s="13">
        <f t="shared" si="6"/>
        <v>173</v>
      </c>
      <c r="F226" s="7">
        <v>771</v>
      </c>
      <c r="G226" s="13">
        <f t="shared" si="7"/>
        <v>598</v>
      </c>
      <c r="L226" s="13"/>
    </row>
    <row r="227" spans="1:12" x14ac:dyDescent="0.3">
      <c r="A227" s="7" t="s">
        <v>279</v>
      </c>
      <c r="B227" s="7" t="s">
        <v>1</v>
      </c>
      <c r="C227" s="7" cm="1">
        <f t="array" ref="C227">_xlfn.IFS(B227="25-50%",45,B227="50-75%",30,B227="last 25%",30,B227="Retire",0,B227="Top 25 %",60,B227="REST",30)</f>
        <v>30</v>
      </c>
      <c r="D227" s="13" cm="1">
        <f t="array" ref="D227">AVERAGE('SKU sales and Inventory'!D228:F228/30)</f>
        <v>5.2666666666666666</v>
      </c>
      <c r="E227" s="13">
        <f t="shared" si="6"/>
        <v>158</v>
      </c>
      <c r="F227" s="7">
        <v>567</v>
      </c>
      <c r="G227" s="13">
        <f t="shared" si="7"/>
        <v>409</v>
      </c>
      <c r="L227" s="13"/>
    </row>
    <row r="228" spans="1:12" x14ac:dyDescent="0.3">
      <c r="A228" s="7" t="s">
        <v>280</v>
      </c>
      <c r="B228" s="7" t="s">
        <v>0</v>
      </c>
      <c r="C228" s="7" cm="1">
        <f t="array" ref="C228">_xlfn.IFS(B228="25-50%",45,B228="50-75%",30,B228="last 25%",30,B228="Retire",0,B228="Top 25 %",60,B228="REST",30)</f>
        <v>30</v>
      </c>
      <c r="D228" s="13" cm="1">
        <f t="array" ref="D228">AVERAGE('SKU sales and Inventory'!D229:F229/30)</f>
        <v>8.1333333333333329</v>
      </c>
      <c r="E228" s="13">
        <f t="shared" si="6"/>
        <v>244</v>
      </c>
      <c r="F228" s="7">
        <v>39</v>
      </c>
      <c r="G228" s="13">
        <f t="shared" si="7"/>
        <v>-205</v>
      </c>
      <c r="L228" s="13"/>
    </row>
    <row r="229" spans="1:12" x14ac:dyDescent="0.3">
      <c r="A229" s="7" t="s">
        <v>281</v>
      </c>
      <c r="B229" s="7" t="s">
        <v>0</v>
      </c>
      <c r="C229" s="7" cm="1">
        <f t="array" ref="C229">_xlfn.IFS(B229="25-50%",45,B229="50-75%",30,B229="last 25%",30,B229="Retire",0,B229="Top 25 %",60,B229="REST",30)</f>
        <v>30</v>
      </c>
      <c r="D229" s="13" cm="1">
        <f t="array" ref="D229">AVERAGE('SKU sales and Inventory'!D230:F230/30)</f>
        <v>5.3666666666666671</v>
      </c>
      <c r="E229" s="13">
        <f t="shared" si="6"/>
        <v>161</v>
      </c>
      <c r="F229" s="7">
        <v>411</v>
      </c>
      <c r="G229" s="13">
        <f t="shared" si="7"/>
        <v>250</v>
      </c>
      <c r="L229" s="13"/>
    </row>
    <row r="230" spans="1:12" x14ac:dyDescent="0.3">
      <c r="A230" s="7" t="s">
        <v>282</v>
      </c>
      <c r="B230" s="7" t="s">
        <v>0</v>
      </c>
      <c r="C230" s="7" cm="1">
        <f t="array" ref="C230">_xlfn.IFS(B230="25-50%",45,B230="50-75%",30,B230="last 25%",30,B230="Retire",0,B230="Top 25 %",60,B230="REST",30)</f>
        <v>30</v>
      </c>
      <c r="D230" s="13" cm="1">
        <f t="array" ref="D230">AVERAGE('SKU sales and Inventory'!D231:F231/30)</f>
        <v>4.5333333333333341</v>
      </c>
      <c r="E230" s="13">
        <f t="shared" si="6"/>
        <v>136.00000000000003</v>
      </c>
      <c r="F230" s="7">
        <v>267</v>
      </c>
      <c r="G230" s="13">
        <f t="shared" si="7"/>
        <v>130.99999999999997</v>
      </c>
      <c r="L230" s="13"/>
    </row>
    <row r="231" spans="1:12" x14ac:dyDescent="0.3">
      <c r="A231" s="7" t="s">
        <v>283</v>
      </c>
      <c r="B231" s="7" t="s">
        <v>0</v>
      </c>
      <c r="C231" s="7" cm="1">
        <f t="array" ref="C231">_xlfn.IFS(B231="25-50%",45,B231="50-75%",30,B231="last 25%",30,B231="Retire",0,B231="Top 25 %",60,B231="REST",30)</f>
        <v>30</v>
      </c>
      <c r="D231" s="13" cm="1">
        <f t="array" ref="D231">AVERAGE('SKU sales and Inventory'!D232:F232/30)</f>
        <v>5.3</v>
      </c>
      <c r="E231" s="13">
        <f t="shared" si="6"/>
        <v>159</v>
      </c>
      <c r="F231" s="7">
        <v>243</v>
      </c>
      <c r="G231" s="13">
        <f t="shared" si="7"/>
        <v>84</v>
      </c>
      <c r="L231" s="13"/>
    </row>
    <row r="232" spans="1:12" x14ac:dyDescent="0.3">
      <c r="A232" s="7" t="s">
        <v>284</v>
      </c>
      <c r="B232" s="7" t="s">
        <v>0</v>
      </c>
      <c r="C232" s="7" cm="1">
        <f t="array" ref="C232">_xlfn.IFS(B232="25-50%",45,B232="50-75%",30,B232="last 25%",30,B232="Retire",0,B232="Top 25 %",60,B232="REST",30)</f>
        <v>30</v>
      </c>
      <c r="D232" s="13" cm="1">
        <f t="array" ref="D232">AVERAGE('SKU sales and Inventory'!D233:F233/30)</f>
        <v>3.9333333333333336</v>
      </c>
      <c r="E232" s="13">
        <f t="shared" si="6"/>
        <v>118</v>
      </c>
      <c r="F232" s="7">
        <v>1167</v>
      </c>
      <c r="G232" s="13">
        <f t="shared" si="7"/>
        <v>1049</v>
      </c>
      <c r="L232" s="13"/>
    </row>
    <row r="233" spans="1:12" x14ac:dyDescent="0.3">
      <c r="A233" s="7" t="s">
        <v>285</v>
      </c>
      <c r="B233" s="7" t="s">
        <v>0</v>
      </c>
      <c r="C233" s="7" cm="1">
        <f t="array" ref="C233">_xlfn.IFS(B233="25-50%",45,B233="50-75%",30,B233="last 25%",30,B233="Retire",0,B233="Top 25 %",60,B233="REST",30)</f>
        <v>30</v>
      </c>
      <c r="D233" s="13" cm="1">
        <f t="array" ref="D233">AVERAGE('SKU sales and Inventory'!D234:F234/30)</f>
        <v>2.8333333333333335</v>
      </c>
      <c r="E233" s="13">
        <f t="shared" si="6"/>
        <v>85</v>
      </c>
      <c r="F233" s="7">
        <v>126</v>
      </c>
      <c r="G233" s="13">
        <f t="shared" si="7"/>
        <v>41</v>
      </c>
      <c r="L233" s="13"/>
    </row>
    <row r="234" spans="1:12" x14ac:dyDescent="0.3">
      <c r="A234" s="7" t="s">
        <v>286</v>
      </c>
      <c r="B234" s="7" t="s">
        <v>0</v>
      </c>
      <c r="C234" s="7" cm="1">
        <f t="array" ref="C234">_xlfn.IFS(B234="25-50%",45,B234="50-75%",30,B234="last 25%",30,B234="Retire",0,B234="Top 25 %",60,B234="REST",30)</f>
        <v>30</v>
      </c>
      <c r="D234" s="13" cm="1">
        <f t="array" ref="D234">AVERAGE('SKU sales and Inventory'!D235:F235/30)</f>
        <v>2.9000000000000004</v>
      </c>
      <c r="E234" s="13">
        <f t="shared" si="6"/>
        <v>87.000000000000014</v>
      </c>
      <c r="F234" s="7">
        <v>327</v>
      </c>
      <c r="G234" s="13">
        <f t="shared" si="7"/>
        <v>240</v>
      </c>
      <c r="L234" s="13"/>
    </row>
    <row r="235" spans="1:12" x14ac:dyDescent="0.3">
      <c r="A235" s="7" t="s">
        <v>287</v>
      </c>
      <c r="B235" s="7" t="s">
        <v>0</v>
      </c>
      <c r="C235" s="7" cm="1">
        <f t="array" ref="C235">_xlfn.IFS(B235="25-50%",45,B235="50-75%",30,B235="last 25%",30,B235="Retire",0,B235="Top 25 %",60,B235="REST",30)</f>
        <v>30</v>
      </c>
      <c r="D235" s="13" cm="1">
        <f t="array" ref="D235">AVERAGE('SKU sales and Inventory'!D236:F236/30)</f>
        <v>9.8000000000000007</v>
      </c>
      <c r="E235" s="13">
        <f t="shared" si="6"/>
        <v>294</v>
      </c>
      <c r="F235" s="7">
        <v>51</v>
      </c>
      <c r="G235" s="13">
        <f t="shared" si="7"/>
        <v>-243</v>
      </c>
      <c r="L235" s="13"/>
    </row>
    <row r="236" spans="1:12" x14ac:dyDescent="0.3">
      <c r="A236" s="7" t="s">
        <v>288</v>
      </c>
      <c r="B236" s="7" t="s">
        <v>0</v>
      </c>
      <c r="C236" s="7" cm="1">
        <f t="array" ref="C236">_xlfn.IFS(B236="25-50%",45,B236="50-75%",30,B236="last 25%",30,B236="Retire",0,B236="Top 25 %",60,B236="REST",30)</f>
        <v>30</v>
      </c>
      <c r="D236" s="13" cm="1">
        <f t="array" ref="D236">AVERAGE('SKU sales and Inventory'!D237:F237/30)</f>
        <v>3.2333333333333329</v>
      </c>
      <c r="E236" s="13">
        <f t="shared" si="6"/>
        <v>96.999999999999986</v>
      </c>
      <c r="F236" s="7">
        <v>381</v>
      </c>
      <c r="G236" s="13">
        <f t="shared" si="7"/>
        <v>284</v>
      </c>
      <c r="L236" s="13"/>
    </row>
    <row r="237" spans="1:12" x14ac:dyDescent="0.3">
      <c r="A237" s="7" t="s">
        <v>289</v>
      </c>
      <c r="B237" s="7" t="s">
        <v>0</v>
      </c>
      <c r="C237" s="7" cm="1">
        <f t="array" ref="C237">_xlfn.IFS(B237="25-50%",45,B237="50-75%",30,B237="last 25%",30,B237="Retire",0,B237="Top 25 %",60,B237="REST",30)</f>
        <v>30</v>
      </c>
      <c r="D237" s="13" cm="1">
        <f t="array" ref="D237">AVERAGE('SKU sales and Inventory'!D238:F238/30)</f>
        <v>4.4666666666666659</v>
      </c>
      <c r="E237" s="13">
        <f t="shared" si="6"/>
        <v>133.99999999999997</v>
      </c>
      <c r="F237" s="7">
        <v>228</v>
      </c>
      <c r="G237" s="13">
        <f t="shared" si="7"/>
        <v>94.000000000000028</v>
      </c>
      <c r="L237" s="13"/>
    </row>
    <row r="238" spans="1:12" x14ac:dyDescent="0.3">
      <c r="A238" s="7" t="s">
        <v>290</v>
      </c>
      <c r="B238" s="7" t="s">
        <v>0</v>
      </c>
      <c r="C238" s="7" cm="1">
        <f t="array" ref="C238">_xlfn.IFS(B238="25-50%",45,B238="50-75%",30,B238="last 25%",30,B238="Retire",0,B238="Top 25 %",60,B238="REST",30)</f>
        <v>30</v>
      </c>
      <c r="D238" s="13" cm="1">
        <f t="array" ref="D238">AVERAGE('SKU sales and Inventory'!D239:F239/30)</f>
        <v>2.4666666666666668</v>
      </c>
      <c r="E238" s="13">
        <f t="shared" si="6"/>
        <v>74</v>
      </c>
      <c r="F238" s="7">
        <v>996</v>
      </c>
      <c r="G238" s="13">
        <f t="shared" si="7"/>
        <v>922</v>
      </c>
      <c r="L238" s="13"/>
    </row>
    <row r="239" spans="1:12" x14ac:dyDescent="0.3">
      <c r="A239" s="7" t="s">
        <v>291</v>
      </c>
      <c r="B239" s="7" t="s">
        <v>0</v>
      </c>
      <c r="C239" s="7" cm="1">
        <f t="array" ref="C239">_xlfn.IFS(B239="25-50%",45,B239="50-75%",30,B239="last 25%",30,B239="Retire",0,B239="Top 25 %",60,B239="REST",30)</f>
        <v>30</v>
      </c>
      <c r="D239" s="13" cm="1">
        <f t="array" ref="D239">AVERAGE('SKU sales and Inventory'!D240:F240/30)</f>
        <v>2.5333333333333337</v>
      </c>
      <c r="E239" s="13">
        <f t="shared" si="6"/>
        <v>76.000000000000014</v>
      </c>
      <c r="F239" s="7">
        <v>1269</v>
      </c>
      <c r="G239" s="13">
        <f t="shared" si="7"/>
        <v>1193</v>
      </c>
      <c r="L239" s="13"/>
    </row>
    <row r="240" spans="1:12" x14ac:dyDescent="0.3">
      <c r="A240" s="7" t="s">
        <v>292</v>
      </c>
      <c r="B240" s="7" t="s">
        <v>0</v>
      </c>
      <c r="C240" s="7" cm="1">
        <f t="array" ref="C240">_xlfn.IFS(B240="25-50%",45,B240="50-75%",30,B240="last 25%",30,B240="Retire",0,B240="Top 25 %",60,B240="REST",30)</f>
        <v>30</v>
      </c>
      <c r="D240" s="13" cm="1">
        <f t="array" ref="D240">AVERAGE('SKU sales and Inventory'!D241:F241/30)</f>
        <v>3.0333333333333332</v>
      </c>
      <c r="E240" s="13">
        <f t="shared" si="6"/>
        <v>91</v>
      </c>
      <c r="F240" s="7">
        <v>927</v>
      </c>
      <c r="G240" s="13">
        <f t="shared" si="7"/>
        <v>836</v>
      </c>
      <c r="L240" s="13"/>
    </row>
    <row r="241" spans="1:12" x14ac:dyDescent="0.3">
      <c r="A241" s="7" t="s">
        <v>293</v>
      </c>
      <c r="B241" s="7" t="s">
        <v>0</v>
      </c>
      <c r="C241" s="7" cm="1">
        <f t="array" ref="C241">_xlfn.IFS(B241="25-50%",45,B241="50-75%",30,B241="last 25%",30,B241="Retire",0,B241="Top 25 %",60,B241="REST",30)</f>
        <v>30</v>
      </c>
      <c r="D241" s="13" cm="1">
        <f t="array" ref="D241">AVERAGE('SKU sales and Inventory'!D242:F242/30)</f>
        <v>2.0666666666666669</v>
      </c>
      <c r="E241" s="13">
        <f t="shared" si="6"/>
        <v>62.000000000000007</v>
      </c>
      <c r="F241" s="7">
        <v>324</v>
      </c>
      <c r="G241" s="13">
        <f t="shared" si="7"/>
        <v>262</v>
      </c>
      <c r="L241" s="13"/>
    </row>
    <row r="242" spans="1:12" x14ac:dyDescent="0.3">
      <c r="A242" s="7" t="s">
        <v>294</v>
      </c>
      <c r="B242" s="7" t="s">
        <v>0</v>
      </c>
      <c r="C242" s="7" cm="1">
        <f t="array" ref="C242">_xlfn.IFS(B242="25-50%",45,B242="50-75%",30,B242="last 25%",30,B242="Retire",0,B242="Top 25 %",60,B242="REST",30)</f>
        <v>30</v>
      </c>
      <c r="D242" s="13" cm="1">
        <f t="array" ref="D242">AVERAGE('SKU sales and Inventory'!D243:F243/30)</f>
        <v>2.5</v>
      </c>
      <c r="E242" s="13">
        <f t="shared" si="6"/>
        <v>75</v>
      </c>
      <c r="F242" s="7">
        <v>126</v>
      </c>
      <c r="G242" s="13">
        <f t="shared" si="7"/>
        <v>51</v>
      </c>
      <c r="L242" s="13"/>
    </row>
    <row r="243" spans="1:12" x14ac:dyDescent="0.3">
      <c r="A243" s="7" t="s">
        <v>295</v>
      </c>
      <c r="B243" s="7" t="s">
        <v>0</v>
      </c>
      <c r="C243" s="7" cm="1">
        <f t="array" ref="C243">_xlfn.IFS(B243="25-50%",45,B243="50-75%",30,B243="last 25%",30,B243="Retire",0,B243="Top 25 %",60,B243="REST",30)</f>
        <v>30</v>
      </c>
      <c r="D243" s="13" cm="1">
        <f t="array" ref="D243">AVERAGE('SKU sales and Inventory'!D244:F244/30)</f>
        <v>3.7999999999999994</v>
      </c>
      <c r="E243" s="13">
        <f t="shared" si="6"/>
        <v>113.99999999999999</v>
      </c>
      <c r="F243" s="7">
        <v>525</v>
      </c>
      <c r="G243" s="13">
        <f t="shared" si="7"/>
        <v>411</v>
      </c>
      <c r="L243" s="13"/>
    </row>
    <row r="244" spans="1:12" x14ac:dyDescent="0.3">
      <c r="A244" s="7" t="s">
        <v>296</v>
      </c>
      <c r="B244" s="7" t="s">
        <v>0</v>
      </c>
      <c r="C244" s="7" cm="1">
        <f t="array" ref="C244">_xlfn.IFS(B244="25-50%",45,B244="50-75%",30,B244="last 25%",30,B244="Retire",0,B244="Top 25 %",60,B244="REST",30)</f>
        <v>30</v>
      </c>
      <c r="D244" s="13" cm="1">
        <f t="array" ref="D244">AVERAGE('SKU sales and Inventory'!D245:F245/30)</f>
        <v>5.3</v>
      </c>
      <c r="E244" s="13">
        <f t="shared" si="6"/>
        <v>159</v>
      </c>
      <c r="F244" s="7">
        <v>72</v>
      </c>
      <c r="G244" s="13">
        <f t="shared" si="7"/>
        <v>-87</v>
      </c>
      <c r="L244" s="13"/>
    </row>
    <row r="245" spans="1:12" x14ac:dyDescent="0.3">
      <c r="A245" s="7" t="s">
        <v>297</v>
      </c>
      <c r="B245" s="7" t="s">
        <v>0</v>
      </c>
      <c r="C245" s="7" cm="1">
        <f t="array" ref="C245">_xlfn.IFS(B245="25-50%",45,B245="50-75%",30,B245="last 25%",30,B245="Retire",0,B245="Top 25 %",60,B245="REST",30)</f>
        <v>30</v>
      </c>
      <c r="D245" s="13" cm="1">
        <f t="array" ref="D245">AVERAGE('SKU sales and Inventory'!D246:F246/30)</f>
        <v>3.1999999999999997</v>
      </c>
      <c r="E245" s="13">
        <f t="shared" si="6"/>
        <v>95.999999999999986</v>
      </c>
      <c r="F245" s="7">
        <v>99</v>
      </c>
      <c r="G245" s="13">
        <f t="shared" si="7"/>
        <v>3.0000000000000142</v>
      </c>
      <c r="L245" s="13"/>
    </row>
    <row r="246" spans="1:12" x14ac:dyDescent="0.3">
      <c r="A246" s="7" t="s">
        <v>298</v>
      </c>
      <c r="B246" s="7" t="s">
        <v>0</v>
      </c>
      <c r="C246" s="7" cm="1">
        <f t="array" ref="C246">_xlfn.IFS(B246="25-50%",45,B246="50-75%",30,B246="last 25%",30,B246="Retire",0,B246="Top 25 %",60,B246="REST",30)</f>
        <v>30</v>
      </c>
      <c r="D246" s="13" cm="1">
        <f t="array" ref="D246">AVERAGE('SKU sales and Inventory'!D247:F247/30)</f>
        <v>3.5666666666666664</v>
      </c>
      <c r="E246" s="13">
        <f t="shared" si="6"/>
        <v>107</v>
      </c>
      <c r="F246" s="7">
        <v>105</v>
      </c>
      <c r="G246" s="13">
        <f t="shared" si="7"/>
        <v>-2</v>
      </c>
      <c r="L246" s="13"/>
    </row>
    <row r="247" spans="1:12" x14ac:dyDescent="0.3">
      <c r="A247" s="7" t="s">
        <v>299</v>
      </c>
      <c r="B247" s="7" t="s">
        <v>1</v>
      </c>
      <c r="C247" s="7" cm="1">
        <f t="array" ref="C247">_xlfn.IFS(B247="25-50%",45,B247="50-75%",30,B247="last 25%",30,B247="Retire",0,B247="Top 25 %",60,B247="REST",30)</f>
        <v>30</v>
      </c>
      <c r="D247" s="13" cm="1">
        <f t="array" ref="D247">AVERAGE('SKU sales and Inventory'!D248:F248/30)</f>
        <v>4.8666666666666663</v>
      </c>
      <c r="E247" s="13">
        <f t="shared" si="6"/>
        <v>146</v>
      </c>
      <c r="F247" s="7">
        <v>2925</v>
      </c>
      <c r="G247" s="13">
        <f t="shared" si="7"/>
        <v>2779</v>
      </c>
      <c r="L247" s="13"/>
    </row>
    <row r="248" spans="1:12" x14ac:dyDescent="0.3">
      <c r="A248" s="7" t="s">
        <v>300</v>
      </c>
      <c r="B248" s="7" t="s">
        <v>0</v>
      </c>
      <c r="C248" s="7" cm="1">
        <f t="array" ref="C248">_xlfn.IFS(B248="25-50%",45,B248="50-75%",30,B248="last 25%",30,B248="Retire",0,B248="Top 25 %",60,B248="REST",30)</f>
        <v>30</v>
      </c>
      <c r="D248" s="13" cm="1">
        <f t="array" ref="D248">AVERAGE('SKU sales and Inventory'!D249:F249/30)</f>
        <v>6</v>
      </c>
      <c r="E248" s="13">
        <f t="shared" si="6"/>
        <v>180</v>
      </c>
      <c r="F248" s="7">
        <v>57</v>
      </c>
      <c r="G248" s="13">
        <f t="shared" si="7"/>
        <v>-123</v>
      </c>
      <c r="L248" s="13"/>
    </row>
    <row r="249" spans="1:12" x14ac:dyDescent="0.3">
      <c r="A249" s="7" t="s">
        <v>301</v>
      </c>
      <c r="B249" s="7" t="s">
        <v>0</v>
      </c>
      <c r="C249" s="7" cm="1">
        <f t="array" ref="C249">_xlfn.IFS(B249="25-50%",45,B249="50-75%",30,B249="last 25%",30,B249="Retire",0,B249="Top 25 %",60,B249="REST",30)</f>
        <v>30</v>
      </c>
      <c r="D249" s="13" cm="1">
        <f t="array" ref="D249">AVERAGE('SKU sales and Inventory'!D250:F250/30)</f>
        <v>2.5333333333333332</v>
      </c>
      <c r="E249" s="13">
        <f t="shared" si="6"/>
        <v>76</v>
      </c>
      <c r="F249" s="7">
        <v>825</v>
      </c>
      <c r="G249" s="13">
        <f t="shared" si="7"/>
        <v>749</v>
      </c>
      <c r="L249" s="13"/>
    </row>
    <row r="250" spans="1:12" x14ac:dyDescent="0.3">
      <c r="A250" s="7" t="s">
        <v>302</v>
      </c>
      <c r="B250" s="7" t="s">
        <v>0</v>
      </c>
      <c r="C250" s="7" cm="1">
        <f t="array" ref="C250">_xlfn.IFS(B250="25-50%",45,B250="50-75%",30,B250="last 25%",30,B250="Retire",0,B250="Top 25 %",60,B250="REST",30)</f>
        <v>30</v>
      </c>
      <c r="D250" s="13" cm="1">
        <f t="array" ref="D250">AVERAGE('SKU sales and Inventory'!D251:F251/30)</f>
        <v>3</v>
      </c>
      <c r="E250" s="13">
        <f t="shared" si="6"/>
        <v>90</v>
      </c>
      <c r="F250" s="7">
        <v>660</v>
      </c>
      <c r="G250" s="13">
        <f t="shared" si="7"/>
        <v>570</v>
      </c>
      <c r="L250" s="13"/>
    </row>
    <row r="251" spans="1:12" x14ac:dyDescent="0.3">
      <c r="A251" s="7" t="s">
        <v>303</v>
      </c>
      <c r="B251" s="7" t="s">
        <v>0</v>
      </c>
      <c r="C251" s="7" cm="1">
        <f t="array" ref="C251">_xlfn.IFS(B251="25-50%",45,B251="50-75%",30,B251="last 25%",30,B251="Retire",0,B251="Top 25 %",60,B251="REST",30)</f>
        <v>30</v>
      </c>
      <c r="D251" s="13" cm="1">
        <f t="array" ref="D251">AVERAGE('SKU sales and Inventory'!D252:F252/30)</f>
        <v>7.9333333333333336</v>
      </c>
      <c r="E251" s="13">
        <f t="shared" si="6"/>
        <v>238</v>
      </c>
      <c r="F251" s="7">
        <v>435</v>
      </c>
      <c r="G251" s="13">
        <f t="shared" si="7"/>
        <v>197</v>
      </c>
      <c r="L251" s="13"/>
    </row>
    <row r="252" spans="1:12" x14ac:dyDescent="0.3">
      <c r="A252" s="7" t="s">
        <v>304</v>
      </c>
      <c r="B252" s="7" t="s">
        <v>0</v>
      </c>
      <c r="C252" s="7" cm="1">
        <f t="array" ref="C252">_xlfn.IFS(B252="25-50%",45,B252="50-75%",30,B252="last 25%",30,B252="Retire",0,B252="Top 25 %",60,B252="REST",30)</f>
        <v>30</v>
      </c>
      <c r="D252" s="13" cm="1">
        <f t="array" ref="D252">AVERAGE('SKU sales and Inventory'!D253:F253/30)</f>
        <v>3.8666666666666671</v>
      </c>
      <c r="E252" s="13">
        <f t="shared" si="6"/>
        <v>116.00000000000001</v>
      </c>
      <c r="F252" s="7">
        <v>66</v>
      </c>
      <c r="G252" s="13">
        <f t="shared" si="7"/>
        <v>-50.000000000000014</v>
      </c>
      <c r="L252" s="13"/>
    </row>
    <row r="253" spans="1:12" x14ac:dyDescent="0.3">
      <c r="A253" s="7" t="s">
        <v>305</v>
      </c>
      <c r="B253" s="7" t="s">
        <v>0</v>
      </c>
      <c r="C253" s="7" cm="1">
        <f t="array" ref="C253">_xlfn.IFS(B253="25-50%",45,B253="50-75%",30,B253="last 25%",30,B253="Retire",0,B253="Top 25 %",60,B253="REST",30)</f>
        <v>30</v>
      </c>
      <c r="D253" s="13" cm="1">
        <f t="array" ref="D253">AVERAGE('SKU sales and Inventory'!D254:F254/30)</f>
        <v>3.6666666666666665</v>
      </c>
      <c r="E253" s="13">
        <f t="shared" si="6"/>
        <v>110</v>
      </c>
      <c r="F253" s="7">
        <v>255</v>
      </c>
      <c r="G253" s="13">
        <f t="shared" si="7"/>
        <v>145</v>
      </c>
      <c r="L253" s="13"/>
    </row>
    <row r="254" spans="1:12" x14ac:dyDescent="0.3">
      <c r="A254" s="7" t="s">
        <v>306</v>
      </c>
      <c r="B254" s="7" t="s">
        <v>0</v>
      </c>
      <c r="C254" s="7" cm="1">
        <f t="array" ref="C254">_xlfn.IFS(B254="25-50%",45,B254="50-75%",30,B254="last 25%",30,B254="Retire",0,B254="Top 25 %",60,B254="REST",30)</f>
        <v>30</v>
      </c>
      <c r="D254" s="13" cm="1">
        <f t="array" ref="D254">AVERAGE('SKU sales and Inventory'!D255:F255/30)</f>
        <v>4.1000000000000005</v>
      </c>
      <c r="E254" s="13">
        <f t="shared" si="6"/>
        <v>123.00000000000001</v>
      </c>
      <c r="F254" s="7">
        <v>189</v>
      </c>
      <c r="G254" s="13">
        <f t="shared" si="7"/>
        <v>65.999999999999986</v>
      </c>
      <c r="L254" s="13"/>
    </row>
    <row r="255" spans="1:12" x14ac:dyDescent="0.3">
      <c r="A255" s="7" t="s">
        <v>307</v>
      </c>
      <c r="B255" s="7" t="s">
        <v>0</v>
      </c>
      <c r="C255" s="7" cm="1">
        <f t="array" ref="C255">_xlfn.IFS(B255="25-50%",45,B255="50-75%",30,B255="last 25%",30,B255="Retire",0,B255="Top 25 %",60,B255="REST",30)</f>
        <v>30</v>
      </c>
      <c r="D255" s="13" cm="1">
        <f t="array" ref="D255">AVERAGE('SKU sales and Inventory'!D256:F256/30)</f>
        <v>2.4666666666666668</v>
      </c>
      <c r="E255" s="13">
        <f t="shared" si="6"/>
        <v>74</v>
      </c>
      <c r="F255" s="7">
        <v>81</v>
      </c>
      <c r="G255" s="13">
        <f t="shared" si="7"/>
        <v>7</v>
      </c>
      <c r="L255" s="13"/>
    </row>
    <row r="256" spans="1:12" x14ac:dyDescent="0.3">
      <c r="A256" s="7" t="s">
        <v>308</v>
      </c>
      <c r="B256" s="7" t="s">
        <v>0</v>
      </c>
      <c r="C256" s="7" cm="1">
        <f t="array" ref="C256">_xlfn.IFS(B256="25-50%",45,B256="50-75%",30,B256="last 25%",30,B256="Retire",0,B256="Top 25 %",60,B256="REST",30)</f>
        <v>30</v>
      </c>
      <c r="D256" s="13" cm="1">
        <f t="array" ref="D256">AVERAGE('SKU sales and Inventory'!D257:F257/30)</f>
        <v>1.3666666666666669</v>
      </c>
      <c r="E256" s="13">
        <f t="shared" si="6"/>
        <v>41.000000000000007</v>
      </c>
      <c r="F256" s="7">
        <v>36</v>
      </c>
      <c r="G256" s="13">
        <f t="shared" si="7"/>
        <v>-5.0000000000000071</v>
      </c>
      <c r="L256" s="13"/>
    </row>
    <row r="257" spans="1:12" x14ac:dyDescent="0.3">
      <c r="A257" s="7" t="s">
        <v>309</v>
      </c>
      <c r="B257" s="7" t="s">
        <v>0</v>
      </c>
      <c r="C257" s="7" cm="1">
        <f t="array" ref="C257">_xlfn.IFS(B257="25-50%",45,B257="50-75%",30,B257="last 25%",30,B257="Retire",0,B257="Top 25 %",60,B257="REST",30)</f>
        <v>30</v>
      </c>
      <c r="D257" s="13" cm="1">
        <f t="array" ref="D257">AVERAGE('SKU sales and Inventory'!D258:F258/30)</f>
        <v>2.7333333333333329</v>
      </c>
      <c r="E257" s="13">
        <f t="shared" si="6"/>
        <v>81.999999999999986</v>
      </c>
      <c r="F257" s="7">
        <v>174</v>
      </c>
      <c r="G257" s="13">
        <f t="shared" si="7"/>
        <v>92.000000000000014</v>
      </c>
      <c r="L257" s="13"/>
    </row>
    <row r="258" spans="1:12" x14ac:dyDescent="0.3">
      <c r="A258" s="7" t="s">
        <v>310</v>
      </c>
      <c r="B258" s="7" t="s">
        <v>0</v>
      </c>
      <c r="C258" s="7" cm="1">
        <f t="array" ref="C258">_xlfn.IFS(B258="25-50%",45,B258="50-75%",30,B258="last 25%",30,B258="Retire",0,B258="Top 25 %",60,B258="REST",30)</f>
        <v>30</v>
      </c>
      <c r="D258" s="13" cm="1">
        <f t="array" ref="D258">AVERAGE('SKU sales and Inventory'!D259:F259/30)</f>
        <v>2.5666666666666669</v>
      </c>
      <c r="E258" s="13">
        <f t="shared" si="6"/>
        <v>77</v>
      </c>
      <c r="F258" s="7">
        <v>105</v>
      </c>
      <c r="G258" s="13">
        <f t="shared" si="7"/>
        <v>28</v>
      </c>
      <c r="L258" s="13"/>
    </row>
    <row r="259" spans="1:12" x14ac:dyDescent="0.3">
      <c r="A259" s="7" t="s">
        <v>311</v>
      </c>
      <c r="B259" s="7" t="s">
        <v>1</v>
      </c>
      <c r="C259" s="7" cm="1">
        <f t="array" ref="C259">_xlfn.IFS(B259="25-50%",45,B259="50-75%",30,B259="last 25%",30,B259="Retire",0,B259="Top 25 %",60,B259="REST",30)</f>
        <v>30</v>
      </c>
      <c r="D259" s="13" cm="1">
        <f t="array" ref="D259">AVERAGE('SKU sales and Inventory'!D260:F260/30)</f>
        <v>4.4333333333333336</v>
      </c>
      <c r="E259" s="13">
        <f t="shared" ref="E259:E322" si="8">D259*C259</f>
        <v>133</v>
      </c>
      <c r="F259" s="7">
        <v>105</v>
      </c>
      <c r="G259" s="13">
        <f t="shared" ref="G259:G322" si="9">F259-E259</f>
        <v>-28</v>
      </c>
      <c r="L259" s="13"/>
    </row>
    <row r="260" spans="1:12" x14ac:dyDescent="0.3">
      <c r="A260" s="7" t="s">
        <v>312</v>
      </c>
      <c r="B260" s="7" t="s">
        <v>1</v>
      </c>
      <c r="C260" s="7" cm="1">
        <f t="array" ref="C260">_xlfn.IFS(B260="25-50%",45,B260="50-75%",30,B260="last 25%",30,B260="Retire",0,B260="Top 25 %",60,B260="REST",30)</f>
        <v>30</v>
      </c>
      <c r="D260" s="13" cm="1">
        <f t="array" ref="D260">AVERAGE('SKU sales and Inventory'!D261:F261/30)</f>
        <v>4.0333333333333341</v>
      </c>
      <c r="E260" s="13">
        <f t="shared" si="8"/>
        <v>121.00000000000003</v>
      </c>
      <c r="F260" s="7">
        <v>486</v>
      </c>
      <c r="G260" s="13">
        <f t="shared" si="9"/>
        <v>365</v>
      </c>
      <c r="L260" s="13"/>
    </row>
    <row r="261" spans="1:12" x14ac:dyDescent="0.3">
      <c r="A261" s="7" t="s">
        <v>313</v>
      </c>
      <c r="B261" s="7" t="s">
        <v>0</v>
      </c>
      <c r="C261" s="7" cm="1">
        <f t="array" ref="C261">_xlfn.IFS(B261="25-50%",45,B261="50-75%",30,B261="last 25%",30,B261="Retire",0,B261="Top 25 %",60,B261="REST",30)</f>
        <v>30</v>
      </c>
      <c r="D261" s="13" cm="1">
        <f t="array" ref="D261">AVERAGE('SKU sales and Inventory'!D262:F262/30)</f>
        <v>3.3666666666666667</v>
      </c>
      <c r="E261" s="13">
        <f t="shared" si="8"/>
        <v>101</v>
      </c>
      <c r="F261" s="7">
        <v>99</v>
      </c>
      <c r="G261" s="13">
        <f t="shared" si="9"/>
        <v>-2</v>
      </c>
      <c r="L261" s="13"/>
    </row>
    <row r="262" spans="1:12" x14ac:dyDescent="0.3">
      <c r="A262" s="7" t="s">
        <v>314</v>
      </c>
      <c r="B262" s="7" t="s">
        <v>0</v>
      </c>
      <c r="C262" s="7" cm="1">
        <f t="array" ref="C262">_xlfn.IFS(B262="25-50%",45,B262="50-75%",30,B262="last 25%",30,B262="Retire",0,B262="Top 25 %",60,B262="REST",30)</f>
        <v>30</v>
      </c>
      <c r="D262" s="13" cm="1">
        <f t="array" ref="D262">AVERAGE('SKU sales and Inventory'!D263:F263/30)</f>
        <v>4</v>
      </c>
      <c r="E262" s="13">
        <f t="shared" si="8"/>
        <v>120</v>
      </c>
      <c r="F262" s="7">
        <v>555</v>
      </c>
      <c r="G262" s="13">
        <f t="shared" si="9"/>
        <v>435</v>
      </c>
      <c r="L262" s="13"/>
    </row>
    <row r="263" spans="1:12" x14ac:dyDescent="0.3">
      <c r="A263" s="7" t="s">
        <v>315</v>
      </c>
      <c r="B263" s="7" t="s">
        <v>0</v>
      </c>
      <c r="C263" s="7" cm="1">
        <f t="array" ref="C263">_xlfn.IFS(B263="25-50%",45,B263="50-75%",30,B263="last 25%",30,B263="Retire",0,B263="Top 25 %",60,B263="REST",30)</f>
        <v>30</v>
      </c>
      <c r="D263" s="13" cm="1">
        <f t="array" ref="D263">AVERAGE('SKU sales and Inventory'!D264:F264/30)</f>
        <v>2.1</v>
      </c>
      <c r="E263" s="13">
        <f t="shared" si="8"/>
        <v>63</v>
      </c>
      <c r="F263" s="7">
        <v>87</v>
      </c>
      <c r="G263" s="13">
        <f t="shared" si="9"/>
        <v>24</v>
      </c>
      <c r="L263" s="13"/>
    </row>
    <row r="264" spans="1:12" x14ac:dyDescent="0.3">
      <c r="A264" s="7" t="s">
        <v>316</v>
      </c>
      <c r="B264" s="7" t="s">
        <v>0</v>
      </c>
      <c r="C264" s="7" cm="1">
        <f t="array" ref="C264">_xlfn.IFS(B264="25-50%",45,B264="50-75%",30,B264="last 25%",30,B264="Retire",0,B264="Top 25 %",60,B264="REST",30)</f>
        <v>30</v>
      </c>
      <c r="D264" s="13" cm="1">
        <f t="array" ref="D264">AVERAGE('SKU sales and Inventory'!D265:F265/30)</f>
        <v>3.5666666666666669</v>
      </c>
      <c r="E264" s="13">
        <f t="shared" si="8"/>
        <v>107</v>
      </c>
      <c r="F264" s="7">
        <v>48</v>
      </c>
      <c r="G264" s="13">
        <f t="shared" si="9"/>
        <v>-59</v>
      </c>
      <c r="L264" s="13"/>
    </row>
    <row r="265" spans="1:12" x14ac:dyDescent="0.3">
      <c r="A265" s="7" t="s">
        <v>317</v>
      </c>
      <c r="B265" s="7" t="s">
        <v>0</v>
      </c>
      <c r="C265" s="7" cm="1">
        <f t="array" ref="C265">_xlfn.IFS(B265="25-50%",45,B265="50-75%",30,B265="last 25%",30,B265="Retire",0,B265="Top 25 %",60,B265="REST",30)</f>
        <v>30</v>
      </c>
      <c r="D265" s="13" cm="1">
        <f t="array" ref="D265">AVERAGE('SKU sales and Inventory'!D266:F266/30)</f>
        <v>2.9333333333333331</v>
      </c>
      <c r="E265" s="13">
        <f t="shared" si="8"/>
        <v>88</v>
      </c>
      <c r="F265" s="7">
        <v>891</v>
      </c>
      <c r="G265" s="13">
        <f t="shared" si="9"/>
        <v>803</v>
      </c>
      <c r="L265" s="13"/>
    </row>
    <row r="266" spans="1:12" x14ac:dyDescent="0.3">
      <c r="A266" s="7" t="s">
        <v>318</v>
      </c>
      <c r="B266" s="7" t="s">
        <v>0</v>
      </c>
      <c r="C266" s="7" cm="1">
        <f t="array" ref="C266">_xlfn.IFS(B266="25-50%",45,B266="50-75%",30,B266="last 25%",30,B266="Retire",0,B266="Top 25 %",60,B266="REST",30)</f>
        <v>30</v>
      </c>
      <c r="D266" s="13" cm="1">
        <f t="array" ref="D266">AVERAGE('SKU sales and Inventory'!D267:F267/30)</f>
        <v>3.0666666666666664</v>
      </c>
      <c r="E266" s="13">
        <f t="shared" si="8"/>
        <v>92</v>
      </c>
      <c r="F266" s="7">
        <v>318</v>
      </c>
      <c r="G266" s="13">
        <f t="shared" si="9"/>
        <v>226</v>
      </c>
      <c r="L266" s="13"/>
    </row>
    <row r="267" spans="1:12" x14ac:dyDescent="0.3">
      <c r="A267" s="7" t="s">
        <v>319</v>
      </c>
      <c r="B267" s="7" t="s">
        <v>0</v>
      </c>
      <c r="C267" s="7" cm="1">
        <f t="array" ref="C267">_xlfn.IFS(B267="25-50%",45,B267="50-75%",30,B267="last 25%",30,B267="Retire",0,B267="Top 25 %",60,B267="REST",30)</f>
        <v>30</v>
      </c>
      <c r="D267" s="13" cm="1">
        <f t="array" ref="D267">AVERAGE('SKU sales and Inventory'!D268:F268/30)</f>
        <v>5.7</v>
      </c>
      <c r="E267" s="13">
        <f t="shared" si="8"/>
        <v>171</v>
      </c>
      <c r="F267" s="7">
        <v>126</v>
      </c>
      <c r="G267" s="13">
        <f t="shared" si="9"/>
        <v>-45</v>
      </c>
      <c r="L267" s="13"/>
    </row>
    <row r="268" spans="1:12" x14ac:dyDescent="0.3">
      <c r="A268" s="7" t="s">
        <v>320</v>
      </c>
      <c r="B268" s="7" t="s">
        <v>0</v>
      </c>
      <c r="C268" s="7" cm="1">
        <f t="array" ref="C268">_xlfn.IFS(B268="25-50%",45,B268="50-75%",30,B268="last 25%",30,B268="Retire",0,B268="Top 25 %",60,B268="REST",30)</f>
        <v>30</v>
      </c>
      <c r="D268" s="13" cm="1">
        <f t="array" ref="D268">AVERAGE('SKU sales and Inventory'!D269:F269/30)</f>
        <v>2.9</v>
      </c>
      <c r="E268" s="13">
        <f t="shared" si="8"/>
        <v>87</v>
      </c>
      <c r="F268" s="7">
        <v>189</v>
      </c>
      <c r="G268" s="13">
        <f t="shared" si="9"/>
        <v>102</v>
      </c>
      <c r="L268" s="13"/>
    </row>
    <row r="269" spans="1:12" x14ac:dyDescent="0.3">
      <c r="A269" s="7" t="s">
        <v>321</v>
      </c>
      <c r="B269" s="7" t="s">
        <v>0</v>
      </c>
      <c r="C269" s="7" cm="1">
        <f t="array" ref="C269">_xlfn.IFS(B269="25-50%",45,B269="50-75%",30,B269="last 25%",30,B269="Retire",0,B269="Top 25 %",60,B269="REST",30)</f>
        <v>30</v>
      </c>
      <c r="D269" s="13" cm="1">
        <f t="array" ref="D269">AVERAGE('SKU sales and Inventory'!D270:F270/30)</f>
        <v>3.6</v>
      </c>
      <c r="E269" s="13">
        <f t="shared" si="8"/>
        <v>108</v>
      </c>
      <c r="F269" s="7">
        <v>720</v>
      </c>
      <c r="G269" s="13">
        <f t="shared" si="9"/>
        <v>612</v>
      </c>
      <c r="L269" s="13"/>
    </row>
    <row r="270" spans="1:12" x14ac:dyDescent="0.3">
      <c r="A270" s="7" t="s">
        <v>322</v>
      </c>
      <c r="B270" s="7" t="s">
        <v>0</v>
      </c>
      <c r="C270" s="7" cm="1">
        <f t="array" ref="C270">_xlfn.IFS(B270="25-50%",45,B270="50-75%",30,B270="last 25%",30,B270="Retire",0,B270="Top 25 %",60,B270="REST",30)</f>
        <v>30</v>
      </c>
      <c r="D270" s="13" cm="1">
        <f t="array" ref="D270">AVERAGE('SKU sales and Inventory'!D271:F271/30)</f>
        <v>5.3</v>
      </c>
      <c r="E270" s="13">
        <f t="shared" si="8"/>
        <v>159</v>
      </c>
      <c r="F270" s="7">
        <v>114</v>
      </c>
      <c r="G270" s="13">
        <f t="shared" si="9"/>
        <v>-45</v>
      </c>
      <c r="L270" s="13"/>
    </row>
    <row r="271" spans="1:12" x14ac:dyDescent="0.3">
      <c r="A271" s="7" t="s">
        <v>323</v>
      </c>
      <c r="B271" s="7" t="s">
        <v>0</v>
      </c>
      <c r="C271" s="7" cm="1">
        <f t="array" ref="C271">_xlfn.IFS(B271="25-50%",45,B271="50-75%",30,B271="last 25%",30,B271="Retire",0,B271="Top 25 %",60,B271="REST",30)</f>
        <v>30</v>
      </c>
      <c r="D271" s="13" cm="1">
        <f t="array" ref="D271">AVERAGE('SKU sales and Inventory'!D272:F272/30)</f>
        <v>4.6333333333333329</v>
      </c>
      <c r="E271" s="13">
        <f t="shared" si="8"/>
        <v>139</v>
      </c>
      <c r="F271" s="7">
        <v>165</v>
      </c>
      <c r="G271" s="13">
        <f t="shared" si="9"/>
        <v>26</v>
      </c>
      <c r="L271" s="13"/>
    </row>
    <row r="272" spans="1:12" x14ac:dyDescent="0.3">
      <c r="A272" s="7" t="s">
        <v>324</v>
      </c>
      <c r="B272" s="7" t="s">
        <v>0</v>
      </c>
      <c r="C272" s="7" cm="1">
        <f t="array" ref="C272">_xlfn.IFS(B272="25-50%",45,B272="50-75%",30,B272="last 25%",30,B272="Retire",0,B272="Top 25 %",60,B272="REST",30)</f>
        <v>30</v>
      </c>
      <c r="D272" s="13" cm="1">
        <f t="array" ref="D272">AVERAGE('SKU sales and Inventory'!D273:F273/30)</f>
        <v>2.2999999999999998</v>
      </c>
      <c r="E272" s="13">
        <f t="shared" si="8"/>
        <v>69</v>
      </c>
      <c r="F272" s="7">
        <v>549</v>
      </c>
      <c r="G272" s="13">
        <f t="shared" si="9"/>
        <v>480</v>
      </c>
      <c r="L272" s="13"/>
    </row>
    <row r="273" spans="1:12" x14ac:dyDescent="0.3">
      <c r="A273" s="7" t="s">
        <v>325</v>
      </c>
      <c r="B273" s="7" t="s">
        <v>0</v>
      </c>
      <c r="C273" s="7" cm="1">
        <f t="array" ref="C273">_xlfn.IFS(B273="25-50%",45,B273="50-75%",30,B273="last 25%",30,B273="Retire",0,B273="Top 25 %",60,B273="REST",30)</f>
        <v>30</v>
      </c>
      <c r="D273" s="13" cm="1">
        <f t="array" ref="D273">AVERAGE('SKU sales and Inventory'!D274:F274/30)</f>
        <v>3.3000000000000003</v>
      </c>
      <c r="E273" s="13">
        <f t="shared" si="8"/>
        <v>99.000000000000014</v>
      </c>
      <c r="F273" s="7">
        <v>177</v>
      </c>
      <c r="G273" s="13">
        <f t="shared" si="9"/>
        <v>77.999999999999986</v>
      </c>
      <c r="L273" s="13"/>
    </row>
    <row r="274" spans="1:12" x14ac:dyDescent="0.3">
      <c r="A274" s="7" t="s">
        <v>326</v>
      </c>
      <c r="B274" s="7" t="s">
        <v>0</v>
      </c>
      <c r="C274" s="7" cm="1">
        <f t="array" ref="C274">_xlfn.IFS(B274="25-50%",45,B274="50-75%",30,B274="last 25%",30,B274="Retire",0,B274="Top 25 %",60,B274="REST",30)</f>
        <v>30</v>
      </c>
      <c r="D274" s="13" cm="1">
        <f t="array" ref="D274">AVERAGE('SKU sales and Inventory'!D275:F275/30)</f>
        <v>3.5333333333333332</v>
      </c>
      <c r="E274" s="13">
        <f t="shared" si="8"/>
        <v>106</v>
      </c>
      <c r="F274" s="7">
        <v>120</v>
      </c>
      <c r="G274" s="13">
        <f t="shared" si="9"/>
        <v>14</v>
      </c>
      <c r="L274" s="13"/>
    </row>
    <row r="275" spans="1:12" x14ac:dyDescent="0.3">
      <c r="A275" s="7" t="s">
        <v>327</v>
      </c>
      <c r="B275" s="7" t="s">
        <v>0</v>
      </c>
      <c r="C275" s="7" cm="1">
        <f t="array" ref="C275">_xlfn.IFS(B275="25-50%",45,B275="50-75%",30,B275="last 25%",30,B275="Retire",0,B275="Top 25 %",60,B275="REST",30)</f>
        <v>30</v>
      </c>
      <c r="D275" s="13" cm="1">
        <f t="array" ref="D275">AVERAGE('SKU sales and Inventory'!D276:F276/30)</f>
        <v>3.8000000000000003</v>
      </c>
      <c r="E275" s="13">
        <f t="shared" si="8"/>
        <v>114.00000000000001</v>
      </c>
      <c r="F275" s="7">
        <v>138</v>
      </c>
      <c r="G275" s="13">
        <f t="shared" si="9"/>
        <v>23.999999999999986</v>
      </c>
      <c r="L275" s="13"/>
    </row>
    <row r="276" spans="1:12" x14ac:dyDescent="0.3">
      <c r="A276" s="7" t="s">
        <v>328</v>
      </c>
      <c r="B276" s="7" t="s">
        <v>0</v>
      </c>
      <c r="C276" s="7" cm="1">
        <f t="array" ref="C276">_xlfn.IFS(B276="25-50%",45,B276="50-75%",30,B276="last 25%",30,B276="Retire",0,B276="Top 25 %",60,B276="REST",30)</f>
        <v>30</v>
      </c>
      <c r="D276" s="13" cm="1">
        <f t="array" ref="D276">AVERAGE('SKU sales and Inventory'!D277:F277/30)</f>
        <v>2.1666666666666665</v>
      </c>
      <c r="E276" s="13">
        <f t="shared" si="8"/>
        <v>65</v>
      </c>
      <c r="F276" s="7">
        <v>48</v>
      </c>
      <c r="G276" s="13">
        <f t="shared" si="9"/>
        <v>-17</v>
      </c>
      <c r="L276" s="13"/>
    </row>
    <row r="277" spans="1:12" x14ac:dyDescent="0.3">
      <c r="A277" s="7" t="s">
        <v>329</v>
      </c>
      <c r="B277" s="7" t="s">
        <v>2</v>
      </c>
      <c r="C277" s="7" cm="1">
        <f t="array" ref="C277">_xlfn.IFS(B277="25-50%",45,B277="50-75%",30,B277="last 25%",30,B277="Retire",0,B277="Top 25 %",60,B277="REST",30)</f>
        <v>45</v>
      </c>
      <c r="D277" s="13" cm="1">
        <f t="array" ref="D277">AVERAGE('SKU sales and Inventory'!D278:F278/30)</f>
        <v>4.4666666666666668</v>
      </c>
      <c r="E277" s="13">
        <f t="shared" si="8"/>
        <v>201</v>
      </c>
      <c r="F277" s="7">
        <v>315</v>
      </c>
      <c r="G277" s="13">
        <f t="shared" si="9"/>
        <v>114</v>
      </c>
      <c r="L277" s="13"/>
    </row>
    <row r="278" spans="1:12" x14ac:dyDescent="0.3">
      <c r="A278" s="7" t="s">
        <v>330</v>
      </c>
      <c r="B278" s="7" t="s">
        <v>2</v>
      </c>
      <c r="C278" s="7" cm="1">
        <f t="array" ref="C278">_xlfn.IFS(B278="25-50%",45,B278="50-75%",30,B278="last 25%",30,B278="Retire",0,B278="Top 25 %",60,B278="REST",30)</f>
        <v>45</v>
      </c>
      <c r="D278" s="13" cm="1">
        <f t="array" ref="D278">AVERAGE('SKU sales and Inventory'!D279:F279/30)</f>
        <v>3.4666666666666668</v>
      </c>
      <c r="E278" s="13">
        <f t="shared" si="8"/>
        <v>156</v>
      </c>
      <c r="F278" s="7">
        <v>237</v>
      </c>
      <c r="G278" s="13">
        <f t="shared" si="9"/>
        <v>81</v>
      </c>
      <c r="L278" s="13"/>
    </row>
    <row r="279" spans="1:12" x14ac:dyDescent="0.3">
      <c r="A279" s="7" t="s">
        <v>331</v>
      </c>
      <c r="B279" s="7" t="s">
        <v>0</v>
      </c>
      <c r="C279" s="7" cm="1">
        <f t="array" ref="C279">_xlfn.IFS(B279="25-50%",45,B279="50-75%",30,B279="last 25%",30,B279="Retire",0,B279="Top 25 %",60,B279="REST",30)</f>
        <v>30</v>
      </c>
      <c r="D279" s="13" cm="1">
        <f t="array" ref="D279">AVERAGE('SKU sales and Inventory'!D280:F280/30)</f>
        <v>3.6</v>
      </c>
      <c r="E279" s="13">
        <f t="shared" si="8"/>
        <v>108</v>
      </c>
      <c r="F279" s="7">
        <v>144</v>
      </c>
      <c r="G279" s="13">
        <f t="shared" si="9"/>
        <v>36</v>
      </c>
      <c r="L279" s="13"/>
    </row>
    <row r="280" spans="1:12" x14ac:dyDescent="0.3">
      <c r="A280" s="7" t="s">
        <v>332</v>
      </c>
      <c r="B280" s="7" t="s">
        <v>0</v>
      </c>
      <c r="C280" s="7" cm="1">
        <f t="array" ref="C280">_xlfn.IFS(B280="25-50%",45,B280="50-75%",30,B280="last 25%",30,B280="Retire",0,B280="Top 25 %",60,B280="REST",30)</f>
        <v>30</v>
      </c>
      <c r="D280" s="13" cm="1">
        <f t="array" ref="D280">AVERAGE('SKU sales and Inventory'!D281:F281/30)</f>
        <v>3.5</v>
      </c>
      <c r="E280" s="13">
        <f t="shared" si="8"/>
        <v>105</v>
      </c>
      <c r="F280" s="7">
        <v>222</v>
      </c>
      <c r="G280" s="13">
        <f t="shared" si="9"/>
        <v>117</v>
      </c>
      <c r="L280" s="13"/>
    </row>
    <row r="281" spans="1:12" x14ac:dyDescent="0.3">
      <c r="A281" s="7" t="s">
        <v>333</v>
      </c>
      <c r="B281" s="7" t="s">
        <v>0</v>
      </c>
      <c r="C281" s="7" cm="1">
        <f t="array" ref="C281">_xlfn.IFS(B281="25-50%",45,B281="50-75%",30,B281="last 25%",30,B281="Retire",0,B281="Top 25 %",60,B281="REST",30)</f>
        <v>30</v>
      </c>
      <c r="D281" s="13" cm="1">
        <f t="array" ref="D281">AVERAGE('SKU sales and Inventory'!D282:F282/30)</f>
        <v>4.6333333333333337</v>
      </c>
      <c r="E281" s="13">
        <f t="shared" si="8"/>
        <v>139</v>
      </c>
      <c r="F281" s="7">
        <v>69</v>
      </c>
      <c r="G281" s="13">
        <f t="shared" si="9"/>
        <v>-70</v>
      </c>
      <c r="L281" s="13"/>
    </row>
    <row r="282" spans="1:12" x14ac:dyDescent="0.3">
      <c r="A282" s="7" t="s">
        <v>334</v>
      </c>
      <c r="B282" s="7" t="s">
        <v>0</v>
      </c>
      <c r="C282" s="7" cm="1">
        <f t="array" ref="C282">_xlfn.IFS(B282="25-50%",45,B282="50-75%",30,B282="last 25%",30,B282="Retire",0,B282="Top 25 %",60,B282="REST",30)</f>
        <v>30</v>
      </c>
      <c r="D282" s="13" cm="1">
        <f t="array" ref="D282">AVERAGE('SKU sales and Inventory'!D283:F283/30)</f>
        <v>4.3999999999999995</v>
      </c>
      <c r="E282" s="13">
        <f t="shared" si="8"/>
        <v>131.99999999999997</v>
      </c>
      <c r="F282" s="7">
        <v>231</v>
      </c>
      <c r="G282" s="13">
        <f t="shared" si="9"/>
        <v>99.000000000000028</v>
      </c>
      <c r="L282" s="13"/>
    </row>
    <row r="283" spans="1:12" x14ac:dyDescent="0.3">
      <c r="A283" s="7" t="s">
        <v>335</v>
      </c>
      <c r="B283" s="7" t="s">
        <v>0</v>
      </c>
      <c r="C283" s="7" cm="1">
        <f t="array" ref="C283">_xlfn.IFS(B283="25-50%",45,B283="50-75%",30,B283="last 25%",30,B283="Retire",0,B283="Top 25 %",60,B283="REST",30)</f>
        <v>30</v>
      </c>
      <c r="D283" s="13" cm="1">
        <f t="array" ref="D283">AVERAGE('SKU sales and Inventory'!D284:F284/30)</f>
        <v>4.0333333333333332</v>
      </c>
      <c r="E283" s="13">
        <f t="shared" si="8"/>
        <v>121</v>
      </c>
      <c r="F283" s="7">
        <v>123</v>
      </c>
      <c r="G283" s="13">
        <f t="shared" si="9"/>
        <v>2</v>
      </c>
      <c r="L283" s="13"/>
    </row>
    <row r="284" spans="1:12" x14ac:dyDescent="0.3">
      <c r="A284" s="7" t="s">
        <v>336</v>
      </c>
      <c r="B284" s="7" t="s">
        <v>0</v>
      </c>
      <c r="C284" s="7" cm="1">
        <f t="array" ref="C284">_xlfn.IFS(B284="25-50%",45,B284="50-75%",30,B284="last 25%",30,B284="Retire",0,B284="Top 25 %",60,B284="REST",30)</f>
        <v>30</v>
      </c>
      <c r="D284" s="13" cm="1">
        <f t="array" ref="D284">AVERAGE('SKU sales and Inventory'!D285:F285/30)</f>
        <v>3.6333333333333333</v>
      </c>
      <c r="E284" s="13">
        <f t="shared" si="8"/>
        <v>109</v>
      </c>
      <c r="F284" s="7">
        <v>297</v>
      </c>
      <c r="G284" s="13">
        <f t="shared" si="9"/>
        <v>188</v>
      </c>
      <c r="L284" s="13"/>
    </row>
    <row r="285" spans="1:12" x14ac:dyDescent="0.3">
      <c r="A285" s="7" t="s">
        <v>337</v>
      </c>
      <c r="B285" s="7" t="s">
        <v>0</v>
      </c>
      <c r="C285" s="7" cm="1">
        <f t="array" ref="C285">_xlfn.IFS(B285="25-50%",45,B285="50-75%",30,B285="last 25%",30,B285="Retire",0,B285="Top 25 %",60,B285="REST",30)</f>
        <v>30</v>
      </c>
      <c r="D285" s="13" cm="1">
        <f t="array" ref="D285">AVERAGE('SKU sales and Inventory'!D286:F286/30)</f>
        <v>3.4333333333333336</v>
      </c>
      <c r="E285" s="13">
        <f t="shared" si="8"/>
        <v>103</v>
      </c>
      <c r="F285" s="7">
        <v>117</v>
      </c>
      <c r="G285" s="13">
        <f t="shared" si="9"/>
        <v>14</v>
      </c>
      <c r="L285" s="13"/>
    </row>
    <row r="286" spans="1:12" x14ac:dyDescent="0.3">
      <c r="A286" s="7" t="s">
        <v>338</v>
      </c>
      <c r="B286" s="7" t="s">
        <v>0</v>
      </c>
      <c r="C286" s="7" cm="1">
        <f t="array" ref="C286">_xlfn.IFS(B286="25-50%",45,B286="50-75%",30,B286="last 25%",30,B286="Retire",0,B286="Top 25 %",60,B286="REST",30)</f>
        <v>30</v>
      </c>
      <c r="D286" s="13" cm="1">
        <f t="array" ref="D286">AVERAGE('SKU sales and Inventory'!D287:F287/30)</f>
        <v>2.2666666666666666</v>
      </c>
      <c r="E286" s="13">
        <f t="shared" si="8"/>
        <v>68</v>
      </c>
      <c r="F286" s="7">
        <v>168</v>
      </c>
      <c r="G286" s="13">
        <f t="shared" si="9"/>
        <v>100</v>
      </c>
      <c r="L286" s="13"/>
    </row>
    <row r="287" spans="1:12" x14ac:dyDescent="0.3">
      <c r="A287" s="7" t="s">
        <v>339</v>
      </c>
      <c r="B287" s="7" t="s">
        <v>0</v>
      </c>
      <c r="C287" s="7" cm="1">
        <f t="array" ref="C287">_xlfn.IFS(B287="25-50%",45,B287="50-75%",30,B287="last 25%",30,B287="Retire",0,B287="Top 25 %",60,B287="REST",30)</f>
        <v>30</v>
      </c>
      <c r="D287" s="13" cm="1">
        <f t="array" ref="D287">AVERAGE('SKU sales and Inventory'!D288:F288/30)</f>
        <v>1.2666666666666666</v>
      </c>
      <c r="E287" s="13">
        <f t="shared" si="8"/>
        <v>38</v>
      </c>
      <c r="F287" s="7">
        <v>33</v>
      </c>
      <c r="G287" s="13">
        <f t="shared" si="9"/>
        <v>-5</v>
      </c>
      <c r="L287" s="13"/>
    </row>
    <row r="288" spans="1:12" x14ac:dyDescent="0.3">
      <c r="A288" s="7" t="s">
        <v>340</v>
      </c>
      <c r="B288" s="7" t="s">
        <v>1</v>
      </c>
      <c r="C288" s="7" cm="1">
        <f t="array" ref="C288">_xlfn.IFS(B288="25-50%",45,B288="50-75%",30,B288="last 25%",30,B288="Retire",0,B288="Top 25 %",60,B288="REST",30)</f>
        <v>30</v>
      </c>
      <c r="D288" s="13" cm="1">
        <f t="array" ref="D288">AVERAGE('SKU sales and Inventory'!D289:F289/30)</f>
        <v>2.5666666666666664</v>
      </c>
      <c r="E288" s="13">
        <f t="shared" si="8"/>
        <v>77</v>
      </c>
      <c r="F288" s="7">
        <v>900</v>
      </c>
      <c r="G288" s="13">
        <f t="shared" si="9"/>
        <v>823</v>
      </c>
      <c r="L288" s="13"/>
    </row>
    <row r="289" spans="1:12" x14ac:dyDescent="0.3">
      <c r="A289" s="7" t="s">
        <v>341</v>
      </c>
      <c r="B289" s="7" t="s">
        <v>0</v>
      </c>
      <c r="C289" s="7" cm="1">
        <f t="array" ref="C289">_xlfn.IFS(B289="25-50%",45,B289="50-75%",30,B289="last 25%",30,B289="Retire",0,B289="Top 25 %",60,B289="REST",30)</f>
        <v>30</v>
      </c>
      <c r="D289" s="13" cm="1">
        <f t="array" ref="D289">AVERAGE('SKU sales and Inventory'!D290:F290/30)</f>
        <v>5.4333333333333327</v>
      </c>
      <c r="E289" s="13">
        <f t="shared" si="8"/>
        <v>162.99999999999997</v>
      </c>
      <c r="F289" s="7">
        <v>159</v>
      </c>
      <c r="G289" s="13">
        <f t="shared" si="9"/>
        <v>-3.9999999999999716</v>
      </c>
      <c r="L289" s="13"/>
    </row>
    <row r="290" spans="1:12" x14ac:dyDescent="0.3">
      <c r="A290" s="7" t="s">
        <v>342</v>
      </c>
      <c r="B290" s="7" t="s">
        <v>0</v>
      </c>
      <c r="C290" s="7" cm="1">
        <f t="array" ref="C290">_xlfn.IFS(B290="25-50%",45,B290="50-75%",30,B290="last 25%",30,B290="Retire",0,B290="Top 25 %",60,B290="REST",30)</f>
        <v>30</v>
      </c>
      <c r="D290" s="13" cm="1">
        <f t="array" ref="D290">AVERAGE('SKU sales and Inventory'!D291:F291/30)</f>
        <v>2.4333333333333336</v>
      </c>
      <c r="E290" s="13">
        <f t="shared" si="8"/>
        <v>73</v>
      </c>
      <c r="F290" s="7">
        <v>69</v>
      </c>
      <c r="G290" s="13">
        <f t="shared" si="9"/>
        <v>-4</v>
      </c>
      <c r="L290" s="13"/>
    </row>
    <row r="291" spans="1:12" x14ac:dyDescent="0.3">
      <c r="A291" s="7" t="s">
        <v>343</v>
      </c>
      <c r="B291" s="7" t="s">
        <v>0</v>
      </c>
      <c r="C291" s="7" cm="1">
        <f t="array" ref="C291">_xlfn.IFS(B291="25-50%",45,B291="50-75%",30,B291="last 25%",30,B291="Retire",0,B291="Top 25 %",60,B291="REST",30)</f>
        <v>30</v>
      </c>
      <c r="D291" s="13" cm="1">
        <f t="array" ref="D291">AVERAGE('SKU sales and Inventory'!D292:F292/30)</f>
        <v>2.2666666666666666</v>
      </c>
      <c r="E291" s="13">
        <f t="shared" si="8"/>
        <v>68</v>
      </c>
      <c r="F291" s="7">
        <v>99</v>
      </c>
      <c r="G291" s="13">
        <f t="shared" si="9"/>
        <v>31</v>
      </c>
      <c r="L291" s="13"/>
    </row>
    <row r="292" spans="1:12" x14ac:dyDescent="0.3">
      <c r="A292" s="7" t="s">
        <v>344</v>
      </c>
      <c r="B292" s="7" t="s">
        <v>0</v>
      </c>
      <c r="C292" s="7" cm="1">
        <f t="array" ref="C292">_xlfn.IFS(B292="25-50%",45,B292="50-75%",30,B292="last 25%",30,B292="Retire",0,B292="Top 25 %",60,B292="REST",30)</f>
        <v>30</v>
      </c>
      <c r="D292" s="13" cm="1">
        <f t="array" ref="D292">AVERAGE('SKU sales and Inventory'!D293:F293/30)</f>
        <v>2.0666666666666664</v>
      </c>
      <c r="E292" s="13">
        <f t="shared" si="8"/>
        <v>61.999999999999993</v>
      </c>
      <c r="F292" s="7">
        <v>471</v>
      </c>
      <c r="G292" s="13">
        <f t="shared" si="9"/>
        <v>409</v>
      </c>
      <c r="L292" s="13"/>
    </row>
    <row r="293" spans="1:12" x14ac:dyDescent="0.3">
      <c r="A293" s="7" t="s">
        <v>345</v>
      </c>
      <c r="B293" s="7" t="s">
        <v>0</v>
      </c>
      <c r="C293" s="7" cm="1">
        <f t="array" ref="C293">_xlfn.IFS(B293="25-50%",45,B293="50-75%",30,B293="last 25%",30,B293="Retire",0,B293="Top 25 %",60,B293="REST",30)</f>
        <v>30</v>
      </c>
      <c r="D293" s="13" cm="1">
        <f t="array" ref="D293">AVERAGE('SKU sales and Inventory'!D294:F294/30)</f>
        <v>2.4666666666666668</v>
      </c>
      <c r="E293" s="13">
        <f t="shared" si="8"/>
        <v>74</v>
      </c>
      <c r="F293" s="7">
        <v>171</v>
      </c>
      <c r="G293" s="13">
        <f t="shared" si="9"/>
        <v>97</v>
      </c>
      <c r="L293" s="13"/>
    </row>
    <row r="294" spans="1:12" x14ac:dyDescent="0.3">
      <c r="A294" s="7" t="s">
        <v>346</v>
      </c>
      <c r="B294" s="7" t="s">
        <v>0</v>
      </c>
      <c r="C294" s="7" cm="1">
        <f t="array" ref="C294">_xlfn.IFS(B294="25-50%",45,B294="50-75%",30,B294="last 25%",30,B294="Retire",0,B294="Top 25 %",60,B294="REST",30)</f>
        <v>30</v>
      </c>
      <c r="D294" s="13" cm="1">
        <f t="array" ref="D294">AVERAGE('SKU sales and Inventory'!D295:F295/30)</f>
        <v>3.3666666666666667</v>
      </c>
      <c r="E294" s="13">
        <f t="shared" si="8"/>
        <v>101</v>
      </c>
      <c r="F294" s="7">
        <v>42</v>
      </c>
      <c r="G294" s="13">
        <f t="shared" si="9"/>
        <v>-59</v>
      </c>
      <c r="L294" s="13"/>
    </row>
    <row r="295" spans="1:12" x14ac:dyDescent="0.3">
      <c r="A295" s="7" t="s">
        <v>347</v>
      </c>
      <c r="B295" s="7" t="s">
        <v>0</v>
      </c>
      <c r="C295" s="7" cm="1">
        <f t="array" ref="C295">_xlfn.IFS(B295="25-50%",45,B295="50-75%",30,B295="last 25%",30,B295="Retire",0,B295="Top 25 %",60,B295="REST",30)</f>
        <v>30</v>
      </c>
      <c r="D295" s="13" cm="1">
        <f t="array" ref="D295">AVERAGE('SKU sales and Inventory'!D296:F296/30)</f>
        <v>4.7</v>
      </c>
      <c r="E295" s="13">
        <f t="shared" si="8"/>
        <v>141</v>
      </c>
      <c r="F295" s="7">
        <v>72</v>
      </c>
      <c r="G295" s="13">
        <f t="shared" si="9"/>
        <v>-69</v>
      </c>
      <c r="L295" s="13"/>
    </row>
    <row r="296" spans="1:12" x14ac:dyDescent="0.3">
      <c r="A296" s="7" t="s">
        <v>348</v>
      </c>
      <c r="B296" s="7" t="s">
        <v>0</v>
      </c>
      <c r="C296" s="7" cm="1">
        <f t="array" ref="C296">_xlfn.IFS(B296="25-50%",45,B296="50-75%",30,B296="last 25%",30,B296="Retire",0,B296="Top 25 %",60,B296="REST",30)</f>
        <v>30</v>
      </c>
      <c r="D296" s="13" cm="1">
        <f t="array" ref="D296">AVERAGE('SKU sales and Inventory'!D297:F297/30)</f>
        <v>2.6</v>
      </c>
      <c r="E296" s="13">
        <f t="shared" si="8"/>
        <v>78</v>
      </c>
      <c r="F296" s="7">
        <v>141</v>
      </c>
      <c r="G296" s="13">
        <f t="shared" si="9"/>
        <v>63</v>
      </c>
      <c r="L296" s="13"/>
    </row>
    <row r="297" spans="1:12" x14ac:dyDescent="0.3">
      <c r="A297" s="7" t="s">
        <v>349</v>
      </c>
      <c r="B297" s="7" t="s">
        <v>0</v>
      </c>
      <c r="C297" s="7" cm="1">
        <f t="array" ref="C297">_xlfn.IFS(B297="25-50%",45,B297="50-75%",30,B297="last 25%",30,B297="Retire",0,B297="Top 25 %",60,B297="REST",30)</f>
        <v>30</v>
      </c>
      <c r="D297" s="13" cm="1">
        <f t="array" ref="D297">AVERAGE('SKU sales and Inventory'!D298:F298/30)</f>
        <v>3.0333333333333332</v>
      </c>
      <c r="E297" s="13">
        <f t="shared" si="8"/>
        <v>91</v>
      </c>
      <c r="F297" s="7">
        <v>489</v>
      </c>
      <c r="G297" s="13">
        <f t="shared" si="9"/>
        <v>398</v>
      </c>
      <c r="L297" s="13"/>
    </row>
    <row r="298" spans="1:12" x14ac:dyDescent="0.3">
      <c r="A298" s="7" t="s">
        <v>350</v>
      </c>
      <c r="B298" s="7" t="s">
        <v>0</v>
      </c>
      <c r="C298" s="7" cm="1">
        <f t="array" ref="C298">_xlfn.IFS(B298="25-50%",45,B298="50-75%",30,B298="last 25%",30,B298="Retire",0,B298="Top 25 %",60,B298="REST",30)</f>
        <v>30</v>
      </c>
      <c r="D298" s="13" cm="1">
        <f t="array" ref="D298">AVERAGE('SKU sales and Inventory'!D299:F299/30)</f>
        <v>2.8666666666666667</v>
      </c>
      <c r="E298" s="13">
        <f t="shared" si="8"/>
        <v>86</v>
      </c>
      <c r="F298" s="7">
        <v>657</v>
      </c>
      <c r="G298" s="13">
        <f t="shared" si="9"/>
        <v>571</v>
      </c>
      <c r="L298" s="13"/>
    </row>
    <row r="299" spans="1:12" x14ac:dyDescent="0.3">
      <c r="A299" s="7" t="s">
        <v>351</v>
      </c>
      <c r="B299" s="7" t="s">
        <v>0</v>
      </c>
      <c r="C299" s="7" cm="1">
        <f t="array" ref="C299">_xlfn.IFS(B299="25-50%",45,B299="50-75%",30,B299="last 25%",30,B299="Retire",0,B299="Top 25 %",60,B299="REST",30)</f>
        <v>30</v>
      </c>
      <c r="D299" s="13" cm="1">
        <f t="array" ref="D299">AVERAGE('SKU sales and Inventory'!D300:F300/30)</f>
        <v>1.6333333333333331</v>
      </c>
      <c r="E299" s="13">
        <f t="shared" si="8"/>
        <v>48.999999999999993</v>
      </c>
      <c r="F299" s="7">
        <v>615</v>
      </c>
      <c r="G299" s="13">
        <f t="shared" si="9"/>
        <v>566</v>
      </c>
      <c r="L299" s="13"/>
    </row>
    <row r="300" spans="1:12" x14ac:dyDescent="0.3">
      <c r="A300" s="7" t="s">
        <v>352</v>
      </c>
      <c r="B300" s="7" t="s">
        <v>0</v>
      </c>
      <c r="C300" s="7" cm="1">
        <f t="array" ref="C300">_xlfn.IFS(B300="25-50%",45,B300="50-75%",30,B300="last 25%",30,B300="Retire",0,B300="Top 25 %",60,B300="REST",30)</f>
        <v>30</v>
      </c>
      <c r="D300" s="13" cm="1">
        <f t="array" ref="D300">AVERAGE('SKU sales and Inventory'!D301:F301/30)</f>
        <v>1.5666666666666667</v>
      </c>
      <c r="E300" s="13">
        <f t="shared" si="8"/>
        <v>47</v>
      </c>
      <c r="F300" s="7">
        <v>183</v>
      </c>
      <c r="G300" s="13">
        <f t="shared" si="9"/>
        <v>136</v>
      </c>
      <c r="L300" s="13"/>
    </row>
    <row r="301" spans="1:12" x14ac:dyDescent="0.3">
      <c r="A301" s="7" t="s">
        <v>353</v>
      </c>
      <c r="B301" s="7" t="s">
        <v>0</v>
      </c>
      <c r="C301" s="7" cm="1">
        <f t="array" ref="C301">_xlfn.IFS(B301="25-50%",45,B301="50-75%",30,B301="last 25%",30,B301="Retire",0,B301="Top 25 %",60,B301="REST",30)</f>
        <v>30</v>
      </c>
      <c r="D301" s="13" cm="1">
        <f t="array" ref="D301">AVERAGE('SKU sales and Inventory'!D302:F302/30)</f>
        <v>4.4666666666666659</v>
      </c>
      <c r="E301" s="13">
        <f t="shared" si="8"/>
        <v>133.99999999999997</v>
      </c>
      <c r="F301" s="7">
        <v>90</v>
      </c>
      <c r="G301" s="13">
        <f t="shared" si="9"/>
        <v>-43.999999999999972</v>
      </c>
      <c r="L301" s="13"/>
    </row>
    <row r="302" spans="1:12" x14ac:dyDescent="0.3">
      <c r="A302" s="7" t="s">
        <v>354</v>
      </c>
      <c r="B302" s="7" t="s">
        <v>0</v>
      </c>
      <c r="C302" s="7" cm="1">
        <f t="array" ref="C302">_xlfn.IFS(B302="25-50%",45,B302="50-75%",30,B302="last 25%",30,B302="Retire",0,B302="Top 25 %",60,B302="REST",30)</f>
        <v>30</v>
      </c>
      <c r="D302" s="13" cm="1">
        <f t="array" ref="D302">AVERAGE('SKU sales and Inventory'!D303:F303/30)</f>
        <v>3.4666666666666668</v>
      </c>
      <c r="E302" s="13">
        <f t="shared" si="8"/>
        <v>104</v>
      </c>
      <c r="F302" s="7">
        <v>207</v>
      </c>
      <c r="G302" s="13">
        <f t="shared" si="9"/>
        <v>103</v>
      </c>
      <c r="L302" s="13"/>
    </row>
    <row r="303" spans="1:12" x14ac:dyDescent="0.3">
      <c r="A303" s="7" t="s">
        <v>355</v>
      </c>
      <c r="B303" s="7" t="s">
        <v>0</v>
      </c>
      <c r="C303" s="7" cm="1">
        <f t="array" ref="C303">_xlfn.IFS(B303="25-50%",45,B303="50-75%",30,B303="last 25%",30,B303="Retire",0,B303="Top 25 %",60,B303="REST",30)</f>
        <v>30</v>
      </c>
      <c r="D303" s="13" cm="1">
        <f t="array" ref="D303">AVERAGE('SKU sales and Inventory'!D304:F304/30)</f>
        <v>2.6999999999999997</v>
      </c>
      <c r="E303" s="13">
        <f t="shared" si="8"/>
        <v>80.999999999999986</v>
      </c>
      <c r="F303" s="7">
        <v>180</v>
      </c>
      <c r="G303" s="13">
        <f t="shared" si="9"/>
        <v>99.000000000000014</v>
      </c>
      <c r="L303" s="13"/>
    </row>
    <row r="304" spans="1:12" x14ac:dyDescent="0.3">
      <c r="A304" s="7" t="s">
        <v>356</v>
      </c>
      <c r="B304" s="7" t="s">
        <v>0</v>
      </c>
      <c r="C304" s="7" cm="1">
        <f t="array" ref="C304">_xlfn.IFS(B304="25-50%",45,B304="50-75%",30,B304="last 25%",30,B304="Retire",0,B304="Top 25 %",60,B304="REST",30)</f>
        <v>30</v>
      </c>
      <c r="D304" s="13" cm="1">
        <f t="array" ref="D304">AVERAGE('SKU sales and Inventory'!D305:F305/30)</f>
        <v>2.5333333333333332</v>
      </c>
      <c r="E304" s="13">
        <f t="shared" si="8"/>
        <v>76</v>
      </c>
      <c r="F304" s="7">
        <v>72</v>
      </c>
      <c r="G304" s="13">
        <f t="shared" si="9"/>
        <v>-4</v>
      </c>
      <c r="L304" s="13"/>
    </row>
    <row r="305" spans="1:12" x14ac:dyDescent="0.3">
      <c r="A305" s="7" t="s">
        <v>357</v>
      </c>
      <c r="B305" s="7" t="s">
        <v>0</v>
      </c>
      <c r="C305" s="7" cm="1">
        <f t="array" ref="C305">_xlfn.IFS(B305="25-50%",45,B305="50-75%",30,B305="last 25%",30,B305="Retire",0,B305="Top 25 %",60,B305="REST",30)</f>
        <v>30</v>
      </c>
      <c r="D305" s="13" cm="1">
        <f t="array" ref="D305">AVERAGE('SKU sales and Inventory'!D306:F306/30)</f>
        <v>1.4000000000000001</v>
      </c>
      <c r="E305" s="13">
        <f t="shared" si="8"/>
        <v>42.000000000000007</v>
      </c>
      <c r="F305" s="7">
        <v>162</v>
      </c>
      <c r="G305" s="13">
        <f t="shared" si="9"/>
        <v>120</v>
      </c>
      <c r="L305" s="13"/>
    </row>
    <row r="306" spans="1:12" x14ac:dyDescent="0.3">
      <c r="A306" s="7" t="s">
        <v>358</v>
      </c>
      <c r="B306" s="7" t="s">
        <v>0</v>
      </c>
      <c r="C306" s="7" cm="1">
        <f t="array" ref="C306">_xlfn.IFS(B306="25-50%",45,B306="50-75%",30,B306="last 25%",30,B306="Retire",0,B306="Top 25 %",60,B306="REST",30)</f>
        <v>30</v>
      </c>
      <c r="D306" s="13" cm="1">
        <f t="array" ref="D306">AVERAGE('SKU sales and Inventory'!D307:F307/30)</f>
        <v>1.0666666666666667</v>
      </c>
      <c r="E306" s="13">
        <f t="shared" si="8"/>
        <v>32</v>
      </c>
      <c r="F306" s="7">
        <v>108</v>
      </c>
      <c r="G306" s="13">
        <f t="shared" si="9"/>
        <v>76</v>
      </c>
      <c r="L306" s="13"/>
    </row>
    <row r="307" spans="1:12" x14ac:dyDescent="0.3">
      <c r="A307" s="7" t="s">
        <v>359</v>
      </c>
      <c r="B307" s="7" t="s">
        <v>1</v>
      </c>
      <c r="C307" s="7" cm="1">
        <f t="array" ref="C307">_xlfn.IFS(B307="25-50%",45,B307="50-75%",30,B307="last 25%",30,B307="Retire",0,B307="Top 25 %",60,B307="REST",30)</f>
        <v>30</v>
      </c>
      <c r="D307" s="13" cm="1">
        <f t="array" ref="D307">AVERAGE('SKU sales and Inventory'!D308:F308/30)</f>
        <v>3.9666666666666663</v>
      </c>
      <c r="E307" s="13">
        <f t="shared" si="8"/>
        <v>118.99999999999999</v>
      </c>
      <c r="F307" s="7">
        <v>138</v>
      </c>
      <c r="G307" s="13">
        <f t="shared" si="9"/>
        <v>19.000000000000014</v>
      </c>
      <c r="L307" s="13"/>
    </row>
    <row r="308" spans="1:12" x14ac:dyDescent="0.3">
      <c r="A308" s="7" t="s">
        <v>360</v>
      </c>
      <c r="B308" s="7" t="s">
        <v>0</v>
      </c>
      <c r="C308" s="7" cm="1">
        <f t="array" ref="C308">_xlfn.IFS(B308="25-50%",45,B308="50-75%",30,B308="last 25%",30,B308="Retire",0,B308="Top 25 %",60,B308="REST",30)</f>
        <v>30</v>
      </c>
      <c r="D308" s="13" cm="1">
        <f t="array" ref="D308">AVERAGE('SKU sales and Inventory'!D309:F309/30)</f>
        <v>6.4666666666666659</v>
      </c>
      <c r="E308" s="13">
        <f t="shared" si="8"/>
        <v>193.99999999999997</v>
      </c>
      <c r="F308" s="7">
        <v>183</v>
      </c>
      <c r="G308" s="13">
        <f t="shared" si="9"/>
        <v>-10.999999999999972</v>
      </c>
      <c r="L308" s="13"/>
    </row>
    <row r="309" spans="1:12" x14ac:dyDescent="0.3">
      <c r="A309" s="7" t="s">
        <v>361</v>
      </c>
      <c r="B309" s="7" t="s">
        <v>0</v>
      </c>
      <c r="C309" s="7" cm="1">
        <f t="array" ref="C309">_xlfn.IFS(B309="25-50%",45,B309="50-75%",30,B309="last 25%",30,B309="Retire",0,B309="Top 25 %",60,B309="REST",30)</f>
        <v>30</v>
      </c>
      <c r="D309" s="13" cm="1">
        <f t="array" ref="D309">AVERAGE('SKU sales and Inventory'!D310:F310/30)</f>
        <v>5.2333333333333334</v>
      </c>
      <c r="E309" s="13">
        <f t="shared" si="8"/>
        <v>157</v>
      </c>
      <c r="F309" s="7">
        <v>573</v>
      </c>
      <c r="G309" s="13">
        <f t="shared" si="9"/>
        <v>416</v>
      </c>
      <c r="L309" s="13"/>
    </row>
    <row r="310" spans="1:12" x14ac:dyDescent="0.3">
      <c r="A310" s="7" t="s">
        <v>362</v>
      </c>
      <c r="B310" s="7" t="s">
        <v>0</v>
      </c>
      <c r="C310" s="7" cm="1">
        <f t="array" ref="C310">_xlfn.IFS(B310="25-50%",45,B310="50-75%",30,B310="last 25%",30,B310="Retire",0,B310="Top 25 %",60,B310="REST",30)</f>
        <v>30</v>
      </c>
      <c r="D310" s="13" cm="1">
        <f t="array" ref="D310">AVERAGE('SKU sales and Inventory'!D311:F311/30)</f>
        <v>2.9333333333333336</v>
      </c>
      <c r="E310" s="13">
        <f t="shared" si="8"/>
        <v>88</v>
      </c>
      <c r="F310" s="7">
        <v>273</v>
      </c>
      <c r="G310" s="13">
        <f t="shared" si="9"/>
        <v>185</v>
      </c>
      <c r="L310" s="13"/>
    </row>
    <row r="311" spans="1:12" x14ac:dyDescent="0.3">
      <c r="A311" s="7" t="s">
        <v>363</v>
      </c>
      <c r="B311" s="7" t="s">
        <v>0</v>
      </c>
      <c r="C311" s="7" cm="1">
        <f t="array" ref="C311">_xlfn.IFS(B311="25-50%",45,B311="50-75%",30,B311="last 25%",30,B311="Retire",0,B311="Top 25 %",60,B311="REST",30)</f>
        <v>30</v>
      </c>
      <c r="D311" s="13" cm="1">
        <f t="array" ref="D311">AVERAGE('SKU sales and Inventory'!D312:F312/30)</f>
        <v>2.5666666666666664</v>
      </c>
      <c r="E311" s="13">
        <f t="shared" si="8"/>
        <v>77</v>
      </c>
      <c r="F311" s="7">
        <v>213</v>
      </c>
      <c r="G311" s="13">
        <f t="shared" si="9"/>
        <v>136</v>
      </c>
      <c r="L311" s="13"/>
    </row>
    <row r="312" spans="1:12" x14ac:dyDescent="0.3">
      <c r="A312" s="7" t="s">
        <v>364</v>
      </c>
      <c r="B312" s="7" t="s">
        <v>0</v>
      </c>
      <c r="C312" s="7" cm="1">
        <f t="array" ref="C312">_xlfn.IFS(B312="25-50%",45,B312="50-75%",30,B312="last 25%",30,B312="Retire",0,B312="Top 25 %",60,B312="REST",30)</f>
        <v>30</v>
      </c>
      <c r="D312" s="13" cm="1">
        <f t="array" ref="D312">AVERAGE('SKU sales and Inventory'!D313:F313/30)</f>
        <v>3.4333333333333336</v>
      </c>
      <c r="E312" s="13">
        <f t="shared" si="8"/>
        <v>103</v>
      </c>
      <c r="F312" s="7">
        <v>306</v>
      </c>
      <c r="G312" s="13">
        <f t="shared" si="9"/>
        <v>203</v>
      </c>
      <c r="L312" s="13"/>
    </row>
    <row r="313" spans="1:12" x14ac:dyDescent="0.3">
      <c r="A313" s="7" t="s">
        <v>365</v>
      </c>
      <c r="B313" s="7" t="s">
        <v>0</v>
      </c>
      <c r="C313" s="7" cm="1">
        <f t="array" ref="C313">_xlfn.IFS(B313="25-50%",45,B313="50-75%",30,B313="last 25%",30,B313="Retire",0,B313="Top 25 %",60,B313="REST",30)</f>
        <v>30</v>
      </c>
      <c r="D313" s="13" cm="1">
        <f t="array" ref="D313">AVERAGE('SKU sales and Inventory'!D314:F314/30)</f>
        <v>3.3000000000000003</v>
      </c>
      <c r="E313" s="13">
        <f t="shared" si="8"/>
        <v>99.000000000000014</v>
      </c>
      <c r="F313" s="7">
        <v>291</v>
      </c>
      <c r="G313" s="13">
        <f t="shared" si="9"/>
        <v>192</v>
      </c>
      <c r="L313" s="13"/>
    </row>
    <row r="314" spans="1:12" x14ac:dyDescent="0.3">
      <c r="A314" s="7" t="s">
        <v>366</v>
      </c>
      <c r="B314" s="7" t="s">
        <v>0</v>
      </c>
      <c r="C314" s="7" cm="1">
        <f t="array" ref="C314">_xlfn.IFS(B314="25-50%",45,B314="50-75%",30,B314="last 25%",30,B314="Retire",0,B314="Top 25 %",60,B314="REST",30)</f>
        <v>30</v>
      </c>
      <c r="D314" s="13" cm="1">
        <f t="array" ref="D314">AVERAGE('SKU sales and Inventory'!D315:F315/30)</f>
        <v>1.7999999999999998</v>
      </c>
      <c r="E314" s="13">
        <f t="shared" si="8"/>
        <v>53.999999999999993</v>
      </c>
      <c r="F314" s="7">
        <v>132</v>
      </c>
      <c r="G314" s="13">
        <f t="shared" si="9"/>
        <v>78</v>
      </c>
      <c r="L314" s="13"/>
    </row>
    <row r="315" spans="1:12" x14ac:dyDescent="0.3">
      <c r="A315" s="7" t="s">
        <v>367</v>
      </c>
      <c r="B315" s="7" t="s">
        <v>0</v>
      </c>
      <c r="C315" s="7" cm="1">
        <f t="array" ref="C315">_xlfn.IFS(B315="25-50%",45,B315="50-75%",30,B315="last 25%",30,B315="Retire",0,B315="Top 25 %",60,B315="REST",30)</f>
        <v>30</v>
      </c>
      <c r="D315" s="13" cm="1">
        <f t="array" ref="D315">AVERAGE('SKU sales and Inventory'!D316:F316/30)</f>
        <v>2.2333333333333334</v>
      </c>
      <c r="E315" s="13">
        <f t="shared" si="8"/>
        <v>67</v>
      </c>
      <c r="F315" s="7">
        <v>174</v>
      </c>
      <c r="G315" s="13">
        <f t="shared" si="9"/>
        <v>107</v>
      </c>
      <c r="L315" s="13"/>
    </row>
    <row r="316" spans="1:12" x14ac:dyDescent="0.3">
      <c r="A316" s="7" t="s">
        <v>368</v>
      </c>
      <c r="B316" s="7" t="s">
        <v>0</v>
      </c>
      <c r="C316" s="7" cm="1">
        <f t="array" ref="C316">_xlfn.IFS(B316="25-50%",45,B316="50-75%",30,B316="last 25%",30,B316="Retire",0,B316="Top 25 %",60,B316="REST",30)</f>
        <v>30</v>
      </c>
      <c r="D316" s="13" cm="1">
        <f t="array" ref="D316">AVERAGE('SKU sales and Inventory'!D317:F317/30)</f>
        <v>1.6333333333333335</v>
      </c>
      <c r="E316" s="13">
        <f t="shared" si="8"/>
        <v>49.000000000000007</v>
      </c>
      <c r="F316" s="7">
        <v>60</v>
      </c>
      <c r="G316" s="13">
        <f t="shared" si="9"/>
        <v>10.999999999999993</v>
      </c>
      <c r="L316" s="13"/>
    </row>
    <row r="317" spans="1:12" x14ac:dyDescent="0.3">
      <c r="A317" s="7" t="s">
        <v>369</v>
      </c>
      <c r="B317" s="7" t="s">
        <v>0</v>
      </c>
      <c r="C317" s="7" cm="1">
        <f t="array" ref="C317">_xlfn.IFS(B317="25-50%",45,B317="50-75%",30,B317="last 25%",30,B317="Retire",0,B317="Top 25 %",60,B317="REST",30)</f>
        <v>30</v>
      </c>
      <c r="D317" s="13" cm="1">
        <f t="array" ref="D317">AVERAGE('SKU sales and Inventory'!D318:F318/30)</f>
        <v>2.3333333333333335</v>
      </c>
      <c r="E317" s="13">
        <f t="shared" si="8"/>
        <v>70</v>
      </c>
      <c r="F317" s="7">
        <v>114</v>
      </c>
      <c r="G317" s="13">
        <f t="shared" si="9"/>
        <v>44</v>
      </c>
      <c r="L317" s="13"/>
    </row>
    <row r="318" spans="1:12" x14ac:dyDescent="0.3">
      <c r="A318" s="7" t="s">
        <v>370</v>
      </c>
      <c r="B318" s="7" t="s">
        <v>0</v>
      </c>
      <c r="C318" s="7" cm="1">
        <f t="array" ref="C318">_xlfn.IFS(B318="25-50%",45,B318="50-75%",30,B318="last 25%",30,B318="Retire",0,B318="Top 25 %",60,B318="REST",30)</f>
        <v>30</v>
      </c>
      <c r="D318" s="13" cm="1">
        <f t="array" ref="D318">AVERAGE('SKU sales and Inventory'!D319:F319/30)</f>
        <v>1.3</v>
      </c>
      <c r="E318" s="13">
        <f t="shared" si="8"/>
        <v>39</v>
      </c>
      <c r="F318" s="7">
        <v>57</v>
      </c>
      <c r="G318" s="13">
        <f t="shared" si="9"/>
        <v>18</v>
      </c>
      <c r="L318" s="13"/>
    </row>
    <row r="319" spans="1:12" x14ac:dyDescent="0.3">
      <c r="A319" s="7" t="s">
        <v>371</v>
      </c>
      <c r="B319" s="7" t="s">
        <v>0</v>
      </c>
      <c r="C319" s="7" cm="1">
        <f t="array" ref="C319">_xlfn.IFS(B319="25-50%",45,B319="50-75%",30,B319="last 25%",30,B319="Retire",0,B319="Top 25 %",60,B319="REST",30)</f>
        <v>30</v>
      </c>
      <c r="D319" s="13" cm="1">
        <f t="array" ref="D319">AVERAGE('SKU sales and Inventory'!D320:F320/30)</f>
        <v>7.8666666666666671</v>
      </c>
      <c r="E319" s="13">
        <f t="shared" si="8"/>
        <v>236</v>
      </c>
      <c r="F319" s="7">
        <v>45</v>
      </c>
      <c r="G319" s="13">
        <f t="shared" si="9"/>
        <v>-191</v>
      </c>
      <c r="L319" s="13"/>
    </row>
    <row r="320" spans="1:12" x14ac:dyDescent="0.3">
      <c r="A320" s="7" t="s">
        <v>372</v>
      </c>
      <c r="B320" s="7" t="s">
        <v>0</v>
      </c>
      <c r="C320" s="7" cm="1">
        <f t="array" ref="C320">_xlfn.IFS(B320="25-50%",45,B320="50-75%",30,B320="last 25%",30,B320="Retire",0,B320="Top 25 %",60,B320="REST",30)</f>
        <v>30</v>
      </c>
      <c r="D320" s="13" cm="1">
        <f t="array" ref="D320">AVERAGE('SKU sales and Inventory'!D321:F321/30)</f>
        <v>3.8666666666666667</v>
      </c>
      <c r="E320" s="13">
        <f t="shared" si="8"/>
        <v>116</v>
      </c>
      <c r="F320" s="7">
        <v>261</v>
      </c>
      <c r="G320" s="13">
        <f t="shared" si="9"/>
        <v>145</v>
      </c>
      <c r="L320" s="13"/>
    </row>
    <row r="321" spans="1:12" x14ac:dyDescent="0.3">
      <c r="A321" s="7" t="s">
        <v>373</v>
      </c>
      <c r="B321" s="7" t="s">
        <v>0</v>
      </c>
      <c r="C321" s="7" cm="1">
        <f t="array" ref="C321">_xlfn.IFS(B321="25-50%",45,B321="50-75%",30,B321="last 25%",30,B321="Retire",0,B321="Top 25 %",60,B321="REST",30)</f>
        <v>30</v>
      </c>
      <c r="D321" s="13" cm="1">
        <f t="array" ref="D321">AVERAGE('SKU sales and Inventory'!D322:F322/30)</f>
        <v>2.5666666666666669</v>
      </c>
      <c r="E321" s="13">
        <f t="shared" si="8"/>
        <v>77</v>
      </c>
      <c r="F321" s="7">
        <v>303</v>
      </c>
      <c r="G321" s="13">
        <f t="shared" si="9"/>
        <v>226</v>
      </c>
      <c r="L321" s="13"/>
    </row>
    <row r="322" spans="1:12" x14ac:dyDescent="0.3">
      <c r="A322" s="7" t="s">
        <v>374</v>
      </c>
      <c r="B322" s="7" t="s">
        <v>0</v>
      </c>
      <c r="C322" s="7" cm="1">
        <f t="array" ref="C322">_xlfn.IFS(B322="25-50%",45,B322="50-75%",30,B322="last 25%",30,B322="Retire",0,B322="Top 25 %",60,B322="REST",30)</f>
        <v>30</v>
      </c>
      <c r="D322" s="13" cm="1">
        <f t="array" ref="D322">AVERAGE('SKU sales and Inventory'!D323:F323/30)</f>
        <v>4.0666666666666664</v>
      </c>
      <c r="E322" s="13">
        <f t="shared" si="8"/>
        <v>122</v>
      </c>
      <c r="F322" s="7">
        <v>222</v>
      </c>
      <c r="G322" s="13">
        <f t="shared" si="9"/>
        <v>100</v>
      </c>
      <c r="L322" s="13"/>
    </row>
    <row r="323" spans="1:12" x14ac:dyDescent="0.3">
      <c r="A323" s="7" t="s">
        <v>375</v>
      </c>
      <c r="B323" s="7" t="s">
        <v>0</v>
      </c>
      <c r="C323" s="7" cm="1">
        <f t="array" ref="C323">_xlfn.IFS(B323="25-50%",45,B323="50-75%",30,B323="last 25%",30,B323="Retire",0,B323="Top 25 %",60,B323="REST",30)</f>
        <v>30</v>
      </c>
      <c r="D323" s="13" cm="1">
        <f t="array" ref="D323">AVERAGE('SKU sales and Inventory'!D324:F324/30)</f>
        <v>1</v>
      </c>
      <c r="E323" s="13">
        <f t="shared" ref="E323:E386" si="10">D323*C323</f>
        <v>30</v>
      </c>
      <c r="F323" s="7">
        <v>339</v>
      </c>
      <c r="G323" s="13">
        <f t="shared" ref="G323:G386" si="11">F323-E323</f>
        <v>309</v>
      </c>
      <c r="L323" s="13"/>
    </row>
    <row r="324" spans="1:12" x14ac:dyDescent="0.3">
      <c r="A324" s="7" t="s">
        <v>376</v>
      </c>
      <c r="B324" s="7" t="s">
        <v>1</v>
      </c>
      <c r="C324" s="7" cm="1">
        <f t="array" ref="C324">_xlfn.IFS(B324="25-50%",45,B324="50-75%",30,B324="last 25%",30,B324="Retire",0,B324="Top 25 %",60,B324="REST",30)</f>
        <v>30</v>
      </c>
      <c r="D324" s="13" cm="1">
        <f t="array" ref="D324">AVERAGE('SKU sales and Inventory'!D325:F325/30)</f>
        <v>2.3333333333333335</v>
      </c>
      <c r="E324" s="13">
        <f t="shared" si="10"/>
        <v>70</v>
      </c>
      <c r="F324" s="7">
        <v>231</v>
      </c>
      <c r="G324" s="13">
        <f t="shared" si="11"/>
        <v>161</v>
      </c>
      <c r="L324" s="13"/>
    </row>
    <row r="325" spans="1:12" x14ac:dyDescent="0.3">
      <c r="A325" s="7" t="s">
        <v>377</v>
      </c>
      <c r="B325" s="7" t="s">
        <v>0</v>
      </c>
      <c r="C325" s="7" cm="1">
        <f t="array" ref="C325">_xlfn.IFS(B325="25-50%",45,B325="50-75%",30,B325="last 25%",30,B325="Retire",0,B325="Top 25 %",60,B325="REST",30)</f>
        <v>30</v>
      </c>
      <c r="D325" s="13" cm="1">
        <f t="array" ref="D325">AVERAGE('SKU sales and Inventory'!D326:F326/30)</f>
        <v>3.9000000000000004</v>
      </c>
      <c r="E325" s="13">
        <f t="shared" si="10"/>
        <v>117.00000000000001</v>
      </c>
      <c r="F325" s="7">
        <v>237</v>
      </c>
      <c r="G325" s="13">
        <f t="shared" si="11"/>
        <v>119.99999999999999</v>
      </c>
      <c r="L325" s="13"/>
    </row>
    <row r="326" spans="1:12" x14ac:dyDescent="0.3">
      <c r="A326" s="7" t="s">
        <v>378</v>
      </c>
      <c r="B326" s="7" t="s">
        <v>0</v>
      </c>
      <c r="C326" s="7" cm="1">
        <f t="array" ref="C326">_xlfn.IFS(B326="25-50%",45,B326="50-75%",30,B326="last 25%",30,B326="Retire",0,B326="Top 25 %",60,B326="REST",30)</f>
        <v>30</v>
      </c>
      <c r="D326" s="13" cm="1">
        <f t="array" ref="D326">AVERAGE('SKU sales and Inventory'!D327:F327/30)</f>
        <v>3.7666666666666671</v>
      </c>
      <c r="E326" s="13">
        <f t="shared" si="10"/>
        <v>113.00000000000001</v>
      </c>
      <c r="F326" s="7">
        <v>303</v>
      </c>
      <c r="G326" s="13">
        <f t="shared" si="11"/>
        <v>190</v>
      </c>
      <c r="L326" s="13"/>
    </row>
    <row r="327" spans="1:12" x14ac:dyDescent="0.3">
      <c r="A327" s="7" t="s">
        <v>379</v>
      </c>
      <c r="B327" s="7" t="s">
        <v>0</v>
      </c>
      <c r="C327" s="7" cm="1">
        <f t="array" ref="C327">_xlfn.IFS(B327="25-50%",45,B327="50-75%",30,B327="last 25%",30,B327="Retire",0,B327="Top 25 %",60,B327="REST",30)</f>
        <v>30</v>
      </c>
      <c r="D327" s="13" cm="1">
        <f t="array" ref="D327">AVERAGE('SKU sales and Inventory'!D328:F328/30)</f>
        <v>3.2333333333333338</v>
      </c>
      <c r="E327" s="13">
        <f t="shared" si="10"/>
        <v>97.000000000000014</v>
      </c>
      <c r="F327" s="7">
        <v>99</v>
      </c>
      <c r="G327" s="13">
        <f t="shared" si="11"/>
        <v>1.9999999999999858</v>
      </c>
      <c r="L327" s="13"/>
    </row>
    <row r="328" spans="1:12" x14ac:dyDescent="0.3">
      <c r="A328" s="7" t="s">
        <v>380</v>
      </c>
      <c r="B328" s="7" t="s">
        <v>0</v>
      </c>
      <c r="C328" s="7" cm="1">
        <f t="array" ref="C328">_xlfn.IFS(B328="25-50%",45,B328="50-75%",30,B328="last 25%",30,B328="Retire",0,B328="Top 25 %",60,B328="REST",30)</f>
        <v>30</v>
      </c>
      <c r="D328" s="13" cm="1">
        <f t="array" ref="D328">AVERAGE('SKU sales and Inventory'!D329:F329/30)</f>
        <v>3.4333333333333336</v>
      </c>
      <c r="E328" s="13">
        <f t="shared" si="10"/>
        <v>103</v>
      </c>
      <c r="F328" s="7">
        <v>306</v>
      </c>
      <c r="G328" s="13">
        <f t="shared" si="11"/>
        <v>203</v>
      </c>
      <c r="L328" s="13"/>
    </row>
    <row r="329" spans="1:12" x14ac:dyDescent="0.3">
      <c r="A329" s="7" t="s">
        <v>381</v>
      </c>
      <c r="B329" s="7" t="s">
        <v>0</v>
      </c>
      <c r="C329" s="7" cm="1">
        <f t="array" ref="C329">_xlfn.IFS(B329="25-50%",45,B329="50-75%",30,B329="last 25%",30,B329="Retire",0,B329="Top 25 %",60,B329="REST",30)</f>
        <v>30</v>
      </c>
      <c r="D329" s="13" cm="1">
        <f t="array" ref="D329">AVERAGE('SKU sales and Inventory'!D330:F330/30)</f>
        <v>3.2000000000000006</v>
      </c>
      <c r="E329" s="13">
        <f t="shared" si="10"/>
        <v>96.000000000000014</v>
      </c>
      <c r="F329" s="7">
        <v>45</v>
      </c>
      <c r="G329" s="13">
        <f t="shared" si="11"/>
        <v>-51.000000000000014</v>
      </c>
      <c r="L329" s="13"/>
    </row>
    <row r="330" spans="1:12" x14ac:dyDescent="0.3">
      <c r="A330" s="7" t="s">
        <v>382</v>
      </c>
      <c r="B330" s="7" t="s">
        <v>0</v>
      </c>
      <c r="C330" s="7" cm="1">
        <f t="array" ref="C330">_xlfn.IFS(B330="25-50%",45,B330="50-75%",30,B330="last 25%",30,B330="Retire",0,B330="Top 25 %",60,B330="REST",30)</f>
        <v>30</v>
      </c>
      <c r="D330" s="13" cm="1">
        <f t="array" ref="D330">AVERAGE('SKU sales and Inventory'!D331:F331/30)</f>
        <v>2.6333333333333333</v>
      </c>
      <c r="E330" s="13">
        <f t="shared" si="10"/>
        <v>79</v>
      </c>
      <c r="F330" s="7">
        <v>222</v>
      </c>
      <c r="G330" s="13">
        <f t="shared" si="11"/>
        <v>143</v>
      </c>
      <c r="L330" s="13"/>
    </row>
    <row r="331" spans="1:12" x14ac:dyDescent="0.3">
      <c r="A331" s="7" t="s">
        <v>383</v>
      </c>
      <c r="B331" s="7" t="s">
        <v>0</v>
      </c>
      <c r="C331" s="7" cm="1">
        <f t="array" ref="C331">_xlfn.IFS(B331="25-50%",45,B331="50-75%",30,B331="last 25%",30,B331="Retire",0,B331="Top 25 %",60,B331="REST",30)</f>
        <v>30</v>
      </c>
      <c r="D331" s="13" cm="1">
        <f t="array" ref="D331">AVERAGE('SKU sales and Inventory'!D332:F332/30)</f>
        <v>2.4</v>
      </c>
      <c r="E331" s="13">
        <f t="shared" si="10"/>
        <v>72</v>
      </c>
      <c r="F331" s="7">
        <v>495</v>
      </c>
      <c r="G331" s="13">
        <f t="shared" si="11"/>
        <v>423</v>
      </c>
      <c r="L331" s="13"/>
    </row>
    <row r="332" spans="1:12" x14ac:dyDescent="0.3">
      <c r="A332" s="7" t="s">
        <v>384</v>
      </c>
      <c r="B332" s="7" t="s">
        <v>0</v>
      </c>
      <c r="C332" s="7" cm="1">
        <f t="array" ref="C332">_xlfn.IFS(B332="25-50%",45,B332="50-75%",30,B332="last 25%",30,B332="Retire",0,B332="Top 25 %",60,B332="REST",30)</f>
        <v>30</v>
      </c>
      <c r="D332" s="13" cm="1">
        <f t="array" ref="D332">AVERAGE('SKU sales and Inventory'!D333:F333/30)</f>
        <v>3.5666666666666664</v>
      </c>
      <c r="E332" s="13">
        <f t="shared" si="10"/>
        <v>107</v>
      </c>
      <c r="F332" s="7">
        <v>270</v>
      </c>
      <c r="G332" s="13">
        <f t="shared" si="11"/>
        <v>163</v>
      </c>
      <c r="L332" s="13"/>
    </row>
    <row r="333" spans="1:12" x14ac:dyDescent="0.3">
      <c r="A333" s="7" t="s">
        <v>385</v>
      </c>
      <c r="B333" s="7" t="s">
        <v>0</v>
      </c>
      <c r="C333" s="7" cm="1">
        <f t="array" ref="C333">_xlfn.IFS(B333="25-50%",45,B333="50-75%",30,B333="last 25%",30,B333="Retire",0,B333="Top 25 %",60,B333="REST",30)</f>
        <v>30</v>
      </c>
      <c r="D333" s="13" cm="1">
        <f t="array" ref="D333">AVERAGE('SKU sales and Inventory'!D334:F334/30)</f>
        <v>2.3333333333333335</v>
      </c>
      <c r="E333" s="13">
        <f t="shared" si="10"/>
        <v>70</v>
      </c>
      <c r="F333" s="7">
        <v>168</v>
      </c>
      <c r="G333" s="13">
        <f t="shared" si="11"/>
        <v>98</v>
      </c>
      <c r="L333" s="13"/>
    </row>
    <row r="334" spans="1:12" x14ac:dyDescent="0.3">
      <c r="A334" s="7" t="s">
        <v>386</v>
      </c>
      <c r="B334" s="7" t="s">
        <v>0</v>
      </c>
      <c r="C334" s="7" cm="1">
        <f t="array" ref="C334">_xlfn.IFS(B334="25-50%",45,B334="50-75%",30,B334="last 25%",30,B334="Retire",0,B334="Top 25 %",60,B334="REST",30)</f>
        <v>30</v>
      </c>
      <c r="D334" s="13" cm="1">
        <f t="array" ref="D334">AVERAGE('SKU sales and Inventory'!D335:F335/30)</f>
        <v>0.76666666666666672</v>
      </c>
      <c r="E334" s="13">
        <f t="shared" si="10"/>
        <v>23</v>
      </c>
      <c r="F334" s="7">
        <v>81</v>
      </c>
      <c r="G334" s="13">
        <f t="shared" si="11"/>
        <v>58</v>
      </c>
      <c r="L334" s="13"/>
    </row>
    <row r="335" spans="1:12" x14ac:dyDescent="0.3">
      <c r="A335" s="7" t="s">
        <v>387</v>
      </c>
      <c r="B335" s="7" t="s">
        <v>1</v>
      </c>
      <c r="C335" s="7" cm="1">
        <f t="array" ref="C335">_xlfn.IFS(B335="25-50%",45,B335="50-75%",30,B335="last 25%",30,B335="Retire",0,B335="Top 25 %",60,B335="REST",30)</f>
        <v>30</v>
      </c>
      <c r="D335" s="13" cm="1">
        <f t="array" ref="D335">AVERAGE('SKU sales and Inventory'!D336:F336/30)</f>
        <v>2.1666666666666665</v>
      </c>
      <c r="E335" s="13">
        <f t="shared" si="10"/>
        <v>65</v>
      </c>
      <c r="F335" s="7">
        <v>300</v>
      </c>
      <c r="G335" s="13">
        <f t="shared" si="11"/>
        <v>235</v>
      </c>
      <c r="L335" s="13"/>
    </row>
    <row r="336" spans="1:12" x14ac:dyDescent="0.3">
      <c r="A336" s="7" t="s">
        <v>388</v>
      </c>
      <c r="B336" s="7" t="s">
        <v>0</v>
      </c>
      <c r="C336" s="7" cm="1">
        <f t="array" ref="C336">_xlfn.IFS(B336="25-50%",45,B336="50-75%",30,B336="last 25%",30,B336="Retire",0,B336="Top 25 %",60,B336="REST",30)</f>
        <v>30</v>
      </c>
      <c r="D336" s="13" cm="1">
        <f t="array" ref="D336">AVERAGE('SKU sales and Inventory'!D337:F337/30)</f>
        <v>1.9000000000000001</v>
      </c>
      <c r="E336" s="13">
        <f t="shared" si="10"/>
        <v>57.000000000000007</v>
      </c>
      <c r="F336" s="7">
        <v>39</v>
      </c>
      <c r="G336" s="13">
        <f t="shared" si="11"/>
        <v>-18.000000000000007</v>
      </c>
      <c r="L336" s="13"/>
    </row>
    <row r="337" spans="1:12" x14ac:dyDescent="0.3">
      <c r="A337" s="7" t="s">
        <v>389</v>
      </c>
      <c r="B337" s="7" t="s">
        <v>0</v>
      </c>
      <c r="C337" s="7" cm="1">
        <f t="array" ref="C337">_xlfn.IFS(B337="25-50%",45,B337="50-75%",30,B337="last 25%",30,B337="Retire",0,B337="Top 25 %",60,B337="REST",30)</f>
        <v>30</v>
      </c>
      <c r="D337" s="13" cm="1">
        <f t="array" ref="D337">AVERAGE('SKU sales and Inventory'!D338:F338/30)</f>
        <v>2.2000000000000002</v>
      </c>
      <c r="E337" s="13">
        <f t="shared" si="10"/>
        <v>66</v>
      </c>
      <c r="F337" s="7">
        <v>84</v>
      </c>
      <c r="G337" s="13">
        <f t="shared" si="11"/>
        <v>18</v>
      </c>
      <c r="L337" s="13"/>
    </row>
    <row r="338" spans="1:12" x14ac:dyDescent="0.3">
      <c r="A338" s="7" t="s">
        <v>390</v>
      </c>
      <c r="B338" s="7" t="s">
        <v>0</v>
      </c>
      <c r="C338" s="7" cm="1">
        <f t="array" ref="C338">_xlfn.IFS(B338="25-50%",45,B338="50-75%",30,B338="last 25%",30,B338="Retire",0,B338="Top 25 %",60,B338="REST",30)</f>
        <v>30</v>
      </c>
      <c r="D338" s="13" cm="1">
        <f t="array" ref="D338">AVERAGE('SKU sales and Inventory'!D339:F339/30)</f>
        <v>2.3333333333333335</v>
      </c>
      <c r="E338" s="13">
        <f t="shared" si="10"/>
        <v>70</v>
      </c>
      <c r="F338" s="7">
        <v>102</v>
      </c>
      <c r="G338" s="13">
        <f t="shared" si="11"/>
        <v>32</v>
      </c>
      <c r="L338" s="13"/>
    </row>
    <row r="339" spans="1:12" x14ac:dyDescent="0.3">
      <c r="A339" s="7" t="s">
        <v>391</v>
      </c>
      <c r="B339" s="7" t="s">
        <v>0</v>
      </c>
      <c r="C339" s="7" cm="1">
        <f t="array" ref="C339">_xlfn.IFS(B339="25-50%",45,B339="50-75%",30,B339="last 25%",30,B339="Retire",0,B339="Top 25 %",60,B339="REST",30)</f>
        <v>30</v>
      </c>
      <c r="D339" s="13" cm="1">
        <f t="array" ref="D339">AVERAGE('SKU sales and Inventory'!D340:F340/30)</f>
        <v>1.5999999999999999</v>
      </c>
      <c r="E339" s="13">
        <f t="shared" si="10"/>
        <v>47.999999999999993</v>
      </c>
      <c r="F339" s="7">
        <v>243</v>
      </c>
      <c r="G339" s="13">
        <f t="shared" si="11"/>
        <v>195</v>
      </c>
      <c r="L339" s="13"/>
    </row>
    <row r="340" spans="1:12" x14ac:dyDescent="0.3">
      <c r="A340" s="7" t="s">
        <v>392</v>
      </c>
      <c r="B340" s="7" t="s">
        <v>1</v>
      </c>
      <c r="C340" s="7" cm="1">
        <f t="array" ref="C340">_xlfn.IFS(B340="25-50%",45,B340="50-75%",30,B340="last 25%",30,B340="Retire",0,B340="Top 25 %",60,B340="REST",30)</f>
        <v>30</v>
      </c>
      <c r="D340" s="13" cm="1">
        <f t="array" ref="D340">AVERAGE('SKU sales and Inventory'!D341:F341/30)</f>
        <v>3.1333333333333333</v>
      </c>
      <c r="E340" s="13">
        <f t="shared" si="10"/>
        <v>94</v>
      </c>
      <c r="F340" s="7">
        <v>1362</v>
      </c>
      <c r="G340" s="13">
        <f t="shared" si="11"/>
        <v>1268</v>
      </c>
      <c r="L340" s="13"/>
    </row>
    <row r="341" spans="1:12" x14ac:dyDescent="0.3">
      <c r="A341" s="7" t="s">
        <v>393</v>
      </c>
      <c r="B341" s="7" t="s">
        <v>0</v>
      </c>
      <c r="C341" s="7" cm="1">
        <f t="array" ref="C341">_xlfn.IFS(B341="25-50%",45,B341="50-75%",30,B341="last 25%",30,B341="Retire",0,B341="Top 25 %",60,B341="REST",30)</f>
        <v>30</v>
      </c>
      <c r="D341" s="13" cm="1">
        <f t="array" ref="D341">AVERAGE('SKU sales and Inventory'!D342:F342/30)</f>
        <v>6.0666666666666664</v>
      </c>
      <c r="E341" s="13">
        <f t="shared" si="10"/>
        <v>182</v>
      </c>
      <c r="F341" s="7">
        <v>108</v>
      </c>
      <c r="G341" s="13">
        <f t="shared" si="11"/>
        <v>-74</v>
      </c>
      <c r="L341" s="13"/>
    </row>
    <row r="342" spans="1:12" x14ac:dyDescent="0.3">
      <c r="A342" s="7" t="s">
        <v>394</v>
      </c>
      <c r="B342" s="7" t="s">
        <v>0</v>
      </c>
      <c r="C342" s="7" cm="1">
        <f t="array" ref="C342">_xlfn.IFS(B342="25-50%",45,B342="50-75%",30,B342="last 25%",30,B342="Retire",0,B342="Top 25 %",60,B342="REST",30)</f>
        <v>30</v>
      </c>
      <c r="D342" s="13" cm="1">
        <f t="array" ref="D342">AVERAGE('SKU sales and Inventory'!D343:F343/30)</f>
        <v>3</v>
      </c>
      <c r="E342" s="13">
        <f t="shared" si="10"/>
        <v>90</v>
      </c>
      <c r="F342" s="7">
        <v>183</v>
      </c>
      <c r="G342" s="13">
        <f t="shared" si="11"/>
        <v>93</v>
      </c>
      <c r="L342" s="13"/>
    </row>
    <row r="343" spans="1:12" x14ac:dyDescent="0.3">
      <c r="A343" s="7" t="s">
        <v>395</v>
      </c>
      <c r="B343" s="7" t="s">
        <v>0</v>
      </c>
      <c r="C343" s="7" cm="1">
        <f t="array" ref="C343">_xlfn.IFS(B343="25-50%",45,B343="50-75%",30,B343="last 25%",30,B343="Retire",0,B343="Top 25 %",60,B343="REST",30)</f>
        <v>30</v>
      </c>
      <c r="D343" s="13" cm="1">
        <f t="array" ref="D343">AVERAGE('SKU sales and Inventory'!D344:F344/30)</f>
        <v>2.2000000000000002</v>
      </c>
      <c r="E343" s="13">
        <f t="shared" si="10"/>
        <v>66</v>
      </c>
      <c r="F343" s="7">
        <v>342</v>
      </c>
      <c r="G343" s="13">
        <f t="shared" si="11"/>
        <v>276</v>
      </c>
      <c r="L343" s="13"/>
    </row>
    <row r="344" spans="1:12" x14ac:dyDescent="0.3">
      <c r="A344" s="7" t="s">
        <v>396</v>
      </c>
      <c r="B344" s="7" t="s">
        <v>0</v>
      </c>
      <c r="C344" s="7" cm="1">
        <f t="array" ref="C344">_xlfn.IFS(B344="25-50%",45,B344="50-75%",30,B344="last 25%",30,B344="Retire",0,B344="Top 25 %",60,B344="REST",30)</f>
        <v>30</v>
      </c>
      <c r="D344" s="13" cm="1">
        <f t="array" ref="D344">AVERAGE('SKU sales and Inventory'!D345:F345/30)</f>
        <v>2.2666666666666662</v>
      </c>
      <c r="E344" s="13">
        <f t="shared" si="10"/>
        <v>67.999999999999986</v>
      </c>
      <c r="F344" s="7">
        <v>75</v>
      </c>
      <c r="G344" s="13">
        <f t="shared" si="11"/>
        <v>7.0000000000000142</v>
      </c>
      <c r="L344" s="13"/>
    </row>
    <row r="345" spans="1:12" x14ac:dyDescent="0.3">
      <c r="A345" s="7" t="s">
        <v>397</v>
      </c>
      <c r="B345" s="7" t="s">
        <v>0</v>
      </c>
      <c r="C345" s="7" cm="1">
        <f t="array" ref="C345">_xlfn.IFS(B345="25-50%",45,B345="50-75%",30,B345="last 25%",30,B345="Retire",0,B345="Top 25 %",60,B345="REST",30)</f>
        <v>30</v>
      </c>
      <c r="D345" s="13" cm="1">
        <f t="array" ref="D345">AVERAGE('SKU sales and Inventory'!D346:F346/30)</f>
        <v>2.2333333333333329</v>
      </c>
      <c r="E345" s="13">
        <f t="shared" si="10"/>
        <v>66.999999999999986</v>
      </c>
      <c r="F345" s="7">
        <v>291</v>
      </c>
      <c r="G345" s="13">
        <f t="shared" si="11"/>
        <v>224</v>
      </c>
      <c r="L345" s="13"/>
    </row>
    <row r="346" spans="1:12" x14ac:dyDescent="0.3">
      <c r="A346" s="7" t="s">
        <v>398</v>
      </c>
      <c r="B346" s="7" t="s">
        <v>0</v>
      </c>
      <c r="C346" s="7" cm="1">
        <f t="array" ref="C346">_xlfn.IFS(B346="25-50%",45,B346="50-75%",30,B346="last 25%",30,B346="Retire",0,B346="Top 25 %",60,B346="REST",30)</f>
        <v>30</v>
      </c>
      <c r="D346" s="13" cm="1">
        <f t="array" ref="D346">AVERAGE('SKU sales and Inventory'!D347:F347/30)</f>
        <v>2.4</v>
      </c>
      <c r="E346" s="13">
        <f t="shared" si="10"/>
        <v>72</v>
      </c>
      <c r="F346" s="7">
        <v>42</v>
      </c>
      <c r="G346" s="13">
        <f t="shared" si="11"/>
        <v>-30</v>
      </c>
      <c r="L346" s="13"/>
    </row>
    <row r="347" spans="1:12" x14ac:dyDescent="0.3">
      <c r="A347" s="7" t="s">
        <v>399</v>
      </c>
      <c r="B347" s="7" t="s">
        <v>0</v>
      </c>
      <c r="C347" s="7" cm="1">
        <f t="array" ref="C347">_xlfn.IFS(B347="25-50%",45,B347="50-75%",30,B347="last 25%",30,B347="Retire",0,B347="Top 25 %",60,B347="REST",30)</f>
        <v>30</v>
      </c>
      <c r="D347" s="13" cm="1">
        <f t="array" ref="D347">AVERAGE('SKU sales and Inventory'!D348:F348/30)</f>
        <v>1.1333333333333333</v>
      </c>
      <c r="E347" s="13">
        <f t="shared" si="10"/>
        <v>34</v>
      </c>
      <c r="F347" s="7">
        <v>165</v>
      </c>
      <c r="G347" s="13">
        <f t="shared" si="11"/>
        <v>131</v>
      </c>
      <c r="L347" s="13"/>
    </row>
    <row r="348" spans="1:12" x14ac:dyDescent="0.3">
      <c r="A348" s="7" t="s">
        <v>400</v>
      </c>
      <c r="B348" s="7" t="s">
        <v>0</v>
      </c>
      <c r="C348" s="7" cm="1">
        <f t="array" ref="C348">_xlfn.IFS(B348="25-50%",45,B348="50-75%",30,B348="last 25%",30,B348="Retire",0,B348="Top 25 %",60,B348="REST",30)</f>
        <v>30</v>
      </c>
      <c r="D348" s="13" cm="1">
        <f t="array" ref="D348">AVERAGE('SKU sales and Inventory'!D349:F349/30)</f>
        <v>1.5</v>
      </c>
      <c r="E348" s="13">
        <f t="shared" si="10"/>
        <v>45</v>
      </c>
      <c r="F348" s="7">
        <v>315</v>
      </c>
      <c r="G348" s="13">
        <f t="shared" si="11"/>
        <v>270</v>
      </c>
      <c r="L348" s="13"/>
    </row>
    <row r="349" spans="1:12" x14ac:dyDescent="0.3">
      <c r="A349" s="7" t="s">
        <v>401</v>
      </c>
      <c r="B349" s="7" t="s">
        <v>0</v>
      </c>
      <c r="C349" s="7" cm="1">
        <f t="array" ref="C349">_xlfn.IFS(B349="25-50%",45,B349="50-75%",30,B349="last 25%",30,B349="Retire",0,B349="Top 25 %",60,B349="REST",30)</f>
        <v>30</v>
      </c>
      <c r="D349" s="13" cm="1">
        <f t="array" ref="D349">AVERAGE('SKU sales and Inventory'!D350:F350/30)</f>
        <v>0.86666666666666659</v>
      </c>
      <c r="E349" s="13">
        <f t="shared" si="10"/>
        <v>25.999999999999996</v>
      </c>
      <c r="F349" s="7">
        <v>1314</v>
      </c>
      <c r="G349" s="13">
        <f t="shared" si="11"/>
        <v>1288</v>
      </c>
      <c r="L349" s="13"/>
    </row>
    <row r="350" spans="1:12" x14ac:dyDescent="0.3">
      <c r="A350" s="7" t="s">
        <v>402</v>
      </c>
      <c r="B350" s="7" t="s">
        <v>2</v>
      </c>
      <c r="C350" s="7" cm="1">
        <f t="array" ref="C350">_xlfn.IFS(B350="25-50%",45,B350="50-75%",30,B350="last 25%",30,B350="Retire",0,B350="Top 25 %",60,B350="REST",30)</f>
        <v>45</v>
      </c>
      <c r="D350" s="13" cm="1">
        <f t="array" ref="D350">AVERAGE('SKU sales and Inventory'!D351:F351/30)</f>
        <v>3.7666666666666671</v>
      </c>
      <c r="E350" s="13">
        <f t="shared" si="10"/>
        <v>169.50000000000003</v>
      </c>
      <c r="F350" s="7">
        <v>243</v>
      </c>
      <c r="G350" s="13">
        <f t="shared" si="11"/>
        <v>73.499999999999972</v>
      </c>
      <c r="L350" s="13"/>
    </row>
    <row r="351" spans="1:12" x14ac:dyDescent="0.3">
      <c r="A351" s="7" t="s">
        <v>403</v>
      </c>
      <c r="B351" s="7" t="s">
        <v>1</v>
      </c>
      <c r="C351" s="7" cm="1">
        <f t="array" ref="C351">_xlfn.IFS(B351="25-50%",45,B351="50-75%",30,B351="last 25%",30,B351="Retire",0,B351="Top 25 %",60,B351="REST",30)</f>
        <v>30</v>
      </c>
      <c r="D351" s="13" cm="1">
        <f t="array" ref="D351">AVERAGE('SKU sales and Inventory'!D352:F352/30)</f>
        <v>2.5666666666666669</v>
      </c>
      <c r="E351" s="13">
        <f t="shared" si="10"/>
        <v>77</v>
      </c>
      <c r="F351" s="7">
        <v>99</v>
      </c>
      <c r="G351" s="13">
        <f t="shared" si="11"/>
        <v>22</v>
      </c>
      <c r="L351" s="13"/>
    </row>
    <row r="352" spans="1:12" x14ac:dyDescent="0.3">
      <c r="A352" s="7" t="s">
        <v>404</v>
      </c>
      <c r="B352" s="7" t="s">
        <v>0</v>
      </c>
      <c r="C352" s="7" cm="1">
        <f t="array" ref="C352">_xlfn.IFS(B352="25-50%",45,B352="50-75%",30,B352="last 25%",30,B352="Retire",0,B352="Top 25 %",60,B352="REST",30)</f>
        <v>30</v>
      </c>
      <c r="D352" s="13" cm="1">
        <f t="array" ref="D352">AVERAGE('SKU sales and Inventory'!D353:F353/30)</f>
        <v>3.1333333333333333</v>
      </c>
      <c r="E352" s="13">
        <f t="shared" si="10"/>
        <v>94</v>
      </c>
      <c r="F352" s="7">
        <v>27</v>
      </c>
      <c r="G352" s="13">
        <f t="shared" si="11"/>
        <v>-67</v>
      </c>
      <c r="L352" s="13"/>
    </row>
    <row r="353" spans="1:12" x14ac:dyDescent="0.3">
      <c r="A353" s="7" t="s">
        <v>405</v>
      </c>
      <c r="B353" s="7" t="s">
        <v>0</v>
      </c>
      <c r="C353" s="7" cm="1">
        <f t="array" ref="C353">_xlfn.IFS(B353="25-50%",45,B353="50-75%",30,B353="last 25%",30,B353="Retire",0,B353="Top 25 %",60,B353="REST",30)</f>
        <v>30</v>
      </c>
      <c r="D353" s="13" cm="1">
        <f t="array" ref="D353">AVERAGE('SKU sales and Inventory'!D354:F354/30)</f>
        <v>1.5</v>
      </c>
      <c r="E353" s="13">
        <f t="shared" si="10"/>
        <v>45</v>
      </c>
      <c r="F353" s="7">
        <v>576</v>
      </c>
      <c r="G353" s="13">
        <f t="shared" si="11"/>
        <v>531</v>
      </c>
      <c r="L353" s="13"/>
    </row>
    <row r="354" spans="1:12" x14ac:dyDescent="0.3">
      <c r="A354" s="7" t="s">
        <v>406</v>
      </c>
      <c r="B354" s="7" t="s">
        <v>0</v>
      </c>
      <c r="C354" s="7" cm="1">
        <f t="array" ref="C354">_xlfn.IFS(B354="25-50%",45,B354="50-75%",30,B354="last 25%",30,B354="Retire",0,B354="Top 25 %",60,B354="REST",30)</f>
        <v>30</v>
      </c>
      <c r="D354" s="13" cm="1">
        <f t="array" ref="D354">AVERAGE('SKU sales and Inventory'!D355:F355/30)</f>
        <v>1.5</v>
      </c>
      <c r="E354" s="13">
        <f t="shared" si="10"/>
        <v>45</v>
      </c>
      <c r="F354" s="7">
        <v>183</v>
      </c>
      <c r="G354" s="13">
        <f t="shared" si="11"/>
        <v>138</v>
      </c>
      <c r="L354" s="13"/>
    </row>
    <row r="355" spans="1:12" x14ac:dyDescent="0.3">
      <c r="A355" s="7" t="s">
        <v>407</v>
      </c>
      <c r="B355" s="7" t="s">
        <v>0</v>
      </c>
      <c r="C355" s="7" cm="1">
        <f t="array" ref="C355">_xlfn.IFS(B355="25-50%",45,B355="50-75%",30,B355="last 25%",30,B355="Retire",0,B355="Top 25 %",60,B355="REST",30)</f>
        <v>30</v>
      </c>
      <c r="D355" s="13" cm="1">
        <f t="array" ref="D355">AVERAGE('SKU sales and Inventory'!D356:F356/30)</f>
        <v>2</v>
      </c>
      <c r="E355" s="13">
        <f t="shared" si="10"/>
        <v>60</v>
      </c>
      <c r="F355" s="7">
        <v>192</v>
      </c>
      <c r="G355" s="13">
        <f t="shared" si="11"/>
        <v>132</v>
      </c>
      <c r="L355" s="13"/>
    </row>
    <row r="356" spans="1:12" x14ac:dyDescent="0.3">
      <c r="A356" s="7" t="s">
        <v>408</v>
      </c>
      <c r="B356" s="7" t="s">
        <v>0</v>
      </c>
      <c r="C356" s="7" cm="1">
        <f t="array" ref="C356">_xlfn.IFS(B356="25-50%",45,B356="50-75%",30,B356="last 25%",30,B356="Retire",0,B356="Top 25 %",60,B356="REST",30)</f>
        <v>30</v>
      </c>
      <c r="D356" s="13" cm="1">
        <f t="array" ref="D356">AVERAGE('SKU sales and Inventory'!D357:F357/30)</f>
        <v>1.3333333333333333</v>
      </c>
      <c r="E356" s="13">
        <f t="shared" si="10"/>
        <v>40</v>
      </c>
      <c r="F356" s="7">
        <v>117</v>
      </c>
      <c r="G356" s="13">
        <f t="shared" si="11"/>
        <v>77</v>
      </c>
      <c r="L356" s="13"/>
    </row>
    <row r="357" spans="1:12" x14ac:dyDescent="0.3">
      <c r="A357" s="7" t="s">
        <v>409</v>
      </c>
      <c r="B357" s="7" t="s">
        <v>0</v>
      </c>
      <c r="C357" s="7" cm="1">
        <f t="array" ref="C357">_xlfn.IFS(B357="25-50%",45,B357="50-75%",30,B357="last 25%",30,B357="Retire",0,B357="Top 25 %",60,B357="REST",30)</f>
        <v>30</v>
      </c>
      <c r="D357" s="13" cm="1">
        <f t="array" ref="D357">AVERAGE('SKU sales and Inventory'!D358:F358/30)</f>
        <v>1.5666666666666667</v>
      </c>
      <c r="E357" s="13">
        <f t="shared" si="10"/>
        <v>47</v>
      </c>
      <c r="F357" s="7">
        <v>252</v>
      </c>
      <c r="G357" s="13">
        <f t="shared" si="11"/>
        <v>205</v>
      </c>
      <c r="L357" s="13"/>
    </row>
    <row r="358" spans="1:12" x14ac:dyDescent="0.3">
      <c r="A358" s="7" t="s">
        <v>410</v>
      </c>
      <c r="B358" s="7" t="s">
        <v>2</v>
      </c>
      <c r="C358" s="7" cm="1">
        <f t="array" ref="C358">_xlfn.IFS(B358="25-50%",45,B358="50-75%",30,B358="last 25%",30,B358="Retire",0,B358="Top 25 %",60,B358="REST",30)</f>
        <v>45</v>
      </c>
      <c r="D358" s="13" cm="1">
        <f t="array" ref="D358">AVERAGE('SKU sales and Inventory'!D359:F359/30)</f>
        <v>8.1666666666666661</v>
      </c>
      <c r="E358" s="13">
        <f t="shared" si="10"/>
        <v>367.5</v>
      </c>
      <c r="F358" s="7">
        <v>393</v>
      </c>
      <c r="G358" s="13">
        <f t="shared" si="11"/>
        <v>25.5</v>
      </c>
      <c r="L358" s="13"/>
    </row>
    <row r="359" spans="1:12" x14ac:dyDescent="0.3">
      <c r="A359" s="7" t="s">
        <v>411</v>
      </c>
      <c r="B359" s="7" t="s">
        <v>1</v>
      </c>
      <c r="C359" s="7" cm="1">
        <f t="array" ref="C359">_xlfn.IFS(B359="25-50%",45,B359="50-75%",30,B359="last 25%",30,B359="Retire",0,B359="Top 25 %",60,B359="REST",30)</f>
        <v>30</v>
      </c>
      <c r="D359" s="13" cm="1">
        <f t="array" ref="D359">AVERAGE('SKU sales and Inventory'!D360:F360/30)</f>
        <v>1.7</v>
      </c>
      <c r="E359" s="13">
        <f t="shared" si="10"/>
        <v>51</v>
      </c>
      <c r="F359" s="7">
        <v>750</v>
      </c>
      <c r="G359" s="13">
        <f t="shared" si="11"/>
        <v>699</v>
      </c>
      <c r="L359" s="13"/>
    </row>
    <row r="360" spans="1:12" x14ac:dyDescent="0.3">
      <c r="A360" s="7" t="s">
        <v>412</v>
      </c>
      <c r="B360" s="7" t="s">
        <v>0</v>
      </c>
      <c r="C360" s="7" cm="1">
        <f t="array" ref="C360">_xlfn.IFS(B360="25-50%",45,B360="50-75%",30,B360="last 25%",30,B360="Retire",0,B360="Top 25 %",60,B360="REST",30)</f>
        <v>30</v>
      </c>
      <c r="D360" s="13" cm="1">
        <f t="array" ref="D360">AVERAGE('SKU sales and Inventory'!D361:F361/30)</f>
        <v>3.8000000000000003</v>
      </c>
      <c r="E360" s="13">
        <f t="shared" si="10"/>
        <v>114.00000000000001</v>
      </c>
      <c r="F360" s="7">
        <v>228</v>
      </c>
      <c r="G360" s="13">
        <f t="shared" si="11"/>
        <v>113.99999999999999</v>
      </c>
      <c r="L360" s="13"/>
    </row>
    <row r="361" spans="1:12" x14ac:dyDescent="0.3">
      <c r="A361" s="7" t="s">
        <v>413</v>
      </c>
      <c r="B361" s="7" t="s">
        <v>0</v>
      </c>
      <c r="C361" s="7" cm="1">
        <f t="array" ref="C361">_xlfn.IFS(B361="25-50%",45,B361="50-75%",30,B361="last 25%",30,B361="Retire",0,B361="Top 25 %",60,B361="REST",30)</f>
        <v>30</v>
      </c>
      <c r="D361" s="13" cm="1">
        <f t="array" ref="D361">AVERAGE('SKU sales and Inventory'!D362:F362/30)</f>
        <v>2.5333333333333332</v>
      </c>
      <c r="E361" s="13">
        <f t="shared" si="10"/>
        <v>76</v>
      </c>
      <c r="F361" s="7">
        <v>228</v>
      </c>
      <c r="G361" s="13">
        <f t="shared" si="11"/>
        <v>152</v>
      </c>
      <c r="L361" s="13"/>
    </row>
    <row r="362" spans="1:12" x14ac:dyDescent="0.3">
      <c r="A362" s="7" t="s">
        <v>414</v>
      </c>
      <c r="B362" s="7" t="s">
        <v>0</v>
      </c>
      <c r="C362" s="7" cm="1">
        <f t="array" ref="C362">_xlfn.IFS(B362="25-50%",45,B362="50-75%",30,B362="last 25%",30,B362="Retire",0,B362="Top 25 %",60,B362="REST",30)</f>
        <v>30</v>
      </c>
      <c r="D362" s="13" cm="1">
        <f t="array" ref="D362">AVERAGE('SKU sales and Inventory'!D363:F363/30)</f>
        <v>2.8333333333333335</v>
      </c>
      <c r="E362" s="13">
        <f t="shared" si="10"/>
        <v>85</v>
      </c>
      <c r="F362" s="7">
        <v>96</v>
      </c>
      <c r="G362" s="13">
        <f t="shared" si="11"/>
        <v>11</v>
      </c>
      <c r="L362" s="13"/>
    </row>
    <row r="363" spans="1:12" x14ac:dyDescent="0.3">
      <c r="A363" s="7" t="s">
        <v>415</v>
      </c>
      <c r="B363" s="7" t="s">
        <v>0</v>
      </c>
      <c r="C363" s="7" cm="1">
        <f t="array" ref="C363">_xlfn.IFS(B363="25-50%",45,B363="50-75%",30,B363="last 25%",30,B363="Retire",0,B363="Top 25 %",60,B363="REST",30)</f>
        <v>30</v>
      </c>
      <c r="D363" s="13" cm="1">
        <f t="array" ref="D363">AVERAGE('SKU sales and Inventory'!D364:F364/30)</f>
        <v>2.2666666666666666</v>
      </c>
      <c r="E363" s="13">
        <f t="shared" si="10"/>
        <v>68</v>
      </c>
      <c r="F363" s="7">
        <v>456</v>
      </c>
      <c r="G363" s="13">
        <f t="shared" si="11"/>
        <v>388</v>
      </c>
      <c r="L363" s="13"/>
    </row>
    <row r="364" spans="1:12" x14ac:dyDescent="0.3">
      <c r="A364" s="7" t="s">
        <v>416</v>
      </c>
      <c r="B364" s="7" t="s">
        <v>0</v>
      </c>
      <c r="C364" s="7" cm="1">
        <f t="array" ref="C364">_xlfn.IFS(B364="25-50%",45,B364="50-75%",30,B364="last 25%",30,B364="Retire",0,B364="Top 25 %",60,B364="REST",30)</f>
        <v>30</v>
      </c>
      <c r="D364" s="13" cm="1">
        <f t="array" ref="D364">AVERAGE('SKU sales and Inventory'!D365:F365/30)</f>
        <v>1.6666666666666667</v>
      </c>
      <c r="E364" s="13">
        <f t="shared" si="10"/>
        <v>50</v>
      </c>
      <c r="F364" s="7">
        <v>243</v>
      </c>
      <c r="G364" s="13">
        <f t="shared" si="11"/>
        <v>193</v>
      </c>
      <c r="L364" s="13"/>
    </row>
    <row r="365" spans="1:12" x14ac:dyDescent="0.3">
      <c r="A365" s="7" t="s">
        <v>417</v>
      </c>
      <c r="B365" s="7" t="s">
        <v>0</v>
      </c>
      <c r="C365" s="7" cm="1">
        <f t="array" ref="C365">_xlfn.IFS(B365="25-50%",45,B365="50-75%",30,B365="last 25%",30,B365="Retire",0,B365="Top 25 %",60,B365="REST",30)</f>
        <v>30</v>
      </c>
      <c r="D365" s="13" cm="1">
        <f t="array" ref="D365">AVERAGE('SKU sales and Inventory'!D366:F366/30)</f>
        <v>1.3999999999999997</v>
      </c>
      <c r="E365" s="13">
        <f t="shared" si="10"/>
        <v>41.999999999999993</v>
      </c>
      <c r="F365" s="7">
        <v>123</v>
      </c>
      <c r="G365" s="13">
        <f t="shared" si="11"/>
        <v>81</v>
      </c>
      <c r="L365" s="13"/>
    </row>
    <row r="366" spans="1:12" x14ac:dyDescent="0.3">
      <c r="A366" s="7" t="s">
        <v>418</v>
      </c>
      <c r="B366" s="7" t="s">
        <v>0</v>
      </c>
      <c r="C366" s="7" cm="1">
        <f t="array" ref="C366">_xlfn.IFS(B366="25-50%",45,B366="50-75%",30,B366="last 25%",30,B366="Retire",0,B366="Top 25 %",60,B366="REST",30)</f>
        <v>30</v>
      </c>
      <c r="D366" s="13" cm="1">
        <f t="array" ref="D366">AVERAGE('SKU sales and Inventory'!D367:F367/30)</f>
        <v>2.1999999999999997</v>
      </c>
      <c r="E366" s="13">
        <f t="shared" si="10"/>
        <v>65.999999999999986</v>
      </c>
      <c r="F366" s="7">
        <v>195</v>
      </c>
      <c r="G366" s="13">
        <f t="shared" si="11"/>
        <v>129</v>
      </c>
      <c r="L366" s="13"/>
    </row>
    <row r="367" spans="1:12" x14ac:dyDescent="0.3">
      <c r="A367" s="7" t="s">
        <v>419</v>
      </c>
      <c r="B367" s="7" t="s">
        <v>0</v>
      </c>
      <c r="C367" s="7" cm="1">
        <f t="array" ref="C367">_xlfn.IFS(B367="25-50%",45,B367="50-75%",30,B367="last 25%",30,B367="Retire",0,B367="Top 25 %",60,B367="REST",30)</f>
        <v>30</v>
      </c>
      <c r="D367" s="13" cm="1">
        <f t="array" ref="D367">AVERAGE('SKU sales and Inventory'!D368:F368/30)</f>
        <v>1.0333333333333332</v>
      </c>
      <c r="E367" s="13">
        <f t="shared" si="10"/>
        <v>30.999999999999996</v>
      </c>
      <c r="F367" s="7">
        <v>69</v>
      </c>
      <c r="G367" s="13">
        <f t="shared" si="11"/>
        <v>38</v>
      </c>
      <c r="L367" s="13"/>
    </row>
    <row r="368" spans="1:12" x14ac:dyDescent="0.3">
      <c r="A368" s="7" t="s">
        <v>420</v>
      </c>
      <c r="B368" s="7" t="s">
        <v>3</v>
      </c>
      <c r="C368" s="7" cm="1">
        <f t="array" ref="C368">_xlfn.IFS(B368="25-50%",45,B368="50-75%",30,B368="last 25%",30,B368="Retire",0,B368="Top 25 %",60,B368="REST",30)</f>
        <v>0</v>
      </c>
      <c r="D368" s="13" cm="1">
        <f t="array" ref="D368">AVERAGE('SKU sales and Inventory'!D369:F369/30)</f>
        <v>1.6666666666666667</v>
      </c>
      <c r="E368" s="13">
        <f t="shared" si="10"/>
        <v>0</v>
      </c>
      <c r="F368" s="7">
        <v>39</v>
      </c>
      <c r="G368" s="13">
        <f t="shared" si="11"/>
        <v>39</v>
      </c>
      <c r="L368" s="13"/>
    </row>
    <row r="369" spans="1:12" x14ac:dyDescent="0.3">
      <c r="A369" s="7" t="s">
        <v>421</v>
      </c>
      <c r="B369" s="7" t="s">
        <v>0</v>
      </c>
      <c r="C369" s="7" cm="1">
        <f t="array" ref="C369">_xlfn.IFS(B369="25-50%",45,B369="50-75%",30,B369="last 25%",30,B369="Retire",0,B369="Top 25 %",60,B369="REST",30)</f>
        <v>30</v>
      </c>
      <c r="D369" s="13" cm="1">
        <f t="array" ref="D369">AVERAGE('SKU sales and Inventory'!D370:F370/30)</f>
        <v>2.4</v>
      </c>
      <c r="E369" s="13">
        <f t="shared" si="10"/>
        <v>72</v>
      </c>
      <c r="F369" s="7">
        <v>309</v>
      </c>
      <c r="G369" s="13">
        <f t="shared" si="11"/>
        <v>237</v>
      </c>
      <c r="L369" s="13"/>
    </row>
    <row r="370" spans="1:12" x14ac:dyDescent="0.3">
      <c r="A370" s="7" t="s">
        <v>422</v>
      </c>
      <c r="B370" s="7" t="s">
        <v>0</v>
      </c>
      <c r="C370" s="7" cm="1">
        <f t="array" ref="C370">_xlfn.IFS(B370="25-50%",45,B370="50-75%",30,B370="last 25%",30,B370="Retire",0,B370="Top 25 %",60,B370="REST",30)</f>
        <v>30</v>
      </c>
      <c r="D370" s="13" cm="1">
        <f t="array" ref="D370">AVERAGE('SKU sales and Inventory'!D371:F371/30)</f>
        <v>2.1666666666666665</v>
      </c>
      <c r="E370" s="13">
        <f t="shared" si="10"/>
        <v>65</v>
      </c>
      <c r="F370" s="7">
        <v>807</v>
      </c>
      <c r="G370" s="13">
        <f t="shared" si="11"/>
        <v>742</v>
      </c>
      <c r="L370" s="13"/>
    </row>
    <row r="371" spans="1:12" x14ac:dyDescent="0.3">
      <c r="A371" s="7" t="s">
        <v>423</v>
      </c>
      <c r="B371" s="7" t="s">
        <v>0</v>
      </c>
      <c r="C371" s="7" cm="1">
        <f t="array" ref="C371">_xlfn.IFS(B371="25-50%",45,B371="50-75%",30,B371="last 25%",30,B371="Retire",0,B371="Top 25 %",60,B371="REST",30)</f>
        <v>30</v>
      </c>
      <c r="D371" s="13" cm="1">
        <f t="array" ref="D371">AVERAGE('SKU sales and Inventory'!D372:F372/30)</f>
        <v>3.2333333333333329</v>
      </c>
      <c r="E371" s="13">
        <f t="shared" si="10"/>
        <v>96.999999999999986</v>
      </c>
      <c r="F371" s="7">
        <v>108</v>
      </c>
      <c r="G371" s="13">
        <f t="shared" si="11"/>
        <v>11.000000000000014</v>
      </c>
      <c r="L371" s="13"/>
    </row>
    <row r="372" spans="1:12" x14ac:dyDescent="0.3">
      <c r="A372" s="7" t="s">
        <v>424</v>
      </c>
      <c r="B372" s="7" t="s">
        <v>0</v>
      </c>
      <c r="C372" s="7" cm="1">
        <f t="array" ref="C372">_xlfn.IFS(B372="25-50%",45,B372="50-75%",30,B372="last 25%",30,B372="Retire",0,B372="Top 25 %",60,B372="REST",30)</f>
        <v>30</v>
      </c>
      <c r="D372" s="13" cm="1">
        <f t="array" ref="D372">AVERAGE('SKU sales and Inventory'!D373:F373/30)</f>
        <v>2.4</v>
      </c>
      <c r="E372" s="13">
        <f t="shared" si="10"/>
        <v>72</v>
      </c>
      <c r="F372" s="7">
        <v>81</v>
      </c>
      <c r="G372" s="13">
        <f t="shared" si="11"/>
        <v>9</v>
      </c>
      <c r="L372" s="13"/>
    </row>
    <row r="373" spans="1:12" x14ac:dyDescent="0.3">
      <c r="A373" s="7" t="s">
        <v>425</v>
      </c>
      <c r="B373" s="7" t="s">
        <v>0</v>
      </c>
      <c r="C373" s="7" cm="1">
        <f t="array" ref="C373">_xlfn.IFS(B373="25-50%",45,B373="50-75%",30,B373="last 25%",30,B373="Retire",0,B373="Top 25 %",60,B373="REST",30)</f>
        <v>30</v>
      </c>
      <c r="D373" s="13" cm="1">
        <f t="array" ref="D373">AVERAGE('SKU sales and Inventory'!D374:F374/30)</f>
        <v>2.2666666666666671</v>
      </c>
      <c r="E373" s="13">
        <f t="shared" si="10"/>
        <v>68.000000000000014</v>
      </c>
      <c r="F373" s="7">
        <v>186</v>
      </c>
      <c r="G373" s="13">
        <f t="shared" si="11"/>
        <v>117.99999999999999</v>
      </c>
      <c r="L373" s="13"/>
    </row>
    <row r="374" spans="1:12" x14ac:dyDescent="0.3">
      <c r="A374" s="7" t="s">
        <v>426</v>
      </c>
      <c r="B374" s="7" t="s">
        <v>0</v>
      </c>
      <c r="C374" s="7" cm="1">
        <f t="array" ref="C374">_xlfn.IFS(B374="25-50%",45,B374="50-75%",30,B374="last 25%",30,B374="Retire",0,B374="Top 25 %",60,B374="REST",30)</f>
        <v>30</v>
      </c>
      <c r="D374" s="13" cm="1">
        <f t="array" ref="D374">AVERAGE('SKU sales and Inventory'!D375:F375/30)</f>
        <v>2.8000000000000003</v>
      </c>
      <c r="E374" s="13">
        <f t="shared" si="10"/>
        <v>84.000000000000014</v>
      </c>
      <c r="F374" s="7">
        <v>219</v>
      </c>
      <c r="G374" s="13">
        <f t="shared" si="11"/>
        <v>135</v>
      </c>
      <c r="L374" s="13"/>
    </row>
    <row r="375" spans="1:12" x14ac:dyDescent="0.3">
      <c r="A375" s="7" t="s">
        <v>427</v>
      </c>
      <c r="B375" s="7" t="s">
        <v>0</v>
      </c>
      <c r="C375" s="7" cm="1">
        <f t="array" ref="C375">_xlfn.IFS(B375="25-50%",45,B375="50-75%",30,B375="last 25%",30,B375="Retire",0,B375="Top 25 %",60,B375="REST",30)</f>
        <v>30</v>
      </c>
      <c r="D375" s="13" cm="1">
        <f t="array" ref="D375">AVERAGE('SKU sales and Inventory'!D376:F376/30)</f>
        <v>1.6333333333333335</v>
      </c>
      <c r="E375" s="13">
        <f t="shared" si="10"/>
        <v>49.000000000000007</v>
      </c>
      <c r="F375" s="7">
        <v>873</v>
      </c>
      <c r="G375" s="13">
        <f t="shared" si="11"/>
        <v>824</v>
      </c>
      <c r="L375" s="13"/>
    </row>
    <row r="376" spans="1:12" x14ac:dyDescent="0.3">
      <c r="A376" s="7" t="s">
        <v>428</v>
      </c>
      <c r="B376" s="7" t="s">
        <v>0</v>
      </c>
      <c r="C376" s="7" cm="1">
        <f t="array" ref="C376">_xlfn.IFS(B376="25-50%",45,B376="50-75%",30,B376="last 25%",30,B376="Retire",0,B376="Top 25 %",60,B376="REST",30)</f>
        <v>30</v>
      </c>
      <c r="D376" s="13" cm="1">
        <f t="array" ref="D376">AVERAGE('SKU sales and Inventory'!D377:F377/30)</f>
        <v>1.0333333333333334</v>
      </c>
      <c r="E376" s="13">
        <f t="shared" si="10"/>
        <v>31.000000000000004</v>
      </c>
      <c r="F376" s="7">
        <v>111</v>
      </c>
      <c r="G376" s="13">
        <f t="shared" si="11"/>
        <v>80</v>
      </c>
      <c r="L376" s="13"/>
    </row>
    <row r="377" spans="1:12" x14ac:dyDescent="0.3">
      <c r="A377" s="7" t="s">
        <v>429</v>
      </c>
      <c r="B377" s="7" t="s">
        <v>0</v>
      </c>
      <c r="C377" s="7" cm="1">
        <f t="array" ref="C377">_xlfn.IFS(B377="25-50%",45,B377="50-75%",30,B377="last 25%",30,B377="Retire",0,B377="Top 25 %",60,B377="REST",30)</f>
        <v>30</v>
      </c>
      <c r="D377" s="13" cm="1">
        <f t="array" ref="D377">AVERAGE('SKU sales and Inventory'!D378:F378/30)</f>
        <v>1.1333333333333335</v>
      </c>
      <c r="E377" s="13">
        <f t="shared" si="10"/>
        <v>34.000000000000007</v>
      </c>
      <c r="F377" s="7">
        <v>48</v>
      </c>
      <c r="G377" s="13">
        <f t="shared" si="11"/>
        <v>13.999999999999993</v>
      </c>
      <c r="L377" s="13"/>
    </row>
    <row r="378" spans="1:12" x14ac:dyDescent="0.3">
      <c r="A378" s="7" t="s">
        <v>430</v>
      </c>
      <c r="B378" s="7" t="s">
        <v>0</v>
      </c>
      <c r="C378" s="7" cm="1">
        <f t="array" ref="C378">_xlfn.IFS(B378="25-50%",45,B378="50-75%",30,B378="last 25%",30,B378="Retire",0,B378="Top 25 %",60,B378="REST",30)</f>
        <v>30</v>
      </c>
      <c r="D378" s="13" cm="1">
        <f t="array" ref="D378">AVERAGE('SKU sales and Inventory'!D379:F379/30)</f>
        <v>0.70000000000000007</v>
      </c>
      <c r="E378" s="13">
        <f t="shared" si="10"/>
        <v>21.000000000000004</v>
      </c>
      <c r="F378" s="7">
        <v>72</v>
      </c>
      <c r="G378" s="13">
        <f t="shared" si="11"/>
        <v>51</v>
      </c>
      <c r="L378" s="13"/>
    </row>
    <row r="379" spans="1:12" x14ac:dyDescent="0.3">
      <c r="A379" s="7" t="s">
        <v>431</v>
      </c>
      <c r="B379" s="7" t="s">
        <v>0</v>
      </c>
      <c r="C379" s="7" cm="1">
        <f t="array" ref="C379">_xlfn.IFS(B379="25-50%",45,B379="50-75%",30,B379="last 25%",30,B379="Retire",0,B379="Top 25 %",60,B379="REST",30)</f>
        <v>30</v>
      </c>
      <c r="D379" s="13" cm="1">
        <f t="array" ref="D379">AVERAGE('SKU sales and Inventory'!D380:F380/30)</f>
        <v>1.7</v>
      </c>
      <c r="E379" s="13">
        <f t="shared" si="10"/>
        <v>51</v>
      </c>
      <c r="F379" s="7">
        <v>231</v>
      </c>
      <c r="G379" s="13">
        <f t="shared" si="11"/>
        <v>180</v>
      </c>
      <c r="L379" s="13"/>
    </row>
    <row r="380" spans="1:12" x14ac:dyDescent="0.3">
      <c r="A380" s="7" t="s">
        <v>432</v>
      </c>
      <c r="B380" s="7" t="s">
        <v>0</v>
      </c>
      <c r="C380" s="7" cm="1">
        <f t="array" ref="C380">_xlfn.IFS(B380="25-50%",45,B380="50-75%",30,B380="last 25%",30,B380="Retire",0,B380="Top 25 %",60,B380="REST",30)</f>
        <v>30</v>
      </c>
      <c r="D380" s="13" cm="1">
        <f t="array" ref="D380">AVERAGE('SKU sales and Inventory'!D381:F381/30)</f>
        <v>1.5333333333333332</v>
      </c>
      <c r="E380" s="13">
        <f t="shared" si="10"/>
        <v>46</v>
      </c>
      <c r="F380" s="7">
        <v>102</v>
      </c>
      <c r="G380" s="13">
        <f t="shared" si="11"/>
        <v>56</v>
      </c>
      <c r="L380" s="13"/>
    </row>
    <row r="381" spans="1:12" x14ac:dyDescent="0.3">
      <c r="A381" s="7" t="s">
        <v>433</v>
      </c>
      <c r="B381" s="7" t="s">
        <v>0</v>
      </c>
      <c r="C381" s="7" cm="1">
        <f t="array" ref="C381">_xlfn.IFS(B381="25-50%",45,B381="50-75%",30,B381="last 25%",30,B381="Retire",0,B381="Top 25 %",60,B381="REST",30)</f>
        <v>30</v>
      </c>
      <c r="D381" s="13" cm="1">
        <f t="array" ref="D381">AVERAGE('SKU sales and Inventory'!D382:F382/30)</f>
        <v>2.0333333333333332</v>
      </c>
      <c r="E381" s="13">
        <f t="shared" si="10"/>
        <v>61</v>
      </c>
      <c r="F381" s="7">
        <v>288</v>
      </c>
      <c r="G381" s="13">
        <f t="shared" si="11"/>
        <v>227</v>
      </c>
      <c r="L381" s="13"/>
    </row>
    <row r="382" spans="1:12" x14ac:dyDescent="0.3">
      <c r="A382" s="7" t="s">
        <v>434</v>
      </c>
      <c r="B382" s="7" t="s">
        <v>1</v>
      </c>
      <c r="C382" s="7" cm="1">
        <f t="array" ref="C382">_xlfn.IFS(B382="25-50%",45,B382="50-75%",30,B382="last 25%",30,B382="Retire",0,B382="Top 25 %",60,B382="REST",30)</f>
        <v>30</v>
      </c>
      <c r="D382" s="13" cm="1">
        <f t="array" ref="D382">AVERAGE('SKU sales and Inventory'!D383:F383/30)</f>
        <v>1.8</v>
      </c>
      <c r="E382" s="13">
        <f t="shared" si="10"/>
        <v>54</v>
      </c>
      <c r="F382" s="7">
        <v>438</v>
      </c>
      <c r="G382" s="13">
        <f t="shared" si="11"/>
        <v>384</v>
      </c>
      <c r="L382" s="13"/>
    </row>
    <row r="383" spans="1:12" x14ac:dyDescent="0.3">
      <c r="A383" s="7" t="s">
        <v>435</v>
      </c>
      <c r="B383" s="7" t="s">
        <v>0</v>
      </c>
      <c r="C383" s="7" cm="1">
        <f t="array" ref="C383">_xlfn.IFS(B383="25-50%",45,B383="50-75%",30,B383="last 25%",30,B383="Retire",0,B383="Top 25 %",60,B383="REST",30)</f>
        <v>30</v>
      </c>
      <c r="D383" s="13" cm="1">
        <f t="array" ref="D383">AVERAGE('SKU sales and Inventory'!D384:F384/30)</f>
        <v>3.2333333333333329</v>
      </c>
      <c r="E383" s="13">
        <f t="shared" si="10"/>
        <v>96.999999999999986</v>
      </c>
      <c r="F383" s="7">
        <v>207</v>
      </c>
      <c r="G383" s="13">
        <f t="shared" si="11"/>
        <v>110.00000000000001</v>
      </c>
      <c r="L383" s="13"/>
    </row>
    <row r="384" spans="1:12" x14ac:dyDescent="0.3">
      <c r="A384" s="7" t="s">
        <v>436</v>
      </c>
      <c r="B384" s="7" t="s">
        <v>0</v>
      </c>
      <c r="C384" s="7" cm="1">
        <f t="array" ref="C384">_xlfn.IFS(B384="25-50%",45,B384="50-75%",30,B384="last 25%",30,B384="Retire",0,B384="Top 25 %",60,B384="REST",30)</f>
        <v>30</v>
      </c>
      <c r="D384" s="13" cm="1">
        <f t="array" ref="D384">AVERAGE('SKU sales and Inventory'!D385:F385/30)</f>
        <v>2.5333333333333332</v>
      </c>
      <c r="E384" s="13">
        <f t="shared" si="10"/>
        <v>76</v>
      </c>
      <c r="F384" s="7">
        <v>174</v>
      </c>
      <c r="G384" s="13">
        <f t="shared" si="11"/>
        <v>98</v>
      </c>
      <c r="L384" s="13"/>
    </row>
    <row r="385" spans="1:12" x14ac:dyDescent="0.3">
      <c r="A385" s="7" t="s">
        <v>437</v>
      </c>
      <c r="B385" s="7" t="s">
        <v>0</v>
      </c>
      <c r="C385" s="7" cm="1">
        <f t="array" ref="C385">_xlfn.IFS(B385="25-50%",45,B385="50-75%",30,B385="last 25%",30,B385="Retire",0,B385="Top 25 %",60,B385="REST",30)</f>
        <v>30</v>
      </c>
      <c r="D385" s="13" cm="1">
        <f t="array" ref="D385">AVERAGE('SKU sales and Inventory'!D386:F386/30)</f>
        <v>1.9000000000000001</v>
      </c>
      <c r="E385" s="13">
        <f t="shared" si="10"/>
        <v>57.000000000000007</v>
      </c>
      <c r="F385" s="7">
        <v>147</v>
      </c>
      <c r="G385" s="13">
        <f t="shared" si="11"/>
        <v>90</v>
      </c>
      <c r="L385" s="13"/>
    </row>
    <row r="386" spans="1:12" x14ac:dyDescent="0.3">
      <c r="A386" s="7" t="s">
        <v>438</v>
      </c>
      <c r="B386" s="7" t="s">
        <v>0</v>
      </c>
      <c r="C386" s="7" cm="1">
        <f t="array" ref="C386">_xlfn.IFS(B386="25-50%",45,B386="50-75%",30,B386="last 25%",30,B386="Retire",0,B386="Top 25 %",60,B386="REST",30)</f>
        <v>30</v>
      </c>
      <c r="D386" s="13" cm="1">
        <f t="array" ref="D386">AVERAGE('SKU sales and Inventory'!D387:F387/30)</f>
        <v>0.6</v>
      </c>
      <c r="E386" s="13">
        <f t="shared" si="10"/>
        <v>18</v>
      </c>
      <c r="F386" s="7">
        <v>102</v>
      </c>
      <c r="G386" s="13">
        <f t="shared" si="11"/>
        <v>84</v>
      </c>
      <c r="L386" s="13"/>
    </row>
    <row r="387" spans="1:12" x14ac:dyDescent="0.3">
      <c r="A387" s="7" t="s">
        <v>439</v>
      </c>
      <c r="B387" s="7" t="s">
        <v>0</v>
      </c>
      <c r="C387" s="7" cm="1">
        <f t="array" ref="C387">_xlfn.IFS(B387="25-50%",45,B387="50-75%",30,B387="last 25%",30,B387="Retire",0,B387="Top 25 %",60,B387="REST",30)</f>
        <v>30</v>
      </c>
      <c r="D387" s="13" cm="1">
        <f t="array" ref="D387">AVERAGE('SKU sales and Inventory'!D388:F388/30)</f>
        <v>0.69999999999999984</v>
      </c>
      <c r="E387" s="13">
        <f t="shared" ref="E387:E450" si="12">D387*C387</f>
        <v>20.999999999999996</v>
      </c>
      <c r="F387" s="7">
        <v>48</v>
      </c>
      <c r="G387" s="13">
        <f t="shared" ref="G387:G450" si="13">F387-E387</f>
        <v>27.000000000000004</v>
      </c>
      <c r="L387" s="13"/>
    </row>
    <row r="388" spans="1:12" x14ac:dyDescent="0.3">
      <c r="A388" s="7" t="s">
        <v>440</v>
      </c>
      <c r="B388" s="7" t="s">
        <v>0</v>
      </c>
      <c r="C388" s="7" cm="1">
        <f t="array" ref="C388">_xlfn.IFS(B388="25-50%",45,B388="50-75%",30,B388="last 25%",30,B388="Retire",0,B388="Top 25 %",60,B388="REST",30)</f>
        <v>30</v>
      </c>
      <c r="D388" s="13" cm="1">
        <f t="array" ref="D388">AVERAGE('SKU sales and Inventory'!D389:F389/30)</f>
        <v>3.5666666666666664</v>
      </c>
      <c r="E388" s="13">
        <f t="shared" si="12"/>
        <v>107</v>
      </c>
      <c r="F388" s="7">
        <v>198</v>
      </c>
      <c r="G388" s="13">
        <f t="shared" si="13"/>
        <v>91</v>
      </c>
      <c r="L388" s="13"/>
    </row>
    <row r="389" spans="1:12" x14ac:dyDescent="0.3">
      <c r="A389" s="7" t="s">
        <v>441</v>
      </c>
      <c r="B389" s="7" t="s">
        <v>0</v>
      </c>
      <c r="C389" s="7" cm="1">
        <f t="array" ref="C389">_xlfn.IFS(B389="25-50%",45,B389="50-75%",30,B389="last 25%",30,B389="Retire",0,B389="Top 25 %",60,B389="REST",30)</f>
        <v>30</v>
      </c>
      <c r="D389" s="13" cm="1">
        <f t="array" ref="D389">AVERAGE('SKU sales and Inventory'!D390:F390/30)</f>
        <v>7.2333333333333334</v>
      </c>
      <c r="E389" s="13">
        <f t="shared" si="12"/>
        <v>217</v>
      </c>
      <c r="F389" s="7">
        <v>36</v>
      </c>
      <c r="G389" s="13">
        <f t="shared" si="13"/>
        <v>-181</v>
      </c>
      <c r="L389" s="13"/>
    </row>
    <row r="390" spans="1:12" x14ac:dyDescent="0.3">
      <c r="A390" s="7" t="s">
        <v>442</v>
      </c>
      <c r="B390" s="7" t="s">
        <v>0</v>
      </c>
      <c r="C390" s="7" cm="1">
        <f t="array" ref="C390">_xlfn.IFS(B390="25-50%",45,B390="50-75%",30,B390="last 25%",30,B390="Retire",0,B390="Top 25 %",60,B390="REST",30)</f>
        <v>30</v>
      </c>
      <c r="D390" s="13" cm="1">
        <f t="array" ref="D390">AVERAGE('SKU sales and Inventory'!D391:F391/30)</f>
        <v>1.9666666666666668</v>
      </c>
      <c r="E390" s="13">
        <f t="shared" si="12"/>
        <v>59</v>
      </c>
      <c r="F390" s="7">
        <v>78</v>
      </c>
      <c r="G390" s="13">
        <f t="shared" si="13"/>
        <v>19</v>
      </c>
      <c r="L390" s="13"/>
    </row>
    <row r="391" spans="1:12" x14ac:dyDescent="0.3">
      <c r="A391" s="7" t="s">
        <v>443</v>
      </c>
      <c r="B391" s="7" t="s">
        <v>0</v>
      </c>
      <c r="C391" s="7" cm="1">
        <f t="array" ref="C391">_xlfn.IFS(B391="25-50%",45,B391="50-75%",30,B391="last 25%",30,B391="Retire",0,B391="Top 25 %",60,B391="REST",30)</f>
        <v>30</v>
      </c>
      <c r="D391" s="13" cm="1">
        <f t="array" ref="D391">AVERAGE('SKU sales and Inventory'!D392:F392/30)</f>
        <v>2.1666666666666665</v>
      </c>
      <c r="E391" s="13">
        <f t="shared" si="12"/>
        <v>65</v>
      </c>
      <c r="F391" s="7">
        <v>285</v>
      </c>
      <c r="G391" s="13">
        <f t="shared" si="13"/>
        <v>220</v>
      </c>
      <c r="L391" s="13"/>
    </row>
    <row r="392" spans="1:12" x14ac:dyDescent="0.3">
      <c r="A392" s="7" t="s">
        <v>444</v>
      </c>
      <c r="B392" s="7" t="s">
        <v>0</v>
      </c>
      <c r="C392" s="7" cm="1">
        <f t="array" ref="C392">_xlfn.IFS(B392="25-50%",45,B392="50-75%",30,B392="last 25%",30,B392="Retire",0,B392="Top 25 %",60,B392="REST",30)</f>
        <v>30</v>
      </c>
      <c r="D392" s="13" cm="1">
        <f t="array" ref="D392">AVERAGE('SKU sales and Inventory'!D393:F393/30)</f>
        <v>1.4000000000000001</v>
      </c>
      <c r="E392" s="13">
        <f t="shared" si="12"/>
        <v>42.000000000000007</v>
      </c>
      <c r="F392" s="7">
        <v>201</v>
      </c>
      <c r="G392" s="13">
        <f t="shared" si="13"/>
        <v>159</v>
      </c>
      <c r="L392" s="13"/>
    </row>
    <row r="393" spans="1:12" x14ac:dyDescent="0.3">
      <c r="A393" s="7" t="s">
        <v>445</v>
      </c>
      <c r="B393" s="7" t="s">
        <v>1</v>
      </c>
      <c r="C393" s="7" cm="1">
        <f t="array" ref="C393">_xlfn.IFS(B393="25-50%",45,B393="50-75%",30,B393="last 25%",30,B393="Retire",0,B393="Top 25 %",60,B393="REST",30)</f>
        <v>30</v>
      </c>
      <c r="D393" s="13" cm="1">
        <f t="array" ref="D393">AVERAGE('SKU sales and Inventory'!D394:F394/30)</f>
        <v>2.0333333333333337</v>
      </c>
      <c r="E393" s="13">
        <f t="shared" si="12"/>
        <v>61.000000000000007</v>
      </c>
      <c r="F393" s="7">
        <v>432</v>
      </c>
      <c r="G393" s="13">
        <f t="shared" si="13"/>
        <v>371</v>
      </c>
      <c r="L393" s="13"/>
    </row>
    <row r="394" spans="1:12" x14ac:dyDescent="0.3">
      <c r="A394" s="7" t="s">
        <v>446</v>
      </c>
      <c r="B394" s="7" t="s">
        <v>1</v>
      </c>
      <c r="C394" s="7" cm="1">
        <f t="array" ref="C394">_xlfn.IFS(B394="25-50%",45,B394="50-75%",30,B394="last 25%",30,B394="Retire",0,B394="Top 25 %",60,B394="REST",30)</f>
        <v>30</v>
      </c>
      <c r="D394" s="13" cm="1">
        <f t="array" ref="D394">AVERAGE('SKU sales and Inventory'!D395:F395/30)</f>
        <v>0.93333333333333324</v>
      </c>
      <c r="E394" s="13">
        <f t="shared" si="12"/>
        <v>27.999999999999996</v>
      </c>
      <c r="F394" s="7">
        <v>60</v>
      </c>
      <c r="G394" s="13">
        <f t="shared" si="13"/>
        <v>32</v>
      </c>
      <c r="L394" s="13"/>
    </row>
    <row r="395" spans="1:12" x14ac:dyDescent="0.3">
      <c r="A395" s="7" t="s">
        <v>447</v>
      </c>
      <c r="B395" s="7" t="s">
        <v>1</v>
      </c>
      <c r="C395" s="7" cm="1">
        <f t="array" ref="C395">_xlfn.IFS(B395="25-50%",45,B395="50-75%",30,B395="last 25%",30,B395="Retire",0,B395="Top 25 %",60,B395="REST",30)</f>
        <v>30</v>
      </c>
      <c r="D395" s="13" cm="1">
        <f t="array" ref="D395">AVERAGE('SKU sales and Inventory'!D396:F396/30)</f>
        <v>1.1333333333333333</v>
      </c>
      <c r="E395" s="13">
        <f t="shared" si="12"/>
        <v>34</v>
      </c>
      <c r="F395" s="7">
        <v>225</v>
      </c>
      <c r="G395" s="13">
        <f t="shared" si="13"/>
        <v>191</v>
      </c>
      <c r="L395" s="13"/>
    </row>
    <row r="396" spans="1:12" x14ac:dyDescent="0.3">
      <c r="A396" s="7" t="s">
        <v>448</v>
      </c>
      <c r="B396" s="7" t="s">
        <v>0</v>
      </c>
      <c r="C396" s="7" cm="1">
        <f t="array" ref="C396">_xlfn.IFS(B396="25-50%",45,B396="50-75%",30,B396="last 25%",30,B396="Retire",0,B396="Top 25 %",60,B396="REST",30)</f>
        <v>30</v>
      </c>
      <c r="D396" s="13" cm="1">
        <f t="array" ref="D396">AVERAGE('SKU sales and Inventory'!D397:F397/30)</f>
        <v>2</v>
      </c>
      <c r="E396" s="13">
        <f t="shared" si="12"/>
        <v>60</v>
      </c>
      <c r="F396" s="7">
        <v>699</v>
      </c>
      <c r="G396" s="13">
        <f t="shared" si="13"/>
        <v>639</v>
      </c>
      <c r="L396" s="13"/>
    </row>
    <row r="397" spans="1:12" x14ac:dyDescent="0.3">
      <c r="A397" s="7" t="s">
        <v>449</v>
      </c>
      <c r="B397" s="7" t="s">
        <v>0</v>
      </c>
      <c r="C397" s="7" cm="1">
        <f t="array" ref="C397">_xlfn.IFS(B397="25-50%",45,B397="50-75%",30,B397="last 25%",30,B397="Retire",0,B397="Top 25 %",60,B397="REST",30)</f>
        <v>30</v>
      </c>
      <c r="D397" s="13" cm="1">
        <f t="array" ref="D397">AVERAGE('SKU sales and Inventory'!D398:F398/30)</f>
        <v>2.3333333333333335</v>
      </c>
      <c r="E397" s="13">
        <f t="shared" si="12"/>
        <v>70</v>
      </c>
      <c r="F397" s="7">
        <v>159</v>
      </c>
      <c r="G397" s="13">
        <f t="shared" si="13"/>
        <v>89</v>
      </c>
      <c r="L397" s="13"/>
    </row>
    <row r="398" spans="1:12" x14ac:dyDescent="0.3">
      <c r="A398" s="7" t="s">
        <v>450</v>
      </c>
      <c r="B398" s="7" t="s">
        <v>0</v>
      </c>
      <c r="C398" s="7" cm="1">
        <f t="array" ref="C398">_xlfn.IFS(B398="25-50%",45,B398="50-75%",30,B398="last 25%",30,B398="Retire",0,B398="Top 25 %",60,B398="REST",30)</f>
        <v>30</v>
      </c>
      <c r="D398" s="13" cm="1">
        <f t="array" ref="D398">AVERAGE('SKU sales and Inventory'!D399:F399/30)</f>
        <v>0.56666666666666665</v>
      </c>
      <c r="E398" s="13">
        <f t="shared" si="12"/>
        <v>17</v>
      </c>
      <c r="F398" s="7">
        <v>87</v>
      </c>
      <c r="G398" s="13">
        <f t="shared" si="13"/>
        <v>70</v>
      </c>
      <c r="L398" s="13"/>
    </row>
    <row r="399" spans="1:12" x14ac:dyDescent="0.3">
      <c r="A399" s="7" t="s">
        <v>451</v>
      </c>
      <c r="B399" s="7" t="s">
        <v>0</v>
      </c>
      <c r="C399" s="7" cm="1">
        <f t="array" ref="C399">_xlfn.IFS(B399="25-50%",45,B399="50-75%",30,B399="last 25%",30,B399="Retire",0,B399="Top 25 %",60,B399="REST",30)</f>
        <v>30</v>
      </c>
      <c r="D399" s="13" cm="1">
        <f t="array" ref="D399">AVERAGE('SKU sales and Inventory'!D400:F400/30)</f>
        <v>0.53333333333333333</v>
      </c>
      <c r="E399" s="13">
        <f t="shared" si="12"/>
        <v>16</v>
      </c>
      <c r="F399" s="7">
        <v>96</v>
      </c>
      <c r="G399" s="13">
        <f t="shared" si="13"/>
        <v>80</v>
      </c>
      <c r="L399" s="13"/>
    </row>
    <row r="400" spans="1:12" x14ac:dyDescent="0.3">
      <c r="A400" s="7" t="s">
        <v>452</v>
      </c>
      <c r="B400" s="7" t="s">
        <v>0</v>
      </c>
      <c r="C400" s="7" cm="1">
        <f t="array" ref="C400">_xlfn.IFS(B400="25-50%",45,B400="50-75%",30,B400="last 25%",30,B400="Retire",0,B400="Top 25 %",60,B400="REST",30)</f>
        <v>30</v>
      </c>
      <c r="D400" s="13" cm="1">
        <f t="array" ref="D400">AVERAGE('SKU sales and Inventory'!D401:F401/30)</f>
        <v>3.2666666666666671</v>
      </c>
      <c r="E400" s="13">
        <f t="shared" si="12"/>
        <v>98.000000000000014</v>
      </c>
      <c r="F400" s="7">
        <v>75</v>
      </c>
      <c r="G400" s="13">
        <f t="shared" si="13"/>
        <v>-23.000000000000014</v>
      </c>
      <c r="L400" s="13"/>
    </row>
    <row r="401" spans="1:12" x14ac:dyDescent="0.3">
      <c r="A401" s="7" t="s">
        <v>453</v>
      </c>
      <c r="B401" s="7" t="s">
        <v>0</v>
      </c>
      <c r="C401" s="7" cm="1">
        <f t="array" ref="C401">_xlfn.IFS(B401="25-50%",45,B401="50-75%",30,B401="last 25%",30,B401="Retire",0,B401="Top 25 %",60,B401="REST",30)</f>
        <v>30</v>
      </c>
      <c r="D401" s="13" cm="1">
        <f t="array" ref="D401">AVERAGE('SKU sales and Inventory'!D402:F402/30)</f>
        <v>1.1666666666666667</v>
      </c>
      <c r="E401" s="13">
        <f t="shared" si="12"/>
        <v>35</v>
      </c>
      <c r="F401" s="7">
        <v>183</v>
      </c>
      <c r="G401" s="13">
        <f t="shared" si="13"/>
        <v>148</v>
      </c>
      <c r="L401" s="13"/>
    </row>
    <row r="402" spans="1:12" x14ac:dyDescent="0.3">
      <c r="A402" s="7" t="s">
        <v>454</v>
      </c>
      <c r="B402" s="7" t="s">
        <v>0</v>
      </c>
      <c r="C402" s="7" cm="1">
        <f t="array" ref="C402">_xlfn.IFS(B402="25-50%",45,B402="50-75%",30,B402="last 25%",30,B402="Retire",0,B402="Top 25 %",60,B402="REST",30)</f>
        <v>30</v>
      </c>
      <c r="D402" s="13" cm="1">
        <f t="array" ref="D402">AVERAGE('SKU sales and Inventory'!D403:F403/30)</f>
        <v>0.96666666666666679</v>
      </c>
      <c r="E402" s="13">
        <f t="shared" si="12"/>
        <v>29.000000000000004</v>
      </c>
      <c r="F402" s="7">
        <v>156</v>
      </c>
      <c r="G402" s="13">
        <f t="shared" si="13"/>
        <v>127</v>
      </c>
      <c r="L402" s="13"/>
    </row>
    <row r="403" spans="1:12" x14ac:dyDescent="0.3">
      <c r="A403" s="7" t="s">
        <v>455</v>
      </c>
      <c r="B403" s="7" t="s">
        <v>0</v>
      </c>
      <c r="C403" s="7" cm="1">
        <f t="array" ref="C403">_xlfn.IFS(B403="25-50%",45,B403="50-75%",30,B403="last 25%",30,B403="Retire",0,B403="Top 25 %",60,B403="REST",30)</f>
        <v>30</v>
      </c>
      <c r="D403" s="13" cm="1">
        <f t="array" ref="D403">AVERAGE('SKU sales and Inventory'!D404:F404/30)</f>
        <v>1.7333333333333334</v>
      </c>
      <c r="E403" s="13">
        <f t="shared" si="12"/>
        <v>52</v>
      </c>
      <c r="F403" s="7">
        <v>246</v>
      </c>
      <c r="G403" s="13">
        <f t="shared" si="13"/>
        <v>194</v>
      </c>
      <c r="L403" s="13"/>
    </row>
    <row r="404" spans="1:12" x14ac:dyDescent="0.3">
      <c r="A404" s="7" t="s">
        <v>456</v>
      </c>
      <c r="B404" s="7" t="s">
        <v>0</v>
      </c>
      <c r="C404" s="7" cm="1">
        <f t="array" ref="C404">_xlfn.IFS(B404="25-50%",45,B404="50-75%",30,B404="last 25%",30,B404="Retire",0,B404="Top 25 %",60,B404="REST",30)</f>
        <v>30</v>
      </c>
      <c r="D404" s="13" cm="1">
        <f t="array" ref="D404">AVERAGE('SKU sales and Inventory'!D405:F405/30)</f>
        <v>0.70000000000000007</v>
      </c>
      <c r="E404" s="13">
        <f t="shared" si="12"/>
        <v>21.000000000000004</v>
      </c>
      <c r="F404" s="7">
        <v>138</v>
      </c>
      <c r="G404" s="13">
        <f t="shared" si="13"/>
        <v>117</v>
      </c>
      <c r="L404" s="13"/>
    </row>
    <row r="405" spans="1:12" x14ac:dyDescent="0.3">
      <c r="A405" s="7" t="s">
        <v>457</v>
      </c>
      <c r="B405" s="7" t="s">
        <v>0</v>
      </c>
      <c r="C405" s="7" cm="1">
        <f t="array" ref="C405">_xlfn.IFS(B405="25-50%",45,B405="50-75%",30,B405="last 25%",30,B405="Retire",0,B405="Top 25 %",60,B405="REST",30)</f>
        <v>30</v>
      </c>
      <c r="D405" s="13" cm="1">
        <f t="array" ref="D405">AVERAGE('SKU sales and Inventory'!D406:F406/30)</f>
        <v>0.63333333333333341</v>
      </c>
      <c r="E405" s="13">
        <f t="shared" si="12"/>
        <v>19.000000000000004</v>
      </c>
      <c r="F405" s="7">
        <v>81</v>
      </c>
      <c r="G405" s="13">
        <f t="shared" si="13"/>
        <v>62</v>
      </c>
      <c r="L405" s="13"/>
    </row>
    <row r="406" spans="1:12" x14ac:dyDescent="0.3">
      <c r="A406" s="7" t="s">
        <v>458</v>
      </c>
      <c r="B406" s="7" t="s">
        <v>0</v>
      </c>
      <c r="C406" s="7" cm="1">
        <f t="array" ref="C406">_xlfn.IFS(B406="25-50%",45,B406="50-75%",30,B406="last 25%",30,B406="Retire",0,B406="Top 25 %",60,B406="REST",30)</f>
        <v>30</v>
      </c>
      <c r="D406" s="13" cm="1">
        <f t="array" ref="D406">AVERAGE('SKU sales and Inventory'!D407:F407/30)</f>
        <v>0.8666666666666667</v>
      </c>
      <c r="E406" s="13">
        <f t="shared" si="12"/>
        <v>26</v>
      </c>
      <c r="F406" s="7">
        <v>45</v>
      </c>
      <c r="G406" s="13">
        <f t="shared" si="13"/>
        <v>19</v>
      </c>
      <c r="L406" s="13"/>
    </row>
    <row r="407" spans="1:12" x14ac:dyDescent="0.3">
      <c r="A407" s="7" t="s">
        <v>459</v>
      </c>
      <c r="B407" s="7" t="s">
        <v>0</v>
      </c>
      <c r="C407" s="7" cm="1">
        <f t="array" ref="C407">_xlfn.IFS(B407="25-50%",45,B407="50-75%",30,B407="last 25%",30,B407="Retire",0,B407="Top 25 %",60,B407="REST",30)</f>
        <v>30</v>
      </c>
      <c r="D407" s="13" cm="1">
        <f t="array" ref="D407">AVERAGE('SKU sales and Inventory'!D408:F408/30)</f>
        <v>0.56666666666666676</v>
      </c>
      <c r="E407" s="13">
        <f t="shared" si="12"/>
        <v>17.000000000000004</v>
      </c>
      <c r="F407" s="7">
        <v>81</v>
      </c>
      <c r="G407" s="13">
        <f t="shared" si="13"/>
        <v>64</v>
      </c>
      <c r="L407" s="13"/>
    </row>
    <row r="408" spans="1:12" x14ac:dyDescent="0.3">
      <c r="A408" s="7" t="s">
        <v>460</v>
      </c>
      <c r="B408" s="7" t="s">
        <v>0</v>
      </c>
      <c r="C408" s="7" cm="1">
        <f t="array" ref="C408">_xlfn.IFS(B408="25-50%",45,B408="50-75%",30,B408="last 25%",30,B408="Retire",0,B408="Top 25 %",60,B408="REST",30)</f>
        <v>30</v>
      </c>
      <c r="D408" s="13" cm="1">
        <f t="array" ref="D408">AVERAGE('SKU sales and Inventory'!D409:F409/30)</f>
        <v>0.6</v>
      </c>
      <c r="E408" s="13">
        <f t="shared" si="12"/>
        <v>18</v>
      </c>
      <c r="F408" s="7">
        <v>135</v>
      </c>
      <c r="G408" s="13">
        <f t="shared" si="13"/>
        <v>117</v>
      </c>
      <c r="L408" s="13"/>
    </row>
    <row r="409" spans="1:12" x14ac:dyDescent="0.3">
      <c r="A409" s="7" t="s">
        <v>461</v>
      </c>
      <c r="B409" s="7" t="s">
        <v>0</v>
      </c>
      <c r="C409" s="7" cm="1">
        <f t="array" ref="C409">_xlfn.IFS(B409="25-50%",45,B409="50-75%",30,B409="last 25%",30,B409="Retire",0,B409="Top 25 %",60,B409="REST",30)</f>
        <v>30</v>
      </c>
      <c r="D409" s="13" cm="1">
        <f t="array" ref="D409">AVERAGE('SKU sales and Inventory'!D410:F410/30)</f>
        <v>0.93333333333333324</v>
      </c>
      <c r="E409" s="13">
        <f t="shared" si="12"/>
        <v>27.999999999999996</v>
      </c>
      <c r="F409" s="7">
        <v>195</v>
      </c>
      <c r="G409" s="13">
        <f t="shared" si="13"/>
        <v>167</v>
      </c>
      <c r="L409" s="13"/>
    </row>
    <row r="410" spans="1:12" x14ac:dyDescent="0.3">
      <c r="A410" s="7" t="s">
        <v>462</v>
      </c>
      <c r="B410" s="7" t="s">
        <v>1</v>
      </c>
      <c r="C410" s="7" cm="1">
        <f t="array" ref="C410">_xlfn.IFS(B410="25-50%",45,B410="50-75%",30,B410="last 25%",30,B410="Retire",0,B410="Top 25 %",60,B410="REST",30)</f>
        <v>30</v>
      </c>
      <c r="D410" s="13" cm="1">
        <f t="array" ref="D410">AVERAGE('SKU sales and Inventory'!D411:F411/30)</f>
        <v>2.3333333333333335</v>
      </c>
      <c r="E410" s="13">
        <f t="shared" si="12"/>
        <v>70</v>
      </c>
      <c r="F410" s="7">
        <v>144</v>
      </c>
      <c r="G410" s="13">
        <f t="shared" si="13"/>
        <v>74</v>
      </c>
      <c r="L410" s="13"/>
    </row>
    <row r="411" spans="1:12" x14ac:dyDescent="0.3">
      <c r="A411" s="7" t="s">
        <v>463</v>
      </c>
      <c r="B411" s="7" t="s">
        <v>1</v>
      </c>
      <c r="C411" s="7" cm="1">
        <f t="array" ref="C411">_xlfn.IFS(B411="25-50%",45,B411="50-75%",30,B411="last 25%",30,B411="Retire",0,B411="Top 25 %",60,B411="REST",30)</f>
        <v>30</v>
      </c>
      <c r="D411" s="13" cm="1">
        <f t="array" ref="D411">AVERAGE('SKU sales and Inventory'!D412:F412/30)</f>
        <v>1.3666666666666665</v>
      </c>
      <c r="E411" s="13">
        <f t="shared" si="12"/>
        <v>40.999999999999993</v>
      </c>
      <c r="F411" s="7">
        <v>93</v>
      </c>
      <c r="G411" s="13">
        <f t="shared" si="13"/>
        <v>52.000000000000007</v>
      </c>
      <c r="L411" s="13"/>
    </row>
    <row r="412" spans="1:12" x14ac:dyDescent="0.3">
      <c r="A412" s="7" t="s">
        <v>464</v>
      </c>
      <c r="B412" s="7" t="s">
        <v>0</v>
      </c>
      <c r="C412" s="7" cm="1">
        <f t="array" ref="C412">_xlfn.IFS(B412="25-50%",45,B412="50-75%",30,B412="last 25%",30,B412="Retire",0,B412="Top 25 %",60,B412="REST",30)</f>
        <v>30</v>
      </c>
      <c r="D412" s="13" cm="1">
        <f t="array" ref="D412">AVERAGE('SKU sales and Inventory'!D413:F413/30)</f>
        <v>3.4666666666666668</v>
      </c>
      <c r="E412" s="13">
        <f t="shared" si="12"/>
        <v>104</v>
      </c>
      <c r="F412" s="7">
        <v>54</v>
      </c>
      <c r="G412" s="13">
        <f t="shared" si="13"/>
        <v>-50</v>
      </c>
      <c r="L412" s="13"/>
    </row>
    <row r="413" spans="1:12" x14ac:dyDescent="0.3">
      <c r="A413" s="7" t="s">
        <v>465</v>
      </c>
      <c r="B413" s="7" t="s">
        <v>0</v>
      </c>
      <c r="C413" s="7" cm="1">
        <f t="array" ref="C413">_xlfn.IFS(B413="25-50%",45,B413="50-75%",30,B413="last 25%",30,B413="Retire",0,B413="Top 25 %",60,B413="REST",30)</f>
        <v>30</v>
      </c>
      <c r="D413" s="13" cm="1">
        <f t="array" ref="D413">AVERAGE('SKU sales and Inventory'!D414:F414/30)</f>
        <v>1.9333333333333333</v>
      </c>
      <c r="E413" s="13">
        <f t="shared" si="12"/>
        <v>58</v>
      </c>
      <c r="F413" s="7">
        <v>450</v>
      </c>
      <c r="G413" s="13">
        <f t="shared" si="13"/>
        <v>392</v>
      </c>
      <c r="L413" s="13"/>
    </row>
    <row r="414" spans="1:12" x14ac:dyDescent="0.3">
      <c r="A414" s="7" t="s">
        <v>466</v>
      </c>
      <c r="B414" s="7" t="s">
        <v>0</v>
      </c>
      <c r="C414" s="7" cm="1">
        <f t="array" ref="C414">_xlfn.IFS(B414="25-50%",45,B414="50-75%",30,B414="last 25%",30,B414="Retire",0,B414="Top 25 %",60,B414="REST",30)</f>
        <v>30</v>
      </c>
      <c r="D414" s="13" cm="1">
        <f t="array" ref="D414">AVERAGE('SKU sales and Inventory'!D415:F415/30)</f>
        <v>1.6333333333333335</v>
      </c>
      <c r="E414" s="13">
        <f t="shared" si="12"/>
        <v>49.000000000000007</v>
      </c>
      <c r="F414" s="7">
        <v>132</v>
      </c>
      <c r="G414" s="13">
        <f t="shared" si="13"/>
        <v>83</v>
      </c>
      <c r="L414" s="13"/>
    </row>
    <row r="415" spans="1:12" x14ac:dyDescent="0.3">
      <c r="A415" s="7" t="s">
        <v>467</v>
      </c>
      <c r="B415" s="7" t="s">
        <v>0</v>
      </c>
      <c r="C415" s="7" cm="1">
        <f t="array" ref="C415">_xlfn.IFS(B415="25-50%",45,B415="50-75%",30,B415="last 25%",30,B415="Retire",0,B415="Top 25 %",60,B415="REST",30)</f>
        <v>30</v>
      </c>
      <c r="D415" s="13" cm="1">
        <f t="array" ref="D415">AVERAGE('SKU sales and Inventory'!D416:F416/30)</f>
        <v>1.7333333333333332</v>
      </c>
      <c r="E415" s="13">
        <f t="shared" si="12"/>
        <v>51.999999999999993</v>
      </c>
      <c r="F415" s="7">
        <v>207</v>
      </c>
      <c r="G415" s="13">
        <f t="shared" si="13"/>
        <v>155</v>
      </c>
      <c r="L415" s="13"/>
    </row>
    <row r="416" spans="1:12" x14ac:dyDescent="0.3">
      <c r="A416" s="7" t="s">
        <v>468</v>
      </c>
      <c r="B416" s="7" t="s">
        <v>0</v>
      </c>
      <c r="C416" s="7" cm="1">
        <f t="array" ref="C416">_xlfn.IFS(B416="25-50%",45,B416="50-75%",30,B416="last 25%",30,B416="Retire",0,B416="Top 25 %",60,B416="REST",30)</f>
        <v>30</v>
      </c>
      <c r="D416" s="13" cm="1">
        <f t="array" ref="D416">AVERAGE('SKU sales and Inventory'!D417:F417/30)</f>
        <v>1.4333333333333333</v>
      </c>
      <c r="E416" s="13">
        <f t="shared" si="12"/>
        <v>43</v>
      </c>
      <c r="F416" s="7">
        <v>162</v>
      </c>
      <c r="G416" s="13">
        <f t="shared" si="13"/>
        <v>119</v>
      </c>
      <c r="L416" s="13"/>
    </row>
    <row r="417" spans="1:12" x14ac:dyDescent="0.3">
      <c r="A417" s="7" t="s">
        <v>469</v>
      </c>
      <c r="B417" s="7" t="s">
        <v>0</v>
      </c>
      <c r="C417" s="7" cm="1">
        <f t="array" ref="C417">_xlfn.IFS(B417="25-50%",45,B417="50-75%",30,B417="last 25%",30,B417="Retire",0,B417="Top 25 %",60,B417="REST",30)</f>
        <v>30</v>
      </c>
      <c r="D417" s="13" cm="1">
        <f t="array" ref="D417">AVERAGE('SKU sales and Inventory'!D418:F418/30)</f>
        <v>1.2</v>
      </c>
      <c r="E417" s="13">
        <f t="shared" si="12"/>
        <v>36</v>
      </c>
      <c r="F417" s="7">
        <v>189</v>
      </c>
      <c r="G417" s="13">
        <f t="shared" si="13"/>
        <v>153</v>
      </c>
      <c r="L417" s="13"/>
    </row>
    <row r="418" spans="1:12" x14ac:dyDescent="0.3">
      <c r="A418" s="7" t="s">
        <v>470</v>
      </c>
      <c r="B418" s="7" t="s">
        <v>0</v>
      </c>
      <c r="C418" s="7" cm="1">
        <f t="array" ref="C418">_xlfn.IFS(B418="25-50%",45,B418="50-75%",30,B418="last 25%",30,B418="Retire",0,B418="Top 25 %",60,B418="REST",30)</f>
        <v>30</v>
      </c>
      <c r="D418" s="13" cm="1">
        <f t="array" ref="D418">AVERAGE('SKU sales and Inventory'!D419:F419/30)</f>
        <v>1.0666666666666667</v>
      </c>
      <c r="E418" s="13">
        <f t="shared" si="12"/>
        <v>32</v>
      </c>
      <c r="F418" s="7">
        <v>108</v>
      </c>
      <c r="G418" s="13">
        <f t="shared" si="13"/>
        <v>76</v>
      </c>
      <c r="L418" s="13"/>
    </row>
    <row r="419" spans="1:12" x14ac:dyDescent="0.3">
      <c r="A419" s="7" t="s">
        <v>471</v>
      </c>
      <c r="B419" s="7" t="s">
        <v>0</v>
      </c>
      <c r="C419" s="7" cm="1">
        <f t="array" ref="C419">_xlfn.IFS(B419="25-50%",45,B419="50-75%",30,B419="last 25%",30,B419="Retire",0,B419="Top 25 %",60,B419="REST",30)</f>
        <v>30</v>
      </c>
      <c r="D419" s="13" cm="1">
        <f t="array" ref="D419">AVERAGE('SKU sales and Inventory'!D420:F420/30)</f>
        <v>1.1666666666666667</v>
      </c>
      <c r="E419" s="13">
        <f t="shared" si="12"/>
        <v>35</v>
      </c>
      <c r="F419" s="7">
        <v>36</v>
      </c>
      <c r="G419" s="13">
        <f t="shared" si="13"/>
        <v>1</v>
      </c>
      <c r="L419" s="13"/>
    </row>
    <row r="420" spans="1:12" x14ac:dyDescent="0.3">
      <c r="A420" s="7" t="s">
        <v>472</v>
      </c>
      <c r="B420" s="7" t="s">
        <v>0</v>
      </c>
      <c r="C420" s="7" cm="1">
        <f t="array" ref="C420">_xlfn.IFS(B420="25-50%",45,B420="50-75%",30,B420="last 25%",30,B420="Retire",0,B420="Top 25 %",60,B420="REST",30)</f>
        <v>30</v>
      </c>
      <c r="D420" s="13" cm="1">
        <f t="array" ref="D420">AVERAGE('SKU sales and Inventory'!D421:F421/30)</f>
        <v>0.83333333333333337</v>
      </c>
      <c r="E420" s="13">
        <f t="shared" si="12"/>
        <v>25</v>
      </c>
      <c r="F420" s="7">
        <v>381</v>
      </c>
      <c r="G420" s="13">
        <f t="shared" si="13"/>
        <v>356</v>
      </c>
      <c r="L420" s="13"/>
    </row>
    <row r="421" spans="1:12" x14ac:dyDescent="0.3">
      <c r="A421" s="7" t="s">
        <v>473</v>
      </c>
      <c r="B421" s="7" t="s">
        <v>0</v>
      </c>
      <c r="C421" s="7" cm="1">
        <f t="array" ref="C421">_xlfn.IFS(B421="25-50%",45,B421="50-75%",30,B421="last 25%",30,B421="Retire",0,B421="Top 25 %",60,B421="REST",30)</f>
        <v>30</v>
      </c>
      <c r="D421" s="13" cm="1">
        <f t="array" ref="D421">AVERAGE('SKU sales and Inventory'!D422:F422/30)</f>
        <v>0.9</v>
      </c>
      <c r="E421" s="13">
        <f t="shared" si="12"/>
        <v>27</v>
      </c>
      <c r="F421" s="7">
        <v>57</v>
      </c>
      <c r="G421" s="13">
        <f t="shared" si="13"/>
        <v>30</v>
      </c>
      <c r="L421" s="13"/>
    </row>
    <row r="422" spans="1:12" x14ac:dyDescent="0.3">
      <c r="A422" s="7" t="s">
        <v>474</v>
      </c>
      <c r="B422" s="7" t="s">
        <v>0</v>
      </c>
      <c r="C422" s="7" cm="1">
        <f t="array" ref="C422">_xlfn.IFS(B422="25-50%",45,B422="50-75%",30,B422="last 25%",30,B422="Retire",0,B422="Top 25 %",60,B422="REST",30)</f>
        <v>30</v>
      </c>
      <c r="D422" s="13" cm="1">
        <f t="array" ref="D422">AVERAGE('SKU sales and Inventory'!D423:F423/30)</f>
        <v>0.9</v>
      </c>
      <c r="E422" s="13">
        <f t="shared" si="12"/>
        <v>27</v>
      </c>
      <c r="F422" s="7">
        <v>75</v>
      </c>
      <c r="G422" s="13">
        <f t="shared" si="13"/>
        <v>48</v>
      </c>
      <c r="L422" s="13"/>
    </row>
    <row r="423" spans="1:12" x14ac:dyDescent="0.3">
      <c r="A423" s="7" t="s">
        <v>475</v>
      </c>
      <c r="B423" s="7" t="s">
        <v>0</v>
      </c>
      <c r="C423" s="7" cm="1">
        <f t="array" ref="C423">_xlfn.IFS(B423="25-50%",45,B423="50-75%",30,B423="last 25%",30,B423="Retire",0,B423="Top 25 %",60,B423="REST",30)</f>
        <v>30</v>
      </c>
      <c r="D423" s="13" cm="1">
        <f t="array" ref="D423">AVERAGE('SKU sales and Inventory'!D424:F424/30)</f>
        <v>0.66666666666666663</v>
      </c>
      <c r="E423" s="13">
        <f t="shared" si="12"/>
        <v>20</v>
      </c>
      <c r="F423" s="7">
        <v>156</v>
      </c>
      <c r="G423" s="13">
        <f t="shared" si="13"/>
        <v>136</v>
      </c>
      <c r="L423" s="13"/>
    </row>
    <row r="424" spans="1:12" x14ac:dyDescent="0.3">
      <c r="A424" s="7" t="s">
        <v>476</v>
      </c>
      <c r="B424" s="7" t="s">
        <v>0</v>
      </c>
      <c r="C424" s="7" cm="1">
        <f t="array" ref="C424">_xlfn.IFS(B424="25-50%",45,B424="50-75%",30,B424="last 25%",30,B424="Retire",0,B424="Top 25 %",60,B424="REST",30)</f>
        <v>30</v>
      </c>
      <c r="D424" s="13" cm="1">
        <f t="array" ref="D424">AVERAGE('SKU sales and Inventory'!D425:F425/30)</f>
        <v>0.73333333333333339</v>
      </c>
      <c r="E424" s="13">
        <f t="shared" si="12"/>
        <v>22</v>
      </c>
      <c r="F424" s="7">
        <v>66</v>
      </c>
      <c r="G424" s="13">
        <f t="shared" si="13"/>
        <v>44</v>
      </c>
      <c r="L424" s="13"/>
    </row>
    <row r="425" spans="1:12" x14ac:dyDescent="0.3">
      <c r="A425" s="7" t="s">
        <v>477</v>
      </c>
      <c r="B425" s="7" t="s">
        <v>0</v>
      </c>
      <c r="C425" s="7" cm="1">
        <f t="array" ref="C425">_xlfn.IFS(B425="25-50%",45,B425="50-75%",30,B425="last 25%",30,B425="Retire",0,B425="Top 25 %",60,B425="REST",30)</f>
        <v>30</v>
      </c>
      <c r="D425" s="13" cm="1">
        <f t="array" ref="D425">AVERAGE('SKU sales and Inventory'!D426:F426/30)</f>
        <v>0.39999999999999997</v>
      </c>
      <c r="E425" s="13">
        <f t="shared" si="12"/>
        <v>11.999999999999998</v>
      </c>
      <c r="F425" s="7">
        <v>96</v>
      </c>
      <c r="G425" s="13">
        <f t="shared" si="13"/>
        <v>84</v>
      </c>
      <c r="L425" s="13"/>
    </row>
    <row r="426" spans="1:12" x14ac:dyDescent="0.3">
      <c r="A426" s="7" t="s">
        <v>478</v>
      </c>
      <c r="B426" s="7" t="s">
        <v>3</v>
      </c>
      <c r="C426" s="7" cm="1">
        <f t="array" ref="C426">_xlfn.IFS(B426="25-50%",45,B426="50-75%",30,B426="last 25%",30,B426="Retire",0,B426="Top 25 %",60,B426="REST",30)</f>
        <v>0</v>
      </c>
      <c r="D426" s="13" cm="1">
        <f t="array" ref="D426">AVERAGE('SKU sales and Inventory'!D427:F427/30)</f>
        <v>0.73333333333333339</v>
      </c>
      <c r="E426" s="13">
        <f t="shared" si="12"/>
        <v>0</v>
      </c>
      <c r="F426" s="7">
        <v>84</v>
      </c>
      <c r="G426" s="13">
        <f t="shared" si="13"/>
        <v>84</v>
      </c>
      <c r="L426" s="13"/>
    </row>
    <row r="427" spans="1:12" x14ac:dyDescent="0.3">
      <c r="A427" s="7" t="s">
        <v>479</v>
      </c>
      <c r="B427" s="7" t="s">
        <v>0</v>
      </c>
      <c r="C427" s="7" cm="1">
        <f t="array" ref="C427">_xlfn.IFS(B427="25-50%",45,B427="50-75%",30,B427="last 25%",30,B427="Retire",0,B427="Top 25 %",60,B427="REST",30)</f>
        <v>30</v>
      </c>
      <c r="D427" s="13" cm="1">
        <f t="array" ref="D427">AVERAGE('SKU sales and Inventory'!D428:F428/30)</f>
        <v>1.5666666666666667</v>
      </c>
      <c r="E427" s="13">
        <f t="shared" si="12"/>
        <v>47</v>
      </c>
      <c r="F427" s="7">
        <v>45</v>
      </c>
      <c r="G427" s="13">
        <f t="shared" si="13"/>
        <v>-2</v>
      </c>
      <c r="L427" s="13"/>
    </row>
    <row r="428" spans="1:12" x14ac:dyDescent="0.3">
      <c r="A428" s="7" t="s">
        <v>480</v>
      </c>
      <c r="B428" s="7" t="s">
        <v>0</v>
      </c>
      <c r="C428" s="7" cm="1">
        <f t="array" ref="C428">_xlfn.IFS(B428="25-50%",45,B428="50-75%",30,B428="last 25%",30,B428="Retire",0,B428="Top 25 %",60,B428="REST",30)</f>
        <v>30</v>
      </c>
      <c r="D428" s="13" cm="1">
        <f t="array" ref="D428">AVERAGE('SKU sales and Inventory'!D429:F429/30)</f>
        <v>1.3666666666666665</v>
      </c>
      <c r="E428" s="13">
        <f t="shared" si="12"/>
        <v>40.999999999999993</v>
      </c>
      <c r="F428" s="7">
        <v>54</v>
      </c>
      <c r="G428" s="13">
        <f t="shared" si="13"/>
        <v>13.000000000000007</v>
      </c>
      <c r="L428" s="13"/>
    </row>
    <row r="429" spans="1:12" x14ac:dyDescent="0.3">
      <c r="A429" s="7" t="s">
        <v>481</v>
      </c>
      <c r="B429" s="7" t="s">
        <v>0</v>
      </c>
      <c r="C429" s="7" cm="1">
        <f t="array" ref="C429">_xlfn.IFS(B429="25-50%",45,B429="50-75%",30,B429="last 25%",30,B429="Retire",0,B429="Top 25 %",60,B429="REST",30)</f>
        <v>30</v>
      </c>
      <c r="D429" s="13" cm="1">
        <f t="array" ref="D429">AVERAGE('SKU sales and Inventory'!D430:F430/30)</f>
        <v>1.3333333333333333</v>
      </c>
      <c r="E429" s="13">
        <f t="shared" si="12"/>
        <v>40</v>
      </c>
      <c r="F429" s="7">
        <v>570</v>
      </c>
      <c r="G429" s="13">
        <f t="shared" si="13"/>
        <v>530</v>
      </c>
      <c r="L429" s="13"/>
    </row>
    <row r="430" spans="1:12" x14ac:dyDescent="0.3">
      <c r="A430" s="7" t="s">
        <v>482</v>
      </c>
      <c r="B430" s="7" t="s">
        <v>0</v>
      </c>
      <c r="C430" s="7" cm="1">
        <f t="array" ref="C430">_xlfn.IFS(B430="25-50%",45,B430="50-75%",30,B430="last 25%",30,B430="Retire",0,B430="Top 25 %",60,B430="REST",30)</f>
        <v>30</v>
      </c>
      <c r="D430" s="13" cm="1">
        <f t="array" ref="D430">AVERAGE('SKU sales and Inventory'!D431:F431/30)</f>
        <v>1.5333333333333332</v>
      </c>
      <c r="E430" s="13">
        <f t="shared" si="12"/>
        <v>46</v>
      </c>
      <c r="F430" s="7">
        <v>111</v>
      </c>
      <c r="G430" s="13">
        <f t="shared" si="13"/>
        <v>65</v>
      </c>
      <c r="L430" s="13"/>
    </row>
    <row r="431" spans="1:12" x14ac:dyDescent="0.3">
      <c r="A431" s="7" t="s">
        <v>483</v>
      </c>
      <c r="B431" s="7" t="s">
        <v>0</v>
      </c>
      <c r="C431" s="7" cm="1">
        <f t="array" ref="C431">_xlfn.IFS(B431="25-50%",45,B431="50-75%",30,B431="last 25%",30,B431="Retire",0,B431="Top 25 %",60,B431="REST",30)</f>
        <v>30</v>
      </c>
      <c r="D431" s="13" cm="1">
        <f t="array" ref="D431">AVERAGE('SKU sales and Inventory'!D432:F432/30)</f>
        <v>0.93333333333333324</v>
      </c>
      <c r="E431" s="13">
        <f t="shared" si="12"/>
        <v>27.999999999999996</v>
      </c>
      <c r="F431" s="7">
        <v>87</v>
      </c>
      <c r="G431" s="13">
        <f t="shared" si="13"/>
        <v>59</v>
      </c>
      <c r="L431" s="13"/>
    </row>
    <row r="432" spans="1:12" x14ac:dyDescent="0.3">
      <c r="A432" s="7" t="s">
        <v>484</v>
      </c>
      <c r="B432" s="7" t="s">
        <v>0</v>
      </c>
      <c r="C432" s="7" cm="1">
        <f t="array" ref="C432">_xlfn.IFS(B432="25-50%",45,B432="50-75%",30,B432="last 25%",30,B432="Retire",0,B432="Top 25 %",60,B432="REST",30)</f>
        <v>30</v>
      </c>
      <c r="D432" s="13" cm="1">
        <f t="array" ref="D432">AVERAGE('SKU sales and Inventory'!D433:F433/30)</f>
        <v>0.6</v>
      </c>
      <c r="E432" s="13">
        <f t="shared" si="12"/>
        <v>18</v>
      </c>
      <c r="F432" s="7">
        <v>57</v>
      </c>
      <c r="G432" s="13">
        <f t="shared" si="13"/>
        <v>39</v>
      </c>
      <c r="L432" s="13"/>
    </row>
    <row r="433" spans="1:12" x14ac:dyDescent="0.3">
      <c r="A433" s="7" t="s">
        <v>485</v>
      </c>
      <c r="B433" s="7" t="s">
        <v>0</v>
      </c>
      <c r="C433" s="7" cm="1">
        <f t="array" ref="C433">_xlfn.IFS(B433="25-50%",45,B433="50-75%",30,B433="last 25%",30,B433="Retire",0,B433="Top 25 %",60,B433="REST",30)</f>
        <v>30</v>
      </c>
      <c r="D433" s="13" cm="1">
        <f t="array" ref="D433">AVERAGE('SKU sales and Inventory'!D434:F434/30)</f>
        <v>0.83333333333333337</v>
      </c>
      <c r="E433" s="13">
        <f t="shared" si="12"/>
        <v>25</v>
      </c>
      <c r="F433" s="7">
        <v>171</v>
      </c>
      <c r="G433" s="13">
        <f t="shared" si="13"/>
        <v>146</v>
      </c>
      <c r="L433" s="13"/>
    </row>
    <row r="434" spans="1:12" x14ac:dyDescent="0.3">
      <c r="A434" s="7" t="s">
        <v>486</v>
      </c>
      <c r="B434" s="7" t="s">
        <v>0</v>
      </c>
      <c r="C434" s="7" cm="1">
        <f t="array" ref="C434">_xlfn.IFS(B434="25-50%",45,B434="50-75%",30,B434="last 25%",30,B434="Retire",0,B434="Top 25 %",60,B434="REST",30)</f>
        <v>30</v>
      </c>
      <c r="D434" s="13" cm="1">
        <f t="array" ref="D434">AVERAGE('SKU sales and Inventory'!D435:F435/30)</f>
        <v>1.1666666666666667</v>
      </c>
      <c r="E434" s="13">
        <f t="shared" si="12"/>
        <v>35</v>
      </c>
      <c r="F434" s="7">
        <v>132</v>
      </c>
      <c r="G434" s="13">
        <f t="shared" si="13"/>
        <v>97</v>
      </c>
      <c r="L434" s="13"/>
    </row>
    <row r="435" spans="1:12" x14ac:dyDescent="0.3">
      <c r="A435" s="7" t="s">
        <v>487</v>
      </c>
      <c r="B435" s="7" t="s">
        <v>0</v>
      </c>
      <c r="C435" s="7" cm="1">
        <f t="array" ref="C435">_xlfn.IFS(B435="25-50%",45,B435="50-75%",30,B435="last 25%",30,B435="Retire",0,B435="Top 25 %",60,B435="REST",30)</f>
        <v>30</v>
      </c>
      <c r="D435" s="13" cm="1">
        <f t="array" ref="D435">AVERAGE('SKU sales and Inventory'!D436:F436/30)</f>
        <v>0.3</v>
      </c>
      <c r="E435" s="13">
        <f t="shared" si="12"/>
        <v>9</v>
      </c>
      <c r="F435" s="7">
        <v>1050</v>
      </c>
      <c r="G435" s="13">
        <f t="shared" si="13"/>
        <v>1041</v>
      </c>
      <c r="L435" s="13"/>
    </row>
    <row r="436" spans="1:12" x14ac:dyDescent="0.3">
      <c r="A436" s="7" t="s">
        <v>488</v>
      </c>
      <c r="B436" s="7" t="s">
        <v>1</v>
      </c>
      <c r="C436" s="7" cm="1">
        <f t="array" ref="C436">_xlfn.IFS(B436="25-50%",45,B436="50-75%",30,B436="last 25%",30,B436="Retire",0,B436="Top 25 %",60,B436="REST",30)</f>
        <v>30</v>
      </c>
      <c r="D436" s="13" cm="1">
        <f t="array" ref="D436">AVERAGE('SKU sales and Inventory'!D437:F437/30)</f>
        <v>1.1666666666666667</v>
      </c>
      <c r="E436" s="13">
        <f t="shared" si="12"/>
        <v>35</v>
      </c>
      <c r="F436" s="7">
        <v>213</v>
      </c>
      <c r="G436" s="13">
        <f t="shared" si="13"/>
        <v>178</v>
      </c>
      <c r="L436" s="13"/>
    </row>
    <row r="437" spans="1:12" x14ac:dyDescent="0.3">
      <c r="A437" s="7" t="s">
        <v>489</v>
      </c>
      <c r="B437" s="7" t="s">
        <v>0</v>
      </c>
      <c r="C437" s="7" cm="1">
        <f t="array" ref="C437">_xlfn.IFS(B437="25-50%",45,B437="50-75%",30,B437="last 25%",30,B437="Retire",0,B437="Top 25 %",60,B437="REST",30)</f>
        <v>30</v>
      </c>
      <c r="D437" s="13" cm="1">
        <f t="array" ref="D437">AVERAGE('SKU sales and Inventory'!D438:F438/30)</f>
        <v>1.7666666666666668</v>
      </c>
      <c r="E437" s="13">
        <f t="shared" si="12"/>
        <v>53.000000000000007</v>
      </c>
      <c r="F437" s="7">
        <v>285</v>
      </c>
      <c r="G437" s="13">
        <f t="shared" si="13"/>
        <v>232</v>
      </c>
      <c r="L437" s="13"/>
    </row>
    <row r="438" spans="1:12" x14ac:dyDescent="0.3">
      <c r="A438" s="7" t="s">
        <v>490</v>
      </c>
      <c r="B438" s="7" t="s">
        <v>0</v>
      </c>
      <c r="C438" s="7" cm="1">
        <f t="array" ref="C438">_xlfn.IFS(B438="25-50%",45,B438="50-75%",30,B438="last 25%",30,B438="Retire",0,B438="Top 25 %",60,B438="REST",30)</f>
        <v>30</v>
      </c>
      <c r="D438" s="13" cm="1">
        <f t="array" ref="D438">AVERAGE('SKU sales and Inventory'!D439:F439/30)</f>
        <v>2.9</v>
      </c>
      <c r="E438" s="13">
        <f t="shared" si="12"/>
        <v>87</v>
      </c>
      <c r="F438" s="7">
        <v>75</v>
      </c>
      <c r="G438" s="13">
        <f t="shared" si="13"/>
        <v>-12</v>
      </c>
      <c r="L438" s="13"/>
    </row>
    <row r="439" spans="1:12" x14ac:dyDescent="0.3">
      <c r="A439" s="7" t="s">
        <v>491</v>
      </c>
      <c r="B439" s="7" t="s">
        <v>0</v>
      </c>
      <c r="C439" s="7" cm="1">
        <f t="array" ref="C439">_xlfn.IFS(B439="25-50%",45,B439="50-75%",30,B439="last 25%",30,B439="Retire",0,B439="Top 25 %",60,B439="REST",30)</f>
        <v>30</v>
      </c>
      <c r="D439" s="13" cm="1">
        <f t="array" ref="D439">AVERAGE('SKU sales and Inventory'!D440:F440/30)</f>
        <v>2.1999999999999997</v>
      </c>
      <c r="E439" s="13">
        <f t="shared" si="12"/>
        <v>65.999999999999986</v>
      </c>
      <c r="F439" s="7">
        <v>69</v>
      </c>
      <c r="G439" s="13">
        <f t="shared" si="13"/>
        <v>3.0000000000000142</v>
      </c>
      <c r="L439" s="13"/>
    </row>
    <row r="440" spans="1:12" x14ac:dyDescent="0.3">
      <c r="A440" s="7" t="s">
        <v>492</v>
      </c>
      <c r="B440" s="7" t="s">
        <v>0</v>
      </c>
      <c r="C440" s="7" cm="1">
        <f t="array" ref="C440">_xlfn.IFS(B440="25-50%",45,B440="50-75%",30,B440="last 25%",30,B440="Retire",0,B440="Top 25 %",60,B440="REST",30)</f>
        <v>30</v>
      </c>
      <c r="D440" s="13" cm="1">
        <f t="array" ref="D440">AVERAGE('SKU sales and Inventory'!D441:F441/30)</f>
        <v>1.9666666666666668</v>
      </c>
      <c r="E440" s="13">
        <f t="shared" si="12"/>
        <v>59</v>
      </c>
      <c r="F440" s="7">
        <v>39</v>
      </c>
      <c r="G440" s="13">
        <f t="shared" si="13"/>
        <v>-20</v>
      </c>
      <c r="L440" s="13"/>
    </row>
    <row r="441" spans="1:12" x14ac:dyDescent="0.3">
      <c r="A441" s="7" t="s">
        <v>493</v>
      </c>
      <c r="B441" s="7" t="s">
        <v>0</v>
      </c>
      <c r="C441" s="7" cm="1">
        <f t="array" ref="C441">_xlfn.IFS(B441="25-50%",45,B441="50-75%",30,B441="last 25%",30,B441="Retire",0,B441="Top 25 %",60,B441="REST",30)</f>
        <v>30</v>
      </c>
      <c r="D441" s="13" cm="1">
        <f t="array" ref="D441">AVERAGE('SKU sales and Inventory'!D442:F442/30)</f>
        <v>1.4333333333333333</v>
      </c>
      <c r="E441" s="13">
        <f t="shared" si="12"/>
        <v>43</v>
      </c>
      <c r="F441" s="7">
        <v>237</v>
      </c>
      <c r="G441" s="13">
        <f t="shared" si="13"/>
        <v>194</v>
      </c>
      <c r="L441" s="13"/>
    </row>
    <row r="442" spans="1:12" x14ac:dyDescent="0.3">
      <c r="A442" s="7" t="s">
        <v>494</v>
      </c>
      <c r="B442" s="7" t="s">
        <v>0</v>
      </c>
      <c r="C442" s="7" cm="1">
        <f t="array" ref="C442">_xlfn.IFS(B442="25-50%",45,B442="50-75%",30,B442="last 25%",30,B442="Retire",0,B442="Top 25 %",60,B442="REST",30)</f>
        <v>30</v>
      </c>
      <c r="D442" s="13" cm="1">
        <f t="array" ref="D442">AVERAGE('SKU sales and Inventory'!D443:F443/30)</f>
        <v>1.0666666666666667</v>
      </c>
      <c r="E442" s="13">
        <f t="shared" si="12"/>
        <v>32</v>
      </c>
      <c r="F442" s="7">
        <v>246</v>
      </c>
      <c r="G442" s="13">
        <f t="shared" si="13"/>
        <v>214</v>
      </c>
      <c r="L442" s="13"/>
    </row>
    <row r="443" spans="1:12" x14ac:dyDescent="0.3">
      <c r="A443" s="7" t="s">
        <v>495</v>
      </c>
      <c r="B443" s="7" t="s">
        <v>0</v>
      </c>
      <c r="C443" s="7" cm="1">
        <f t="array" ref="C443">_xlfn.IFS(B443="25-50%",45,B443="50-75%",30,B443="last 25%",30,B443="Retire",0,B443="Top 25 %",60,B443="REST",30)</f>
        <v>30</v>
      </c>
      <c r="D443" s="13" cm="1">
        <f t="array" ref="D443">AVERAGE('SKU sales and Inventory'!D444:F444/30)</f>
        <v>1.2</v>
      </c>
      <c r="E443" s="13">
        <f t="shared" si="12"/>
        <v>36</v>
      </c>
      <c r="F443" s="7">
        <v>336</v>
      </c>
      <c r="G443" s="13">
        <f t="shared" si="13"/>
        <v>300</v>
      </c>
      <c r="L443" s="13"/>
    </row>
    <row r="444" spans="1:12" x14ac:dyDescent="0.3">
      <c r="A444" s="7" t="s">
        <v>496</v>
      </c>
      <c r="B444" s="7" t="s">
        <v>0</v>
      </c>
      <c r="C444" s="7" cm="1">
        <f t="array" ref="C444">_xlfn.IFS(B444="25-50%",45,B444="50-75%",30,B444="last 25%",30,B444="Retire",0,B444="Top 25 %",60,B444="REST",30)</f>
        <v>30</v>
      </c>
      <c r="D444" s="13" cm="1">
        <f t="array" ref="D444">AVERAGE('SKU sales and Inventory'!D445:F445/30)</f>
        <v>0.83333333333333337</v>
      </c>
      <c r="E444" s="13">
        <f t="shared" si="12"/>
        <v>25</v>
      </c>
      <c r="F444" s="7">
        <v>102</v>
      </c>
      <c r="G444" s="13">
        <f t="shared" si="13"/>
        <v>77</v>
      </c>
      <c r="L444" s="13"/>
    </row>
    <row r="445" spans="1:12" x14ac:dyDescent="0.3">
      <c r="A445" s="7" t="s">
        <v>497</v>
      </c>
      <c r="B445" s="7" t="s">
        <v>0</v>
      </c>
      <c r="C445" s="7" cm="1">
        <f t="array" ref="C445">_xlfn.IFS(B445="25-50%",45,B445="50-75%",30,B445="last 25%",30,B445="Retire",0,B445="Top 25 %",60,B445="REST",30)</f>
        <v>30</v>
      </c>
      <c r="D445" s="13" cm="1">
        <f t="array" ref="D445">AVERAGE('SKU sales and Inventory'!D446:F446/30)</f>
        <v>1.7</v>
      </c>
      <c r="E445" s="13">
        <f t="shared" si="12"/>
        <v>51</v>
      </c>
      <c r="F445" s="7">
        <v>171</v>
      </c>
      <c r="G445" s="13">
        <f t="shared" si="13"/>
        <v>120</v>
      </c>
      <c r="L445" s="13"/>
    </row>
    <row r="446" spans="1:12" x14ac:dyDescent="0.3">
      <c r="A446" s="7" t="s">
        <v>498</v>
      </c>
      <c r="B446" s="7" t="s">
        <v>0</v>
      </c>
      <c r="C446" s="7" cm="1">
        <f t="array" ref="C446">_xlfn.IFS(B446="25-50%",45,B446="50-75%",30,B446="last 25%",30,B446="Retire",0,B446="Top 25 %",60,B446="REST",30)</f>
        <v>30</v>
      </c>
      <c r="D446" s="13" cm="1">
        <f t="array" ref="D446">AVERAGE('SKU sales and Inventory'!D447:F447/30)</f>
        <v>0.76666666666666672</v>
      </c>
      <c r="E446" s="13">
        <f t="shared" si="12"/>
        <v>23</v>
      </c>
      <c r="F446" s="7">
        <v>63</v>
      </c>
      <c r="G446" s="13">
        <f t="shared" si="13"/>
        <v>40</v>
      </c>
      <c r="L446" s="13"/>
    </row>
    <row r="447" spans="1:12" x14ac:dyDescent="0.3">
      <c r="A447" s="7" t="s">
        <v>499</v>
      </c>
      <c r="B447" s="7" t="s">
        <v>3</v>
      </c>
      <c r="C447" s="7" cm="1">
        <f t="array" ref="C447">_xlfn.IFS(B447="25-50%",45,B447="50-75%",30,B447="last 25%",30,B447="Retire",0,B447="Top 25 %",60,B447="REST",30)</f>
        <v>0</v>
      </c>
      <c r="D447" s="13" cm="1">
        <f t="array" ref="D447">AVERAGE('SKU sales and Inventory'!D448:F448/30)</f>
        <v>2.1666666666666665</v>
      </c>
      <c r="E447" s="13">
        <f t="shared" si="12"/>
        <v>0</v>
      </c>
      <c r="F447" s="7">
        <v>48</v>
      </c>
      <c r="G447" s="13">
        <f t="shared" si="13"/>
        <v>48</v>
      </c>
      <c r="L447" s="13"/>
    </row>
    <row r="448" spans="1:12" x14ac:dyDescent="0.3">
      <c r="A448" s="7" t="s">
        <v>500</v>
      </c>
      <c r="B448" s="7" t="s">
        <v>0</v>
      </c>
      <c r="C448" s="7" cm="1">
        <f t="array" ref="C448">_xlfn.IFS(B448="25-50%",45,B448="50-75%",30,B448="last 25%",30,B448="Retire",0,B448="Top 25 %",60,B448="REST",30)</f>
        <v>30</v>
      </c>
      <c r="D448" s="13" cm="1">
        <f t="array" ref="D448">AVERAGE('SKU sales and Inventory'!D449:F449/30)</f>
        <v>1.0999999999999999</v>
      </c>
      <c r="E448" s="13">
        <f t="shared" si="12"/>
        <v>32.999999999999993</v>
      </c>
      <c r="F448" s="7">
        <v>201</v>
      </c>
      <c r="G448" s="13">
        <f t="shared" si="13"/>
        <v>168</v>
      </c>
      <c r="L448" s="13"/>
    </row>
    <row r="449" spans="1:12" x14ac:dyDescent="0.3">
      <c r="A449" s="7" t="s">
        <v>501</v>
      </c>
      <c r="B449" s="7" t="s">
        <v>0</v>
      </c>
      <c r="C449" s="7" cm="1">
        <f t="array" ref="C449">_xlfn.IFS(B449="25-50%",45,B449="50-75%",30,B449="last 25%",30,B449="Retire",0,B449="Top 25 %",60,B449="REST",30)</f>
        <v>30</v>
      </c>
      <c r="D449" s="13" cm="1">
        <f t="array" ref="D449">AVERAGE('SKU sales and Inventory'!D450:F450/30)</f>
        <v>2.0333333333333332</v>
      </c>
      <c r="E449" s="13">
        <f t="shared" si="12"/>
        <v>61</v>
      </c>
      <c r="F449" s="7">
        <v>192</v>
      </c>
      <c r="G449" s="13">
        <f t="shared" si="13"/>
        <v>131</v>
      </c>
      <c r="L449" s="13"/>
    </row>
    <row r="450" spans="1:12" x14ac:dyDescent="0.3">
      <c r="A450" s="7" t="s">
        <v>502</v>
      </c>
      <c r="B450" s="7" t="s">
        <v>0</v>
      </c>
      <c r="C450" s="7" cm="1">
        <f t="array" ref="C450">_xlfn.IFS(B450="25-50%",45,B450="50-75%",30,B450="last 25%",30,B450="Retire",0,B450="Top 25 %",60,B450="REST",30)</f>
        <v>30</v>
      </c>
      <c r="D450" s="13" cm="1">
        <f t="array" ref="D450">AVERAGE('SKU sales and Inventory'!D451:F451/30)</f>
        <v>0.99999999999999989</v>
      </c>
      <c r="E450" s="13">
        <f t="shared" si="12"/>
        <v>29.999999999999996</v>
      </c>
      <c r="F450" s="7">
        <v>432</v>
      </c>
      <c r="G450" s="13">
        <f t="shared" si="13"/>
        <v>402</v>
      </c>
      <c r="L450" s="13"/>
    </row>
    <row r="451" spans="1:12" x14ac:dyDescent="0.3">
      <c r="A451" s="7" t="s">
        <v>503</v>
      </c>
      <c r="B451" s="7" t="s">
        <v>0</v>
      </c>
      <c r="C451" s="7" cm="1">
        <f t="array" ref="C451">_xlfn.IFS(B451="25-50%",45,B451="50-75%",30,B451="last 25%",30,B451="Retire",0,B451="Top 25 %",60,B451="REST",30)</f>
        <v>30</v>
      </c>
      <c r="D451" s="13" cm="1">
        <f t="array" ref="D451">AVERAGE('SKU sales and Inventory'!D452:F452/30)</f>
        <v>1.4666666666666668</v>
      </c>
      <c r="E451" s="13">
        <f t="shared" ref="E451:E514" si="14">D451*C451</f>
        <v>44</v>
      </c>
      <c r="F451" s="7">
        <v>27</v>
      </c>
      <c r="G451" s="13">
        <f t="shared" ref="G451:G514" si="15">F451-E451</f>
        <v>-17</v>
      </c>
      <c r="L451" s="13"/>
    </row>
    <row r="452" spans="1:12" x14ac:dyDescent="0.3">
      <c r="A452" s="7" t="s">
        <v>504</v>
      </c>
      <c r="B452" s="7" t="s">
        <v>0</v>
      </c>
      <c r="C452" s="7" cm="1">
        <f t="array" ref="C452">_xlfn.IFS(B452="25-50%",45,B452="50-75%",30,B452="last 25%",30,B452="Retire",0,B452="Top 25 %",60,B452="REST",30)</f>
        <v>30</v>
      </c>
      <c r="D452" s="13" cm="1">
        <f t="array" ref="D452">AVERAGE('SKU sales and Inventory'!D453:F453/30)</f>
        <v>1.0999999999999999</v>
      </c>
      <c r="E452" s="13">
        <f t="shared" si="14"/>
        <v>32.999999999999993</v>
      </c>
      <c r="F452" s="7">
        <v>66</v>
      </c>
      <c r="G452" s="13">
        <f t="shared" si="15"/>
        <v>33.000000000000007</v>
      </c>
      <c r="L452" s="13"/>
    </row>
    <row r="453" spans="1:12" x14ac:dyDescent="0.3">
      <c r="A453" s="7" t="s">
        <v>505</v>
      </c>
      <c r="B453" s="7" t="s">
        <v>0</v>
      </c>
      <c r="C453" s="7" cm="1">
        <f t="array" ref="C453">_xlfn.IFS(B453="25-50%",45,B453="50-75%",30,B453="last 25%",30,B453="Retire",0,B453="Top 25 %",60,B453="REST",30)</f>
        <v>30</v>
      </c>
      <c r="D453" s="13" cm="1">
        <f t="array" ref="D453">AVERAGE('SKU sales and Inventory'!D454:F454/30)</f>
        <v>0.76666666666666661</v>
      </c>
      <c r="E453" s="13">
        <f t="shared" si="14"/>
        <v>23</v>
      </c>
      <c r="F453" s="7">
        <v>42</v>
      </c>
      <c r="G453" s="13">
        <f t="shared" si="15"/>
        <v>19</v>
      </c>
      <c r="L453" s="13"/>
    </row>
    <row r="454" spans="1:12" x14ac:dyDescent="0.3">
      <c r="A454" s="7" t="s">
        <v>506</v>
      </c>
      <c r="B454" s="7" t="s">
        <v>0</v>
      </c>
      <c r="C454" s="7" cm="1">
        <f t="array" ref="C454">_xlfn.IFS(B454="25-50%",45,B454="50-75%",30,B454="last 25%",30,B454="Retire",0,B454="Top 25 %",60,B454="REST",30)</f>
        <v>30</v>
      </c>
      <c r="D454" s="13" cm="1">
        <f t="array" ref="D454">AVERAGE('SKU sales and Inventory'!D455:F455/30)</f>
        <v>0.66666666666666663</v>
      </c>
      <c r="E454" s="13">
        <f t="shared" si="14"/>
        <v>20</v>
      </c>
      <c r="F454" s="7">
        <v>156</v>
      </c>
      <c r="G454" s="13">
        <f t="shared" si="15"/>
        <v>136</v>
      </c>
      <c r="L454" s="13"/>
    </row>
    <row r="455" spans="1:12" x14ac:dyDescent="0.3">
      <c r="A455" s="7" t="s">
        <v>507</v>
      </c>
      <c r="B455" s="7" t="s">
        <v>0</v>
      </c>
      <c r="C455" s="7" cm="1">
        <f t="array" ref="C455">_xlfn.IFS(B455="25-50%",45,B455="50-75%",30,B455="last 25%",30,B455="Retire",0,B455="Top 25 %",60,B455="REST",30)</f>
        <v>30</v>
      </c>
      <c r="D455" s="13" cm="1">
        <f t="array" ref="D455">AVERAGE('SKU sales and Inventory'!D456:F456/30)</f>
        <v>0.3</v>
      </c>
      <c r="E455" s="13">
        <f t="shared" si="14"/>
        <v>9</v>
      </c>
      <c r="F455" s="7">
        <v>174</v>
      </c>
      <c r="G455" s="13">
        <f t="shared" si="15"/>
        <v>165</v>
      </c>
      <c r="L455" s="13"/>
    </row>
    <row r="456" spans="1:12" x14ac:dyDescent="0.3">
      <c r="A456" s="7" t="s">
        <v>508</v>
      </c>
      <c r="B456" s="7" t="s">
        <v>3</v>
      </c>
      <c r="C456" s="7" cm="1">
        <f t="array" ref="C456">_xlfn.IFS(B456="25-50%",45,B456="50-75%",30,B456="last 25%",30,B456="Retire",0,B456="Top 25 %",60,B456="REST",30)</f>
        <v>0</v>
      </c>
      <c r="D456" s="13" cm="1">
        <f t="array" ref="D456">AVERAGE('SKU sales and Inventory'!D457:F457/30)</f>
        <v>1.4333333333333333</v>
      </c>
      <c r="E456" s="13">
        <f t="shared" si="14"/>
        <v>0</v>
      </c>
      <c r="F456" s="7">
        <v>90</v>
      </c>
      <c r="G456" s="13">
        <f t="shared" si="15"/>
        <v>90</v>
      </c>
      <c r="L456" s="13"/>
    </row>
    <row r="457" spans="1:12" x14ac:dyDescent="0.3">
      <c r="A457" s="7" t="s">
        <v>509</v>
      </c>
      <c r="B457" s="7" t="s">
        <v>0</v>
      </c>
      <c r="C457" s="7" cm="1">
        <f t="array" ref="C457">_xlfn.IFS(B457="25-50%",45,B457="50-75%",30,B457="last 25%",30,B457="Retire",0,B457="Top 25 %",60,B457="REST",30)</f>
        <v>30</v>
      </c>
      <c r="D457" s="13" cm="1">
        <f t="array" ref="D457">AVERAGE('SKU sales and Inventory'!D458:F458/30)</f>
        <v>2.2666666666666666</v>
      </c>
      <c r="E457" s="13">
        <f t="shared" si="14"/>
        <v>68</v>
      </c>
      <c r="F457" s="7">
        <v>285</v>
      </c>
      <c r="G457" s="13">
        <f t="shared" si="15"/>
        <v>217</v>
      </c>
      <c r="L457" s="13"/>
    </row>
    <row r="458" spans="1:12" x14ac:dyDescent="0.3">
      <c r="A458" s="7" t="s">
        <v>510</v>
      </c>
      <c r="B458" s="7" t="s">
        <v>0</v>
      </c>
      <c r="C458" s="7" cm="1">
        <f t="array" ref="C458">_xlfn.IFS(B458="25-50%",45,B458="50-75%",30,B458="last 25%",30,B458="Retire",0,B458="Top 25 %",60,B458="REST",30)</f>
        <v>30</v>
      </c>
      <c r="D458" s="13" cm="1">
        <f t="array" ref="D458">AVERAGE('SKU sales and Inventory'!D459:F459/30)</f>
        <v>1.8333333333333333</v>
      </c>
      <c r="E458" s="13">
        <f t="shared" si="14"/>
        <v>55</v>
      </c>
      <c r="F458" s="7">
        <v>234</v>
      </c>
      <c r="G458" s="13">
        <f t="shared" si="15"/>
        <v>179</v>
      </c>
      <c r="L458" s="13"/>
    </row>
    <row r="459" spans="1:12" x14ac:dyDescent="0.3">
      <c r="A459" s="7" t="s">
        <v>511</v>
      </c>
      <c r="B459" s="7" t="s">
        <v>0</v>
      </c>
      <c r="C459" s="7" cm="1">
        <f t="array" ref="C459">_xlfn.IFS(B459="25-50%",45,B459="50-75%",30,B459="last 25%",30,B459="Retire",0,B459="Top 25 %",60,B459="REST",30)</f>
        <v>30</v>
      </c>
      <c r="D459" s="13" cm="1">
        <f t="array" ref="D459">AVERAGE('SKU sales and Inventory'!D460:F460/30)</f>
        <v>1.3333333333333333</v>
      </c>
      <c r="E459" s="13">
        <f t="shared" si="14"/>
        <v>40</v>
      </c>
      <c r="F459" s="7">
        <v>45</v>
      </c>
      <c r="G459" s="13">
        <f t="shared" si="15"/>
        <v>5</v>
      </c>
      <c r="L459" s="13"/>
    </row>
    <row r="460" spans="1:12" x14ac:dyDescent="0.3">
      <c r="A460" s="7" t="s">
        <v>512</v>
      </c>
      <c r="B460" s="7" t="s">
        <v>0</v>
      </c>
      <c r="C460" s="7" cm="1">
        <f t="array" ref="C460">_xlfn.IFS(B460="25-50%",45,B460="50-75%",30,B460="last 25%",30,B460="Retire",0,B460="Top 25 %",60,B460="REST",30)</f>
        <v>30</v>
      </c>
      <c r="D460" s="13" cm="1">
        <f t="array" ref="D460">AVERAGE('SKU sales and Inventory'!D461:F461/30)</f>
        <v>0.76666666666666661</v>
      </c>
      <c r="E460" s="13">
        <f t="shared" si="14"/>
        <v>23</v>
      </c>
      <c r="F460" s="7">
        <v>45</v>
      </c>
      <c r="G460" s="13">
        <f t="shared" si="15"/>
        <v>22</v>
      </c>
      <c r="L460" s="13"/>
    </row>
    <row r="461" spans="1:12" x14ac:dyDescent="0.3">
      <c r="A461" s="7" t="s">
        <v>513</v>
      </c>
      <c r="B461" s="7" t="s">
        <v>0</v>
      </c>
      <c r="C461" s="7" cm="1">
        <f t="array" ref="C461">_xlfn.IFS(B461="25-50%",45,B461="50-75%",30,B461="last 25%",30,B461="Retire",0,B461="Top 25 %",60,B461="REST",30)</f>
        <v>30</v>
      </c>
      <c r="D461" s="13" cm="1">
        <f t="array" ref="D461">AVERAGE('SKU sales and Inventory'!D462:F462/30)</f>
        <v>1.3333333333333333</v>
      </c>
      <c r="E461" s="13">
        <f t="shared" si="14"/>
        <v>40</v>
      </c>
      <c r="F461" s="7">
        <v>153</v>
      </c>
      <c r="G461" s="13">
        <f t="shared" si="15"/>
        <v>113</v>
      </c>
      <c r="L461" s="13"/>
    </row>
    <row r="462" spans="1:12" x14ac:dyDescent="0.3">
      <c r="A462" s="7" t="s">
        <v>514</v>
      </c>
      <c r="B462" s="7" t="s">
        <v>0</v>
      </c>
      <c r="C462" s="7" cm="1">
        <f t="array" ref="C462">_xlfn.IFS(B462="25-50%",45,B462="50-75%",30,B462="last 25%",30,B462="Retire",0,B462="Top 25 %",60,B462="REST",30)</f>
        <v>30</v>
      </c>
      <c r="D462" s="13" cm="1">
        <f t="array" ref="D462">AVERAGE('SKU sales and Inventory'!D463:F463/30)</f>
        <v>0.86666666666666659</v>
      </c>
      <c r="E462" s="13">
        <f t="shared" si="14"/>
        <v>25.999999999999996</v>
      </c>
      <c r="F462" s="7">
        <v>54</v>
      </c>
      <c r="G462" s="13">
        <f t="shared" si="15"/>
        <v>28.000000000000004</v>
      </c>
      <c r="L462" s="13"/>
    </row>
    <row r="463" spans="1:12" x14ac:dyDescent="0.3">
      <c r="A463" s="7" t="s">
        <v>515</v>
      </c>
      <c r="B463" s="7" t="s">
        <v>0</v>
      </c>
      <c r="C463" s="7" cm="1">
        <f t="array" ref="C463">_xlfn.IFS(B463="25-50%",45,B463="50-75%",30,B463="last 25%",30,B463="Retire",0,B463="Top 25 %",60,B463="REST",30)</f>
        <v>30</v>
      </c>
      <c r="D463" s="13" cm="1">
        <f t="array" ref="D463">AVERAGE('SKU sales and Inventory'!D464:F464/30)</f>
        <v>1.3999999999999997</v>
      </c>
      <c r="E463" s="13">
        <f t="shared" si="14"/>
        <v>41.999999999999993</v>
      </c>
      <c r="F463" s="7">
        <v>192</v>
      </c>
      <c r="G463" s="13">
        <f t="shared" si="15"/>
        <v>150</v>
      </c>
      <c r="L463" s="13"/>
    </row>
    <row r="464" spans="1:12" x14ac:dyDescent="0.3">
      <c r="A464" s="7" t="s">
        <v>516</v>
      </c>
      <c r="B464" s="7" t="s">
        <v>0</v>
      </c>
      <c r="C464" s="7" cm="1">
        <f t="array" ref="C464">_xlfn.IFS(B464="25-50%",45,B464="50-75%",30,B464="last 25%",30,B464="Retire",0,B464="Top 25 %",60,B464="REST",30)</f>
        <v>30</v>
      </c>
      <c r="D464" s="13" cm="1">
        <f t="array" ref="D464">AVERAGE('SKU sales and Inventory'!D465:F465/30)</f>
        <v>1.4000000000000001</v>
      </c>
      <c r="E464" s="13">
        <f t="shared" si="14"/>
        <v>42.000000000000007</v>
      </c>
      <c r="F464" s="7">
        <v>171</v>
      </c>
      <c r="G464" s="13">
        <f t="shared" si="15"/>
        <v>129</v>
      </c>
      <c r="L464" s="13"/>
    </row>
    <row r="465" spans="1:12" x14ac:dyDescent="0.3">
      <c r="A465" s="7" t="s">
        <v>517</v>
      </c>
      <c r="B465" s="7" t="s">
        <v>0</v>
      </c>
      <c r="C465" s="7" cm="1">
        <f t="array" ref="C465">_xlfn.IFS(B465="25-50%",45,B465="50-75%",30,B465="last 25%",30,B465="Retire",0,B465="Top 25 %",60,B465="REST",30)</f>
        <v>30</v>
      </c>
      <c r="D465" s="13" cm="1">
        <f t="array" ref="D465">AVERAGE('SKU sales and Inventory'!D466:F466/30)</f>
        <v>0.96666666666666667</v>
      </c>
      <c r="E465" s="13">
        <f t="shared" si="14"/>
        <v>29</v>
      </c>
      <c r="F465" s="7">
        <v>36</v>
      </c>
      <c r="G465" s="13">
        <f t="shared" si="15"/>
        <v>7</v>
      </c>
      <c r="L465" s="13"/>
    </row>
    <row r="466" spans="1:12" x14ac:dyDescent="0.3">
      <c r="A466" s="7" t="s">
        <v>518</v>
      </c>
      <c r="B466" s="7" t="s">
        <v>0</v>
      </c>
      <c r="C466" s="7" cm="1">
        <f t="array" ref="C466">_xlfn.IFS(B466="25-50%",45,B466="50-75%",30,B466="last 25%",30,B466="Retire",0,B466="Top 25 %",60,B466="REST",30)</f>
        <v>30</v>
      </c>
      <c r="D466" s="13" cm="1">
        <f t="array" ref="D466">AVERAGE('SKU sales and Inventory'!D467:F467/30)</f>
        <v>0.6333333333333333</v>
      </c>
      <c r="E466" s="13">
        <f t="shared" si="14"/>
        <v>19</v>
      </c>
      <c r="F466" s="7">
        <v>123</v>
      </c>
      <c r="G466" s="13">
        <f t="shared" si="15"/>
        <v>104</v>
      </c>
      <c r="L466" s="13"/>
    </row>
    <row r="467" spans="1:12" x14ac:dyDescent="0.3">
      <c r="A467" s="7" t="s">
        <v>519</v>
      </c>
      <c r="B467" s="7" t="s">
        <v>0</v>
      </c>
      <c r="C467" s="7" cm="1">
        <f t="array" ref="C467">_xlfn.IFS(B467="25-50%",45,B467="50-75%",30,B467="last 25%",30,B467="Retire",0,B467="Top 25 %",60,B467="REST",30)</f>
        <v>30</v>
      </c>
      <c r="D467" s="13" cm="1">
        <f t="array" ref="D467">AVERAGE('SKU sales and Inventory'!D468:F468/30)</f>
        <v>0.6333333333333333</v>
      </c>
      <c r="E467" s="13">
        <f t="shared" si="14"/>
        <v>19</v>
      </c>
      <c r="F467" s="7">
        <v>207</v>
      </c>
      <c r="G467" s="13">
        <f t="shared" si="15"/>
        <v>188</v>
      </c>
      <c r="L467" s="13"/>
    </row>
    <row r="468" spans="1:12" x14ac:dyDescent="0.3">
      <c r="A468" s="7" t="s">
        <v>520</v>
      </c>
      <c r="B468" s="7" t="s">
        <v>0</v>
      </c>
      <c r="C468" s="7" cm="1">
        <f t="array" ref="C468">_xlfn.IFS(B468="25-50%",45,B468="50-75%",30,B468="last 25%",30,B468="Retire",0,B468="Top 25 %",60,B468="REST",30)</f>
        <v>30</v>
      </c>
      <c r="D468" s="13" cm="1">
        <f t="array" ref="D468">AVERAGE('SKU sales and Inventory'!D469:F469/30)</f>
        <v>0.6333333333333333</v>
      </c>
      <c r="E468" s="13">
        <f t="shared" si="14"/>
        <v>19</v>
      </c>
      <c r="F468" s="7">
        <v>327</v>
      </c>
      <c r="G468" s="13">
        <f t="shared" si="15"/>
        <v>308</v>
      </c>
      <c r="L468" s="13"/>
    </row>
    <row r="469" spans="1:12" x14ac:dyDescent="0.3">
      <c r="A469" s="7" t="s">
        <v>521</v>
      </c>
      <c r="B469" s="7" t="s">
        <v>0</v>
      </c>
      <c r="C469" s="7" cm="1">
        <f t="array" ref="C469">_xlfn.IFS(B469="25-50%",45,B469="50-75%",30,B469="last 25%",30,B469="Retire",0,B469="Top 25 %",60,B469="REST",30)</f>
        <v>30</v>
      </c>
      <c r="D469" s="13" cm="1">
        <f t="array" ref="D469">AVERAGE('SKU sales and Inventory'!D470:F470/30)</f>
        <v>0.26666666666666666</v>
      </c>
      <c r="E469" s="13">
        <f t="shared" si="14"/>
        <v>8</v>
      </c>
      <c r="F469" s="7">
        <v>177</v>
      </c>
      <c r="G469" s="13">
        <f t="shared" si="15"/>
        <v>169</v>
      </c>
      <c r="L469" s="13"/>
    </row>
    <row r="470" spans="1:12" x14ac:dyDescent="0.3">
      <c r="A470" s="7" t="s">
        <v>522</v>
      </c>
      <c r="B470" s="7" t="s">
        <v>0</v>
      </c>
      <c r="C470" s="7" cm="1">
        <f t="array" ref="C470">_xlfn.IFS(B470="25-50%",45,B470="50-75%",30,B470="last 25%",30,B470="Retire",0,B470="Top 25 %",60,B470="REST",30)</f>
        <v>30</v>
      </c>
      <c r="D470" s="13" cm="1">
        <f t="array" ref="D470">AVERAGE('SKU sales and Inventory'!D471:F471/30)</f>
        <v>0.19999999999999998</v>
      </c>
      <c r="E470" s="13">
        <f t="shared" si="14"/>
        <v>5.9999999999999991</v>
      </c>
      <c r="F470" s="7">
        <v>84</v>
      </c>
      <c r="G470" s="13">
        <f t="shared" si="15"/>
        <v>78</v>
      </c>
      <c r="L470" s="13"/>
    </row>
    <row r="471" spans="1:12" x14ac:dyDescent="0.3">
      <c r="A471" s="7" t="s">
        <v>523</v>
      </c>
      <c r="B471" s="7" t="s">
        <v>1</v>
      </c>
      <c r="C471" s="7" cm="1">
        <f t="array" ref="C471">_xlfn.IFS(B471="25-50%",45,B471="50-75%",30,B471="last 25%",30,B471="Retire",0,B471="Top 25 %",60,B471="REST",30)</f>
        <v>30</v>
      </c>
      <c r="D471" s="13" cm="1">
        <f t="array" ref="D471">AVERAGE('SKU sales and Inventory'!D472:F472/30)</f>
        <v>1.5666666666666667</v>
      </c>
      <c r="E471" s="13">
        <f t="shared" si="14"/>
        <v>47</v>
      </c>
      <c r="F471" s="7">
        <v>54</v>
      </c>
      <c r="G471" s="13">
        <f t="shared" si="15"/>
        <v>7</v>
      </c>
      <c r="L471" s="13"/>
    </row>
    <row r="472" spans="1:12" x14ac:dyDescent="0.3">
      <c r="A472" s="7" t="s">
        <v>524</v>
      </c>
      <c r="B472" s="7" t="s">
        <v>0</v>
      </c>
      <c r="C472" s="7" cm="1">
        <f t="array" ref="C472">_xlfn.IFS(B472="25-50%",45,B472="50-75%",30,B472="last 25%",30,B472="Retire",0,B472="Top 25 %",60,B472="REST",30)</f>
        <v>30</v>
      </c>
      <c r="D472" s="13" cm="1">
        <f t="array" ref="D472">AVERAGE('SKU sales and Inventory'!D473:F473/30)</f>
        <v>1.2333333333333334</v>
      </c>
      <c r="E472" s="13">
        <f t="shared" si="14"/>
        <v>37</v>
      </c>
      <c r="F472" s="7">
        <v>84</v>
      </c>
      <c r="G472" s="13">
        <f t="shared" si="15"/>
        <v>47</v>
      </c>
      <c r="L472" s="13"/>
    </row>
    <row r="473" spans="1:12" x14ac:dyDescent="0.3">
      <c r="A473" s="7" t="s">
        <v>525</v>
      </c>
      <c r="B473" s="7" t="s">
        <v>0</v>
      </c>
      <c r="C473" s="7" cm="1">
        <f t="array" ref="C473">_xlfn.IFS(B473="25-50%",45,B473="50-75%",30,B473="last 25%",30,B473="Retire",0,B473="Top 25 %",60,B473="REST",30)</f>
        <v>30</v>
      </c>
      <c r="D473" s="13" cm="1">
        <f t="array" ref="D473">AVERAGE('SKU sales and Inventory'!D474:F474/30)</f>
        <v>0.93333333333333324</v>
      </c>
      <c r="E473" s="13">
        <f t="shared" si="14"/>
        <v>27.999999999999996</v>
      </c>
      <c r="F473" s="7">
        <v>210</v>
      </c>
      <c r="G473" s="13">
        <f t="shared" si="15"/>
        <v>182</v>
      </c>
      <c r="L473" s="13"/>
    </row>
    <row r="474" spans="1:12" x14ac:dyDescent="0.3">
      <c r="A474" s="7" t="s">
        <v>526</v>
      </c>
      <c r="B474" s="7" t="s">
        <v>0</v>
      </c>
      <c r="C474" s="7" cm="1">
        <f t="array" ref="C474">_xlfn.IFS(B474="25-50%",45,B474="50-75%",30,B474="last 25%",30,B474="Retire",0,B474="Top 25 %",60,B474="REST",30)</f>
        <v>30</v>
      </c>
      <c r="D474" s="13" cm="1">
        <f t="array" ref="D474">AVERAGE('SKU sales and Inventory'!D475:F475/30)</f>
        <v>1.8666666666666665</v>
      </c>
      <c r="E474" s="13">
        <f t="shared" si="14"/>
        <v>55.999999999999993</v>
      </c>
      <c r="F474" s="7">
        <v>33</v>
      </c>
      <c r="G474" s="13">
        <f t="shared" si="15"/>
        <v>-22.999999999999993</v>
      </c>
      <c r="L474" s="13"/>
    </row>
    <row r="475" spans="1:12" x14ac:dyDescent="0.3">
      <c r="A475" s="7" t="s">
        <v>527</v>
      </c>
      <c r="B475" s="7" t="s">
        <v>0</v>
      </c>
      <c r="C475" s="7" cm="1">
        <f t="array" ref="C475">_xlfn.IFS(B475="25-50%",45,B475="50-75%",30,B475="last 25%",30,B475="Retire",0,B475="Top 25 %",60,B475="REST",30)</f>
        <v>30</v>
      </c>
      <c r="D475" s="13" cm="1">
        <f t="array" ref="D475">AVERAGE('SKU sales and Inventory'!D476:F476/30)</f>
        <v>0.76666666666666661</v>
      </c>
      <c r="E475" s="13">
        <f t="shared" si="14"/>
        <v>23</v>
      </c>
      <c r="F475" s="7">
        <v>177</v>
      </c>
      <c r="G475" s="13">
        <f t="shared" si="15"/>
        <v>154</v>
      </c>
      <c r="L475" s="13"/>
    </row>
    <row r="476" spans="1:12" x14ac:dyDescent="0.3">
      <c r="A476" s="7" t="s">
        <v>528</v>
      </c>
      <c r="B476" s="7" t="s">
        <v>0</v>
      </c>
      <c r="C476" s="7" cm="1">
        <f t="array" ref="C476">_xlfn.IFS(B476="25-50%",45,B476="50-75%",30,B476="last 25%",30,B476="Retire",0,B476="Top 25 %",60,B476="REST",30)</f>
        <v>30</v>
      </c>
      <c r="D476" s="13" cm="1">
        <f t="array" ref="D476">AVERAGE('SKU sales and Inventory'!D477:F477/30)</f>
        <v>0.69999999999999984</v>
      </c>
      <c r="E476" s="13">
        <f t="shared" si="14"/>
        <v>20.999999999999996</v>
      </c>
      <c r="F476" s="7">
        <v>555</v>
      </c>
      <c r="G476" s="13">
        <f t="shared" si="15"/>
        <v>534</v>
      </c>
      <c r="L476" s="13"/>
    </row>
    <row r="477" spans="1:12" x14ac:dyDescent="0.3">
      <c r="A477" s="7" t="s">
        <v>529</v>
      </c>
      <c r="B477" s="7" t="s">
        <v>0</v>
      </c>
      <c r="C477" s="7" cm="1">
        <f t="array" ref="C477">_xlfn.IFS(B477="25-50%",45,B477="50-75%",30,B477="last 25%",30,B477="Retire",0,B477="Top 25 %",60,B477="REST",30)</f>
        <v>30</v>
      </c>
      <c r="D477" s="13" cm="1">
        <f t="array" ref="D477">AVERAGE('SKU sales and Inventory'!D478:F478/30)</f>
        <v>0.56666666666666676</v>
      </c>
      <c r="E477" s="13">
        <f t="shared" si="14"/>
        <v>17.000000000000004</v>
      </c>
      <c r="F477" s="7">
        <v>192</v>
      </c>
      <c r="G477" s="13">
        <f t="shared" si="15"/>
        <v>175</v>
      </c>
      <c r="L477" s="13"/>
    </row>
    <row r="478" spans="1:12" x14ac:dyDescent="0.3">
      <c r="A478" s="7" t="s">
        <v>530</v>
      </c>
      <c r="B478" s="7" t="s">
        <v>0</v>
      </c>
      <c r="C478" s="7" cm="1">
        <f t="array" ref="C478">_xlfn.IFS(B478="25-50%",45,B478="50-75%",30,B478="last 25%",30,B478="Retire",0,B478="Top 25 %",60,B478="REST",30)</f>
        <v>30</v>
      </c>
      <c r="D478" s="13" cm="1">
        <f t="array" ref="D478">AVERAGE('SKU sales and Inventory'!D479:F479/30)</f>
        <v>0.39999999999999997</v>
      </c>
      <c r="E478" s="13">
        <f t="shared" si="14"/>
        <v>11.999999999999998</v>
      </c>
      <c r="F478" s="7">
        <v>57</v>
      </c>
      <c r="G478" s="13">
        <f t="shared" si="15"/>
        <v>45</v>
      </c>
      <c r="L478" s="13"/>
    </row>
    <row r="479" spans="1:12" x14ac:dyDescent="0.3">
      <c r="A479" s="7" t="s">
        <v>531</v>
      </c>
      <c r="B479" s="7" t="s">
        <v>0</v>
      </c>
      <c r="C479" s="7" cm="1">
        <f t="array" ref="C479">_xlfn.IFS(B479="25-50%",45,B479="50-75%",30,B479="last 25%",30,B479="Retire",0,B479="Top 25 %",60,B479="REST",30)</f>
        <v>30</v>
      </c>
      <c r="D479" s="13" cm="1">
        <f t="array" ref="D479">AVERAGE('SKU sales and Inventory'!D480:F480/30)</f>
        <v>0.9</v>
      </c>
      <c r="E479" s="13">
        <f t="shared" si="14"/>
        <v>27</v>
      </c>
      <c r="F479" s="7">
        <v>57</v>
      </c>
      <c r="G479" s="13">
        <f t="shared" si="15"/>
        <v>30</v>
      </c>
      <c r="L479" s="13"/>
    </row>
    <row r="480" spans="1:12" x14ac:dyDescent="0.3">
      <c r="A480" s="7" t="s">
        <v>532</v>
      </c>
      <c r="B480" s="7" t="s">
        <v>0</v>
      </c>
      <c r="C480" s="7" cm="1">
        <f t="array" ref="C480">_xlfn.IFS(B480="25-50%",45,B480="50-75%",30,B480="last 25%",30,B480="Retire",0,B480="Top 25 %",60,B480="REST",30)</f>
        <v>30</v>
      </c>
      <c r="D480" s="13" cm="1">
        <f t="array" ref="D480">AVERAGE('SKU sales and Inventory'!D481:F481/30)</f>
        <v>0.93333333333333324</v>
      </c>
      <c r="E480" s="13">
        <f t="shared" si="14"/>
        <v>27.999999999999996</v>
      </c>
      <c r="F480" s="7">
        <v>42</v>
      </c>
      <c r="G480" s="13">
        <f t="shared" si="15"/>
        <v>14.000000000000004</v>
      </c>
      <c r="L480" s="13"/>
    </row>
    <row r="481" spans="1:12" x14ac:dyDescent="0.3">
      <c r="A481" s="7" t="s">
        <v>533</v>
      </c>
      <c r="B481" s="7" t="s">
        <v>0</v>
      </c>
      <c r="C481" s="7" cm="1">
        <f t="array" ref="C481">_xlfn.IFS(B481="25-50%",45,B481="50-75%",30,B481="last 25%",30,B481="Retire",0,B481="Top 25 %",60,B481="REST",30)</f>
        <v>30</v>
      </c>
      <c r="D481" s="13" cm="1">
        <f t="array" ref="D481">AVERAGE('SKU sales and Inventory'!D482:F482/30)</f>
        <v>0.5</v>
      </c>
      <c r="E481" s="13">
        <f t="shared" si="14"/>
        <v>15</v>
      </c>
      <c r="F481" s="7">
        <v>648</v>
      </c>
      <c r="G481" s="13">
        <f t="shared" si="15"/>
        <v>633</v>
      </c>
      <c r="L481" s="13"/>
    </row>
    <row r="482" spans="1:12" x14ac:dyDescent="0.3">
      <c r="A482" s="7" t="s">
        <v>534</v>
      </c>
      <c r="B482" s="7" t="s">
        <v>0</v>
      </c>
      <c r="C482" s="7" cm="1">
        <f t="array" ref="C482">_xlfn.IFS(B482="25-50%",45,B482="50-75%",30,B482="last 25%",30,B482="Retire",0,B482="Top 25 %",60,B482="REST",30)</f>
        <v>30</v>
      </c>
      <c r="D482" s="13" cm="1">
        <f t="array" ref="D482">AVERAGE('SKU sales and Inventory'!D483:F483/30)</f>
        <v>0.3666666666666667</v>
      </c>
      <c r="E482" s="13">
        <f t="shared" si="14"/>
        <v>11</v>
      </c>
      <c r="F482" s="7">
        <v>42</v>
      </c>
      <c r="G482" s="13">
        <f t="shared" si="15"/>
        <v>31</v>
      </c>
      <c r="L482" s="13"/>
    </row>
    <row r="483" spans="1:12" x14ac:dyDescent="0.3">
      <c r="A483" s="7" t="s">
        <v>535</v>
      </c>
      <c r="B483" s="7" t="s">
        <v>0</v>
      </c>
      <c r="C483" s="7" cm="1">
        <f t="array" ref="C483">_xlfn.IFS(B483="25-50%",45,B483="50-75%",30,B483="last 25%",30,B483="Retire",0,B483="Top 25 %",60,B483="REST",30)</f>
        <v>30</v>
      </c>
      <c r="D483" s="13" cm="1">
        <f t="array" ref="D483">AVERAGE('SKU sales and Inventory'!D484:F484/30)</f>
        <v>1</v>
      </c>
      <c r="E483" s="13">
        <f t="shared" si="14"/>
        <v>30</v>
      </c>
      <c r="F483" s="7">
        <v>96</v>
      </c>
      <c r="G483" s="13">
        <f t="shared" si="15"/>
        <v>66</v>
      </c>
      <c r="L483" s="13"/>
    </row>
    <row r="484" spans="1:12" x14ac:dyDescent="0.3">
      <c r="A484" s="7" t="s">
        <v>536</v>
      </c>
      <c r="B484" s="7" t="s">
        <v>0</v>
      </c>
      <c r="C484" s="7" cm="1">
        <f t="array" ref="C484">_xlfn.IFS(B484="25-50%",45,B484="50-75%",30,B484="last 25%",30,B484="Retire",0,B484="Top 25 %",60,B484="REST",30)</f>
        <v>30</v>
      </c>
      <c r="D484" s="13" cm="1">
        <f t="array" ref="D484">AVERAGE('SKU sales and Inventory'!D485:F485/30)</f>
        <v>0.33333333333333331</v>
      </c>
      <c r="E484" s="13">
        <f t="shared" si="14"/>
        <v>10</v>
      </c>
      <c r="F484" s="7">
        <v>36</v>
      </c>
      <c r="G484" s="13">
        <f t="shared" si="15"/>
        <v>26</v>
      </c>
      <c r="L484" s="13"/>
    </row>
    <row r="485" spans="1:12" x14ac:dyDescent="0.3">
      <c r="A485" s="7" t="s">
        <v>537</v>
      </c>
      <c r="B485" s="7" t="s">
        <v>0</v>
      </c>
      <c r="C485" s="7" cm="1">
        <f t="array" ref="C485">_xlfn.IFS(B485="25-50%",45,B485="50-75%",30,B485="last 25%",30,B485="Retire",0,B485="Top 25 %",60,B485="REST",30)</f>
        <v>30</v>
      </c>
      <c r="D485" s="13" cm="1">
        <f t="array" ref="D485">AVERAGE('SKU sales and Inventory'!D486:F486/30)</f>
        <v>0.43333333333333335</v>
      </c>
      <c r="E485" s="13">
        <f t="shared" si="14"/>
        <v>13</v>
      </c>
      <c r="F485" s="7">
        <v>36</v>
      </c>
      <c r="G485" s="13">
        <f t="shared" si="15"/>
        <v>23</v>
      </c>
      <c r="L485" s="13"/>
    </row>
    <row r="486" spans="1:12" x14ac:dyDescent="0.3">
      <c r="A486" s="7" t="s">
        <v>538</v>
      </c>
      <c r="B486" s="7" t="s">
        <v>0</v>
      </c>
      <c r="C486" s="7" cm="1">
        <f t="array" ref="C486">_xlfn.IFS(B486="25-50%",45,B486="50-75%",30,B486="last 25%",30,B486="Retire",0,B486="Top 25 %",60,B486="REST",30)</f>
        <v>30</v>
      </c>
      <c r="D486" s="13" cm="1">
        <f t="array" ref="D486">AVERAGE('SKU sales and Inventory'!D487:F487/30)</f>
        <v>0.3666666666666667</v>
      </c>
      <c r="E486" s="13">
        <f t="shared" si="14"/>
        <v>11</v>
      </c>
      <c r="F486" s="7">
        <v>36</v>
      </c>
      <c r="G486" s="13">
        <f t="shared" si="15"/>
        <v>25</v>
      </c>
      <c r="L486" s="13"/>
    </row>
    <row r="487" spans="1:12" x14ac:dyDescent="0.3">
      <c r="A487" s="7" t="s">
        <v>539</v>
      </c>
      <c r="B487" s="7" t="s">
        <v>0</v>
      </c>
      <c r="C487" s="7" cm="1">
        <f t="array" ref="C487">_xlfn.IFS(B487="25-50%",45,B487="50-75%",30,B487="last 25%",30,B487="Retire",0,B487="Top 25 %",60,B487="REST",30)</f>
        <v>30</v>
      </c>
      <c r="D487" s="13" cm="1">
        <f t="array" ref="D487">AVERAGE('SKU sales and Inventory'!D488:F488/30)</f>
        <v>0.23333333333333331</v>
      </c>
      <c r="E487" s="13">
        <f t="shared" si="14"/>
        <v>6.9999999999999991</v>
      </c>
      <c r="F487" s="7">
        <v>84</v>
      </c>
      <c r="G487" s="13">
        <f t="shared" si="15"/>
        <v>77</v>
      </c>
      <c r="L487" s="13"/>
    </row>
    <row r="488" spans="1:12" x14ac:dyDescent="0.3">
      <c r="A488" s="7" t="s">
        <v>540</v>
      </c>
      <c r="B488" s="7" t="s">
        <v>3</v>
      </c>
      <c r="C488" s="7" cm="1">
        <f t="array" ref="C488">_xlfn.IFS(B488="25-50%",45,B488="50-75%",30,B488="last 25%",30,B488="Retire",0,B488="Top 25 %",60,B488="REST",30)</f>
        <v>0</v>
      </c>
      <c r="D488" s="13" cm="1">
        <f t="array" ref="D488">AVERAGE('SKU sales and Inventory'!D489:F489/30)</f>
        <v>2.4333333333333331</v>
      </c>
      <c r="E488" s="13">
        <f t="shared" si="14"/>
        <v>0</v>
      </c>
      <c r="F488" s="7">
        <v>45</v>
      </c>
      <c r="G488" s="13">
        <f t="shared" si="15"/>
        <v>45</v>
      </c>
      <c r="L488" s="13"/>
    </row>
    <row r="489" spans="1:12" x14ac:dyDescent="0.3">
      <c r="A489" s="7" t="s">
        <v>541</v>
      </c>
      <c r="B489" s="7" t="s">
        <v>0</v>
      </c>
      <c r="C489" s="7" cm="1">
        <f t="array" ref="C489">_xlfn.IFS(B489="25-50%",45,B489="50-75%",30,B489="last 25%",30,B489="Retire",0,B489="Top 25 %",60,B489="REST",30)</f>
        <v>30</v>
      </c>
      <c r="D489" s="13" cm="1">
        <f t="array" ref="D489">AVERAGE('SKU sales and Inventory'!D490:F490/30)</f>
        <v>2.1666666666666665</v>
      </c>
      <c r="E489" s="13">
        <f t="shared" si="14"/>
        <v>65</v>
      </c>
      <c r="F489" s="7">
        <v>324</v>
      </c>
      <c r="G489" s="13">
        <f t="shared" si="15"/>
        <v>259</v>
      </c>
      <c r="L489" s="13"/>
    </row>
    <row r="490" spans="1:12" x14ac:dyDescent="0.3">
      <c r="A490" s="7" t="s">
        <v>542</v>
      </c>
      <c r="B490" s="7" t="s">
        <v>0</v>
      </c>
      <c r="C490" s="7" cm="1">
        <f t="array" ref="C490">_xlfn.IFS(B490="25-50%",45,B490="50-75%",30,B490="last 25%",30,B490="Retire",0,B490="Top 25 %",60,B490="REST",30)</f>
        <v>30</v>
      </c>
      <c r="D490" s="13" cm="1">
        <f t="array" ref="D490">AVERAGE('SKU sales and Inventory'!D491:F491/30)</f>
        <v>1.0999999999999999</v>
      </c>
      <c r="E490" s="13">
        <f t="shared" si="14"/>
        <v>32.999999999999993</v>
      </c>
      <c r="F490" s="7">
        <v>141</v>
      </c>
      <c r="G490" s="13">
        <f t="shared" si="15"/>
        <v>108</v>
      </c>
      <c r="L490" s="13"/>
    </row>
    <row r="491" spans="1:12" x14ac:dyDescent="0.3">
      <c r="A491" s="7" t="s">
        <v>543</v>
      </c>
      <c r="B491" s="7" t="s">
        <v>0</v>
      </c>
      <c r="C491" s="7" cm="1">
        <f t="array" ref="C491">_xlfn.IFS(B491="25-50%",45,B491="50-75%",30,B491="last 25%",30,B491="Retire",0,B491="Top 25 %",60,B491="REST",30)</f>
        <v>30</v>
      </c>
      <c r="D491" s="13" cm="1">
        <f t="array" ref="D491">AVERAGE('SKU sales and Inventory'!D492:F492/30)</f>
        <v>1.0333333333333334</v>
      </c>
      <c r="E491" s="13">
        <f t="shared" si="14"/>
        <v>31.000000000000004</v>
      </c>
      <c r="F491" s="7">
        <v>153</v>
      </c>
      <c r="G491" s="13">
        <f t="shared" si="15"/>
        <v>122</v>
      </c>
      <c r="L491" s="13"/>
    </row>
    <row r="492" spans="1:12" x14ac:dyDescent="0.3">
      <c r="A492" s="7" t="s">
        <v>544</v>
      </c>
      <c r="B492" s="7" t="s">
        <v>0</v>
      </c>
      <c r="C492" s="7" cm="1">
        <f t="array" ref="C492">_xlfn.IFS(B492="25-50%",45,B492="50-75%",30,B492="last 25%",30,B492="Retire",0,B492="Top 25 %",60,B492="REST",30)</f>
        <v>30</v>
      </c>
      <c r="D492" s="13" cm="1">
        <f t="array" ref="D492">AVERAGE('SKU sales and Inventory'!D493:F493/30)</f>
        <v>0.8666666666666667</v>
      </c>
      <c r="E492" s="13">
        <f t="shared" si="14"/>
        <v>26</v>
      </c>
      <c r="F492" s="7">
        <v>120</v>
      </c>
      <c r="G492" s="13">
        <f t="shared" si="15"/>
        <v>94</v>
      </c>
      <c r="L492" s="13"/>
    </row>
    <row r="493" spans="1:12" x14ac:dyDescent="0.3">
      <c r="A493" s="7" t="s">
        <v>545</v>
      </c>
      <c r="B493" s="7" t="s">
        <v>0</v>
      </c>
      <c r="C493" s="7" cm="1">
        <f t="array" ref="C493">_xlfn.IFS(B493="25-50%",45,B493="50-75%",30,B493="last 25%",30,B493="Retire",0,B493="Top 25 %",60,B493="REST",30)</f>
        <v>30</v>
      </c>
      <c r="D493" s="13" cm="1">
        <f t="array" ref="D493">AVERAGE('SKU sales and Inventory'!D494:F494/30)</f>
        <v>0.83333333333333337</v>
      </c>
      <c r="E493" s="13">
        <f t="shared" si="14"/>
        <v>25</v>
      </c>
      <c r="F493" s="7">
        <v>123</v>
      </c>
      <c r="G493" s="13">
        <f t="shared" si="15"/>
        <v>98</v>
      </c>
      <c r="L493" s="13"/>
    </row>
    <row r="494" spans="1:12" x14ac:dyDescent="0.3">
      <c r="A494" s="7" t="s">
        <v>546</v>
      </c>
      <c r="B494" s="7" t="s">
        <v>0</v>
      </c>
      <c r="C494" s="7" cm="1">
        <f t="array" ref="C494">_xlfn.IFS(B494="25-50%",45,B494="50-75%",30,B494="last 25%",30,B494="Retire",0,B494="Top 25 %",60,B494="REST",30)</f>
        <v>30</v>
      </c>
      <c r="D494" s="13" cm="1">
        <f t="array" ref="D494">AVERAGE('SKU sales and Inventory'!D495:F495/30)</f>
        <v>0.66666666666666663</v>
      </c>
      <c r="E494" s="13">
        <f t="shared" si="14"/>
        <v>20</v>
      </c>
      <c r="F494" s="7">
        <v>48</v>
      </c>
      <c r="G494" s="13">
        <f t="shared" si="15"/>
        <v>28</v>
      </c>
      <c r="L494" s="13"/>
    </row>
    <row r="495" spans="1:12" x14ac:dyDescent="0.3">
      <c r="A495" s="7" t="s">
        <v>547</v>
      </c>
      <c r="B495" s="7" t="s">
        <v>0</v>
      </c>
      <c r="C495" s="7" cm="1">
        <f t="array" ref="C495">_xlfn.IFS(B495="25-50%",45,B495="50-75%",30,B495="last 25%",30,B495="Retire",0,B495="Top 25 %",60,B495="REST",30)</f>
        <v>30</v>
      </c>
      <c r="D495" s="13" cm="1">
        <f t="array" ref="D495">AVERAGE('SKU sales and Inventory'!D496:F496/30)</f>
        <v>0.76666666666666661</v>
      </c>
      <c r="E495" s="13">
        <f t="shared" si="14"/>
        <v>23</v>
      </c>
      <c r="F495" s="7">
        <v>369</v>
      </c>
      <c r="G495" s="13">
        <f t="shared" si="15"/>
        <v>346</v>
      </c>
      <c r="L495" s="13"/>
    </row>
    <row r="496" spans="1:12" x14ac:dyDescent="0.3">
      <c r="A496" s="7" t="s">
        <v>548</v>
      </c>
      <c r="B496" s="7" t="s">
        <v>0</v>
      </c>
      <c r="C496" s="7" cm="1">
        <f t="array" ref="C496">_xlfn.IFS(B496="25-50%",45,B496="50-75%",30,B496="last 25%",30,B496="Retire",0,B496="Top 25 %",60,B496="REST",30)</f>
        <v>30</v>
      </c>
      <c r="D496" s="13" cm="1">
        <f t="array" ref="D496">AVERAGE('SKU sales and Inventory'!D497:F497/30)</f>
        <v>0.9</v>
      </c>
      <c r="E496" s="13">
        <f t="shared" si="14"/>
        <v>27</v>
      </c>
      <c r="F496" s="7">
        <v>57</v>
      </c>
      <c r="G496" s="13">
        <f t="shared" si="15"/>
        <v>30</v>
      </c>
      <c r="L496" s="13"/>
    </row>
    <row r="497" spans="1:12" x14ac:dyDescent="0.3">
      <c r="A497" s="7" t="s">
        <v>549</v>
      </c>
      <c r="B497" s="7" t="s">
        <v>0</v>
      </c>
      <c r="C497" s="7" cm="1">
        <f t="array" ref="C497">_xlfn.IFS(B497="25-50%",45,B497="50-75%",30,B497="last 25%",30,B497="Retire",0,B497="Top 25 %",60,B497="REST",30)</f>
        <v>30</v>
      </c>
      <c r="D497" s="13" cm="1">
        <f t="array" ref="D497">AVERAGE('SKU sales and Inventory'!D498:F498/30)</f>
        <v>0.9</v>
      </c>
      <c r="E497" s="13">
        <f t="shared" si="14"/>
        <v>27</v>
      </c>
      <c r="F497" s="7">
        <v>81</v>
      </c>
      <c r="G497" s="13">
        <f t="shared" si="15"/>
        <v>54</v>
      </c>
      <c r="L497" s="13"/>
    </row>
    <row r="498" spans="1:12" x14ac:dyDescent="0.3">
      <c r="A498" s="7" t="s">
        <v>550</v>
      </c>
      <c r="B498" s="7" t="s">
        <v>0</v>
      </c>
      <c r="C498" s="7" cm="1">
        <f t="array" ref="C498">_xlfn.IFS(B498="25-50%",45,B498="50-75%",30,B498="last 25%",30,B498="Retire",0,B498="Top 25 %",60,B498="REST",30)</f>
        <v>30</v>
      </c>
      <c r="D498" s="13" cm="1">
        <f t="array" ref="D498">AVERAGE('SKU sales and Inventory'!D499:F499/30)</f>
        <v>0.83333333333333337</v>
      </c>
      <c r="E498" s="13">
        <f t="shared" si="14"/>
        <v>25</v>
      </c>
      <c r="F498" s="7">
        <v>144</v>
      </c>
      <c r="G498" s="13">
        <f t="shared" si="15"/>
        <v>119</v>
      </c>
      <c r="L498" s="13"/>
    </row>
    <row r="499" spans="1:12" x14ac:dyDescent="0.3">
      <c r="A499" s="7" t="s">
        <v>551</v>
      </c>
      <c r="B499" s="7" t="s">
        <v>0</v>
      </c>
      <c r="C499" s="7" cm="1">
        <f t="array" ref="C499">_xlfn.IFS(B499="25-50%",45,B499="50-75%",30,B499="last 25%",30,B499="Retire",0,B499="Top 25 %",60,B499="REST",30)</f>
        <v>30</v>
      </c>
      <c r="D499" s="13" cm="1">
        <f t="array" ref="D499">AVERAGE('SKU sales and Inventory'!D500:F500/30)</f>
        <v>0.9</v>
      </c>
      <c r="E499" s="13">
        <f t="shared" si="14"/>
        <v>27</v>
      </c>
      <c r="F499" s="7">
        <v>195</v>
      </c>
      <c r="G499" s="13">
        <f t="shared" si="15"/>
        <v>168</v>
      </c>
      <c r="L499" s="13"/>
    </row>
    <row r="500" spans="1:12" x14ac:dyDescent="0.3">
      <c r="A500" s="7" t="s">
        <v>552</v>
      </c>
      <c r="B500" s="7" t="s">
        <v>0</v>
      </c>
      <c r="C500" s="7" cm="1">
        <f t="array" ref="C500">_xlfn.IFS(B500="25-50%",45,B500="50-75%",30,B500="last 25%",30,B500="Retire",0,B500="Top 25 %",60,B500="REST",30)</f>
        <v>30</v>
      </c>
      <c r="D500" s="13" cm="1">
        <f t="array" ref="D500">AVERAGE('SKU sales and Inventory'!D501:F501/30)</f>
        <v>0.76666666666666661</v>
      </c>
      <c r="E500" s="13">
        <f t="shared" si="14"/>
        <v>23</v>
      </c>
      <c r="F500" s="7">
        <v>42</v>
      </c>
      <c r="G500" s="13">
        <f t="shared" si="15"/>
        <v>19</v>
      </c>
      <c r="L500" s="13"/>
    </row>
    <row r="501" spans="1:12" x14ac:dyDescent="0.3">
      <c r="A501" s="7" t="s">
        <v>553</v>
      </c>
      <c r="B501" s="7" t="s">
        <v>0</v>
      </c>
      <c r="C501" s="7" cm="1">
        <f t="array" ref="C501">_xlfn.IFS(B501="25-50%",45,B501="50-75%",30,B501="last 25%",30,B501="Retire",0,B501="Top 25 %",60,B501="REST",30)</f>
        <v>30</v>
      </c>
      <c r="D501" s="13" cm="1">
        <f t="array" ref="D501">AVERAGE('SKU sales and Inventory'!D502:F502/30)</f>
        <v>0.3</v>
      </c>
      <c r="E501" s="13">
        <f t="shared" si="14"/>
        <v>9</v>
      </c>
      <c r="F501" s="7">
        <v>111</v>
      </c>
      <c r="G501" s="13">
        <f t="shared" si="15"/>
        <v>102</v>
      </c>
      <c r="L501" s="13"/>
    </row>
    <row r="502" spans="1:12" x14ac:dyDescent="0.3">
      <c r="A502" s="7" t="s">
        <v>554</v>
      </c>
      <c r="B502" s="7" t="s">
        <v>0</v>
      </c>
      <c r="C502" s="7" cm="1">
        <f t="array" ref="C502">_xlfn.IFS(B502="25-50%",45,B502="50-75%",30,B502="last 25%",30,B502="Retire",0,B502="Top 25 %",60,B502="REST",30)</f>
        <v>30</v>
      </c>
      <c r="D502" s="13" cm="1">
        <f t="array" ref="D502">AVERAGE('SKU sales and Inventory'!D503:F503/30)</f>
        <v>0.33333333333333331</v>
      </c>
      <c r="E502" s="13">
        <f t="shared" si="14"/>
        <v>10</v>
      </c>
      <c r="F502" s="7">
        <v>150</v>
      </c>
      <c r="G502" s="13">
        <f t="shared" si="15"/>
        <v>140</v>
      </c>
      <c r="L502" s="13"/>
    </row>
    <row r="503" spans="1:12" x14ac:dyDescent="0.3">
      <c r="A503" s="7" t="s">
        <v>555</v>
      </c>
      <c r="B503" s="7" t="s">
        <v>0</v>
      </c>
      <c r="C503" s="7" cm="1">
        <f t="array" ref="C503">_xlfn.IFS(B503="25-50%",45,B503="50-75%",30,B503="last 25%",30,B503="Retire",0,B503="Top 25 %",60,B503="REST",30)</f>
        <v>30</v>
      </c>
      <c r="D503" s="13" cm="1">
        <f t="array" ref="D503">AVERAGE('SKU sales and Inventory'!D504:F504/30)</f>
        <v>0.63333333333333341</v>
      </c>
      <c r="E503" s="13">
        <f t="shared" si="14"/>
        <v>19.000000000000004</v>
      </c>
      <c r="F503" s="7">
        <v>129</v>
      </c>
      <c r="G503" s="13">
        <f t="shared" si="15"/>
        <v>110</v>
      </c>
      <c r="L503" s="13"/>
    </row>
    <row r="504" spans="1:12" x14ac:dyDescent="0.3">
      <c r="A504" s="7" t="s">
        <v>556</v>
      </c>
      <c r="B504" s="7" t="s">
        <v>0</v>
      </c>
      <c r="C504" s="7" cm="1">
        <f t="array" ref="C504">_xlfn.IFS(B504="25-50%",45,B504="50-75%",30,B504="last 25%",30,B504="Retire",0,B504="Top 25 %",60,B504="REST",30)</f>
        <v>30</v>
      </c>
      <c r="D504" s="13" cm="1">
        <f t="array" ref="D504">AVERAGE('SKU sales and Inventory'!D505:F505/30)</f>
        <v>0.33333333333333331</v>
      </c>
      <c r="E504" s="13">
        <f t="shared" si="14"/>
        <v>10</v>
      </c>
      <c r="F504" s="7">
        <v>327</v>
      </c>
      <c r="G504" s="13">
        <f t="shared" si="15"/>
        <v>317</v>
      </c>
      <c r="L504" s="13"/>
    </row>
    <row r="505" spans="1:12" x14ac:dyDescent="0.3">
      <c r="A505" s="7" t="s">
        <v>557</v>
      </c>
      <c r="B505" s="7" t="s">
        <v>0</v>
      </c>
      <c r="C505" s="7" cm="1">
        <f t="array" ref="C505">_xlfn.IFS(B505="25-50%",45,B505="50-75%",30,B505="last 25%",30,B505="Retire",0,B505="Top 25 %",60,B505="REST",30)</f>
        <v>30</v>
      </c>
      <c r="D505" s="13" cm="1">
        <f t="array" ref="D505">AVERAGE('SKU sales and Inventory'!D506:F506/30)</f>
        <v>0.20000000000000004</v>
      </c>
      <c r="E505" s="13">
        <f t="shared" si="14"/>
        <v>6.0000000000000009</v>
      </c>
      <c r="F505" s="7">
        <v>27</v>
      </c>
      <c r="G505" s="13">
        <f t="shared" si="15"/>
        <v>21</v>
      </c>
      <c r="L505" s="13"/>
    </row>
    <row r="506" spans="1:12" x14ac:dyDescent="0.3">
      <c r="A506" s="7" t="s">
        <v>558</v>
      </c>
      <c r="B506" s="7" t="s">
        <v>0</v>
      </c>
      <c r="C506" s="7" cm="1">
        <f t="array" ref="C506">_xlfn.IFS(B506="25-50%",45,B506="50-75%",30,B506="last 25%",30,B506="Retire",0,B506="Top 25 %",60,B506="REST",30)</f>
        <v>30</v>
      </c>
      <c r="D506" s="13" cm="1">
        <f t="array" ref="D506">AVERAGE('SKU sales and Inventory'!D507:F507/30)</f>
        <v>0.26666666666666666</v>
      </c>
      <c r="E506" s="13">
        <f t="shared" si="14"/>
        <v>8</v>
      </c>
      <c r="F506" s="7">
        <v>231</v>
      </c>
      <c r="G506" s="13">
        <f t="shared" si="15"/>
        <v>223</v>
      </c>
      <c r="L506" s="13"/>
    </row>
    <row r="507" spans="1:12" x14ac:dyDescent="0.3">
      <c r="A507" s="7" t="s">
        <v>559</v>
      </c>
      <c r="B507" s="7" t="s">
        <v>0</v>
      </c>
      <c r="C507" s="7" cm="1">
        <f t="array" ref="C507">_xlfn.IFS(B507="25-50%",45,B507="50-75%",30,B507="last 25%",30,B507="Retire",0,B507="Top 25 %",60,B507="REST",30)</f>
        <v>30</v>
      </c>
      <c r="D507" s="13" cm="1">
        <f t="array" ref="D507">AVERAGE('SKU sales and Inventory'!D508:F508/30)</f>
        <v>0.56666666666666665</v>
      </c>
      <c r="E507" s="13">
        <f t="shared" si="14"/>
        <v>17</v>
      </c>
      <c r="F507" s="7">
        <v>51</v>
      </c>
      <c r="G507" s="13">
        <f t="shared" si="15"/>
        <v>34</v>
      </c>
      <c r="L507" s="13"/>
    </row>
    <row r="508" spans="1:12" x14ac:dyDescent="0.3">
      <c r="A508" s="7" t="s">
        <v>560</v>
      </c>
      <c r="B508" s="7" t="s">
        <v>0</v>
      </c>
      <c r="C508" s="7" cm="1">
        <f t="array" ref="C508">_xlfn.IFS(B508="25-50%",45,B508="50-75%",30,B508="last 25%",30,B508="Retire",0,B508="Top 25 %",60,B508="REST",30)</f>
        <v>30</v>
      </c>
      <c r="D508" s="13" cm="1">
        <f t="array" ref="D508">AVERAGE('SKU sales and Inventory'!D509:F509/30)</f>
        <v>0.13333333333333333</v>
      </c>
      <c r="E508" s="13">
        <f t="shared" si="14"/>
        <v>4</v>
      </c>
      <c r="F508" s="7">
        <v>1059</v>
      </c>
      <c r="G508" s="13">
        <f t="shared" si="15"/>
        <v>1055</v>
      </c>
      <c r="L508" s="13"/>
    </row>
    <row r="509" spans="1:12" x14ac:dyDescent="0.3">
      <c r="A509" s="7" t="s">
        <v>561</v>
      </c>
      <c r="B509" s="7" t="s">
        <v>0</v>
      </c>
      <c r="C509" s="7" cm="1">
        <f t="array" ref="C509">_xlfn.IFS(B509="25-50%",45,B509="50-75%",30,B509="last 25%",30,B509="Retire",0,B509="Top 25 %",60,B509="REST",30)</f>
        <v>30</v>
      </c>
      <c r="D509" s="13" cm="1">
        <f t="array" ref="D509">AVERAGE('SKU sales and Inventory'!D510:F510/30)</f>
        <v>1.3</v>
      </c>
      <c r="E509" s="13">
        <f t="shared" si="14"/>
        <v>39</v>
      </c>
      <c r="F509" s="7">
        <v>153</v>
      </c>
      <c r="G509" s="13">
        <f t="shared" si="15"/>
        <v>114</v>
      </c>
      <c r="L509" s="13"/>
    </row>
    <row r="510" spans="1:12" x14ac:dyDescent="0.3">
      <c r="A510" s="7" t="s">
        <v>562</v>
      </c>
      <c r="B510" s="7" t="s">
        <v>0</v>
      </c>
      <c r="C510" s="7" cm="1">
        <f t="array" ref="C510">_xlfn.IFS(B510="25-50%",45,B510="50-75%",30,B510="last 25%",30,B510="Retire",0,B510="Top 25 %",60,B510="REST",30)</f>
        <v>30</v>
      </c>
      <c r="D510" s="13" cm="1">
        <f t="array" ref="D510">AVERAGE('SKU sales and Inventory'!D511:F511/30)</f>
        <v>1.0666666666666667</v>
      </c>
      <c r="E510" s="13">
        <f t="shared" si="14"/>
        <v>32</v>
      </c>
      <c r="F510" s="7">
        <v>24</v>
      </c>
      <c r="G510" s="13">
        <f t="shared" si="15"/>
        <v>-8</v>
      </c>
      <c r="L510" s="13"/>
    </row>
    <row r="511" spans="1:12" x14ac:dyDescent="0.3">
      <c r="A511" s="7" t="s">
        <v>563</v>
      </c>
      <c r="B511" s="7" t="s">
        <v>0</v>
      </c>
      <c r="C511" s="7" cm="1">
        <f t="array" ref="C511">_xlfn.IFS(B511="25-50%",45,B511="50-75%",30,B511="last 25%",30,B511="Retire",0,B511="Top 25 %",60,B511="REST",30)</f>
        <v>30</v>
      </c>
      <c r="D511" s="13" cm="1">
        <f t="array" ref="D511">AVERAGE('SKU sales and Inventory'!D512:F512/30)</f>
        <v>1.3666666666666665</v>
      </c>
      <c r="E511" s="13">
        <f t="shared" si="14"/>
        <v>40.999999999999993</v>
      </c>
      <c r="F511" s="7">
        <v>42</v>
      </c>
      <c r="G511" s="13">
        <f t="shared" si="15"/>
        <v>1.0000000000000071</v>
      </c>
      <c r="L511" s="13"/>
    </row>
    <row r="512" spans="1:12" x14ac:dyDescent="0.3">
      <c r="A512" s="7" t="s">
        <v>564</v>
      </c>
      <c r="B512" s="7" t="s">
        <v>0</v>
      </c>
      <c r="C512" s="7" cm="1">
        <f t="array" ref="C512">_xlfn.IFS(B512="25-50%",45,B512="50-75%",30,B512="last 25%",30,B512="Retire",0,B512="Top 25 %",60,B512="REST",30)</f>
        <v>30</v>
      </c>
      <c r="D512" s="13" cm="1">
        <f t="array" ref="D512">AVERAGE('SKU sales and Inventory'!D513:F513/30)</f>
        <v>0.93333333333333324</v>
      </c>
      <c r="E512" s="13">
        <f t="shared" si="14"/>
        <v>27.999999999999996</v>
      </c>
      <c r="F512" s="7">
        <v>78</v>
      </c>
      <c r="G512" s="13">
        <f t="shared" si="15"/>
        <v>50</v>
      </c>
      <c r="L512" s="13"/>
    </row>
    <row r="513" spans="1:12" x14ac:dyDescent="0.3">
      <c r="A513" s="7" t="s">
        <v>565</v>
      </c>
      <c r="B513" s="7" t="s">
        <v>0</v>
      </c>
      <c r="C513" s="7" cm="1">
        <f t="array" ref="C513">_xlfn.IFS(B513="25-50%",45,B513="50-75%",30,B513="last 25%",30,B513="Retire",0,B513="Top 25 %",60,B513="REST",30)</f>
        <v>30</v>
      </c>
      <c r="D513" s="13" cm="1">
        <f t="array" ref="D513">AVERAGE('SKU sales and Inventory'!D514:F514/30)</f>
        <v>0.76666666666666661</v>
      </c>
      <c r="E513" s="13">
        <f t="shared" si="14"/>
        <v>23</v>
      </c>
      <c r="F513" s="7">
        <v>126</v>
      </c>
      <c r="G513" s="13">
        <f t="shared" si="15"/>
        <v>103</v>
      </c>
      <c r="L513" s="13"/>
    </row>
    <row r="514" spans="1:12" x14ac:dyDescent="0.3">
      <c r="A514" s="7" t="s">
        <v>566</v>
      </c>
      <c r="B514" s="7" t="s">
        <v>0</v>
      </c>
      <c r="C514" s="7" cm="1">
        <f t="array" ref="C514">_xlfn.IFS(B514="25-50%",45,B514="50-75%",30,B514="last 25%",30,B514="Retire",0,B514="Top 25 %",60,B514="REST",30)</f>
        <v>30</v>
      </c>
      <c r="D514" s="13" cm="1">
        <f t="array" ref="D514">AVERAGE('SKU sales and Inventory'!D515:F515/30)</f>
        <v>0.9</v>
      </c>
      <c r="E514" s="13">
        <f t="shared" si="14"/>
        <v>27</v>
      </c>
      <c r="F514" s="7">
        <v>186</v>
      </c>
      <c r="G514" s="13">
        <f t="shared" si="15"/>
        <v>159</v>
      </c>
      <c r="L514" s="13"/>
    </row>
    <row r="515" spans="1:12" x14ac:dyDescent="0.3">
      <c r="A515" s="7" t="s">
        <v>567</v>
      </c>
      <c r="B515" s="7" t="s">
        <v>0</v>
      </c>
      <c r="C515" s="7" cm="1">
        <f t="array" ref="C515">_xlfn.IFS(B515="25-50%",45,B515="50-75%",30,B515="last 25%",30,B515="Retire",0,B515="Top 25 %",60,B515="REST",30)</f>
        <v>30</v>
      </c>
      <c r="D515" s="13" cm="1">
        <f t="array" ref="D515">AVERAGE('SKU sales and Inventory'!D516:F516/30)</f>
        <v>0.43333333333333335</v>
      </c>
      <c r="E515" s="13">
        <f t="shared" ref="E515:E578" si="16">D515*C515</f>
        <v>13</v>
      </c>
      <c r="F515" s="7">
        <v>48</v>
      </c>
      <c r="G515" s="13">
        <f t="shared" ref="G515:G578" si="17">F515-E515</f>
        <v>35</v>
      </c>
      <c r="L515" s="13"/>
    </row>
    <row r="516" spans="1:12" x14ac:dyDescent="0.3">
      <c r="A516" s="7" t="s">
        <v>568</v>
      </c>
      <c r="B516" s="7" t="s">
        <v>0</v>
      </c>
      <c r="C516" s="7" cm="1">
        <f t="array" ref="C516">_xlfn.IFS(B516="25-50%",45,B516="50-75%",30,B516="last 25%",30,B516="Retire",0,B516="Top 25 %",60,B516="REST",30)</f>
        <v>30</v>
      </c>
      <c r="D516" s="13" cm="1">
        <f t="array" ref="D516">AVERAGE('SKU sales and Inventory'!D517:F517/30)</f>
        <v>0.26666666666666666</v>
      </c>
      <c r="E516" s="13">
        <f t="shared" si="16"/>
        <v>8</v>
      </c>
      <c r="F516" s="7">
        <v>159</v>
      </c>
      <c r="G516" s="13">
        <f t="shared" si="17"/>
        <v>151</v>
      </c>
      <c r="L516" s="13"/>
    </row>
    <row r="517" spans="1:12" x14ac:dyDescent="0.3">
      <c r="A517" s="7" t="s">
        <v>569</v>
      </c>
      <c r="B517" s="7" t="s">
        <v>0</v>
      </c>
      <c r="C517" s="7" cm="1">
        <f t="array" ref="C517">_xlfn.IFS(B517="25-50%",45,B517="50-75%",30,B517="last 25%",30,B517="Retire",0,B517="Top 25 %",60,B517="REST",30)</f>
        <v>30</v>
      </c>
      <c r="D517" s="13" cm="1">
        <f t="array" ref="D517">AVERAGE('SKU sales and Inventory'!D518:F518/30)</f>
        <v>0.5</v>
      </c>
      <c r="E517" s="13">
        <f t="shared" si="16"/>
        <v>15</v>
      </c>
      <c r="F517" s="7">
        <v>45</v>
      </c>
      <c r="G517" s="13">
        <f t="shared" si="17"/>
        <v>30</v>
      </c>
      <c r="L517" s="13"/>
    </row>
    <row r="518" spans="1:12" x14ac:dyDescent="0.3">
      <c r="A518" s="7" t="s">
        <v>570</v>
      </c>
      <c r="B518" s="7" t="s">
        <v>0</v>
      </c>
      <c r="C518" s="7" cm="1">
        <f t="array" ref="C518">_xlfn.IFS(B518="25-50%",45,B518="50-75%",30,B518="last 25%",30,B518="Retire",0,B518="Top 25 %",60,B518="REST",30)</f>
        <v>30</v>
      </c>
      <c r="D518" s="13" cm="1">
        <f t="array" ref="D518">AVERAGE('SKU sales and Inventory'!D519:F519/30)</f>
        <v>0.3</v>
      </c>
      <c r="E518" s="13">
        <f t="shared" si="16"/>
        <v>9</v>
      </c>
      <c r="F518" s="7">
        <v>87</v>
      </c>
      <c r="G518" s="13">
        <f t="shared" si="17"/>
        <v>78</v>
      </c>
      <c r="L518" s="13"/>
    </row>
    <row r="519" spans="1:12" x14ac:dyDescent="0.3">
      <c r="A519" s="7" t="s">
        <v>571</v>
      </c>
      <c r="B519" s="7" t="s">
        <v>0</v>
      </c>
      <c r="C519" s="7" cm="1">
        <f t="array" ref="C519">_xlfn.IFS(B519="25-50%",45,B519="50-75%",30,B519="last 25%",30,B519="Retire",0,B519="Top 25 %",60,B519="REST",30)</f>
        <v>30</v>
      </c>
      <c r="D519" s="13" cm="1">
        <f t="array" ref="D519">AVERAGE('SKU sales and Inventory'!D520:F520/30)</f>
        <v>0.26666666666666666</v>
      </c>
      <c r="E519" s="13">
        <f t="shared" si="16"/>
        <v>8</v>
      </c>
      <c r="F519" s="7">
        <v>186</v>
      </c>
      <c r="G519" s="13">
        <f t="shared" si="17"/>
        <v>178</v>
      </c>
      <c r="L519" s="13"/>
    </row>
    <row r="520" spans="1:12" x14ac:dyDescent="0.3">
      <c r="A520" s="7" t="s">
        <v>572</v>
      </c>
      <c r="B520" s="7" t="s">
        <v>0</v>
      </c>
      <c r="C520" s="7" cm="1">
        <f t="array" ref="C520">_xlfn.IFS(B520="25-50%",45,B520="50-75%",30,B520="last 25%",30,B520="Retire",0,B520="Top 25 %",60,B520="REST",30)</f>
        <v>30</v>
      </c>
      <c r="D520" s="13" cm="1">
        <f t="array" ref="D520">AVERAGE('SKU sales and Inventory'!D521:F521/30)</f>
        <v>0.43333333333333329</v>
      </c>
      <c r="E520" s="13">
        <f t="shared" si="16"/>
        <v>12.999999999999998</v>
      </c>
      <c r="F520" s="7">
        <v>60</v>
      </c>
      <c r="G520" s="13">
        <f t="shared" si="17"/>
        <v>47</v>
      </c>
      <c r="L520" s="13"/>
    </row>
    <row r="521" spans="1:12" x14ac:dyDescent="0.3">
      <c r="A521" s="7" t="s">
        <v>573</v>
      </c>
      <c r="B521" s="7" t="s">
        <v>0</v>
      </c>
      <c r="C521" s="7" cm="1">
        <f t="array" ref="C521">_xlfn.IFS(B521="25-50%",45,B521="50-75%",30,B521="last 25%",30,B521="Retire",0,B521="Top 25 %",60,B521="REST",30)</f>
        <v>30</v>
      </c>
      <c r="D521" s="13" cm="1">
        <f t="array" ref="D521">AVERAGE('SKU sales and Inventory'!D522:F522/30)</f>
        <v>0.5</v>
      </c>
      <c r="E521" s="13">
        <f t="shared" si="16"/>
        <v>15</v>
      </c>
      <c r="F521" s="7">
        <v>207</v>
      </c>
      <c r="G521" s="13">
        <f t="shared" si="17"/>
        <v>192</v>
      </c>
      <c r="L521" s="13"/>
    </row>
    <row r="522" spans="1:12" x14ac:dyDescent="0.3">
      <c r="A522" s="7" t="s">
        <v>574</v>
      </c>
      <c r="B522" s="7" t="s">
        <v>0</v>
      </c>
      <c r="C522" s="7" cm="1">
        <f t="array" ref="C522">_xlfn.IFS(B522="25-50%",45,B522="50-75%",30,B522="last 25%",30,B522="Retire",0,B522="Top 25 %",60,B522="REST",30)</f>
        <v>30</v>
      </c>
      <c r="D522" s="13" cm="1">
        <f t="array" ref="D522">AVERAGE('SKU sales and Inventory'!D523:F523/30)</f>
        <v>0.33333333333333331</v>
      </c>
      <c r="E522" s="13">
        <f t="shared" si="16"/>
        <v>10</v>
      </c>
      <c r="F522" s="7">
        <v>42</v>
      </c>
      <c r="G522" s="13">
        <f t="shared" si="17"/>
        <v>32</v>
      </c>
      <c r="L522" s="13"/>
    </row>
    <row r="523" spans="1:12" x14ac:dyDescent="0.3">
      <c r="A523" s="7" t="s">
        <v>575</v>
      </c>
      <c r="B523" s="7" t="s">
        <v>0</v>
      </c>
      <c r="C523" s="7" cm="1">
        <f t="array" ref="C523">_xlfn.IFS(B523="25-50%",45,B523="50-75%",30,B523="last 25%",30,B523="Retire",0,B523="Top 25 %",60,B523="REST",30)</f>
        <v>30</v>
      </c>
      <c r="D523" s="13" cm="1">
        <f t="array" ref="D523">AVERAGE('SKU sales and Inventory'!D524:F524/30)</f>
        <v>0.23333333333333331</v>
      </c>
      <c r="E523" s="13">
        <f t="shared" si="16"/>
        <v>6.9999999999999991</v>
      </c>
      <c r="F523" s="7">
        <v>99</v>
      </c>
      <c r="G523" s="13">
        <f t="shared" si="17"/>
        <v>92</v>
      </c>
      <c r="L523" s="13"/>
    </row>
    <row r="524" spans="1:12" x14ac:dyDescent="0.3">
      <c r="A524" s="7" t="s">
        <v>576</v>
      </c>
      <c r="B524" s="7" t="s">
        <v>0</v>
      </c>
      <c r="C524" s="7" cm="1">
        <f t="array" ref="C524">_xlfn.IFS(B524="25-50%",45,B524="50-75%",30,B524="last 25%",30,B524="Retire",0,B524="Top 25 %",60,B524="REST",30)</f>
        <v>30</v>
      </c>
      <c r="D524" s="13" cm="1">
        <f t="array" ref="D524">AVERAGE('SKU sales and Inventory'!D525:F525/30)</f>
        <v>0.33333333333333331</v>
      </c>
      <c r="E524" s="13">
        <f t="shared" si="16"/>
        <v>10</v>
      </c>
      <c r="F524" s="7">
        <v>36</v>
      </c>
      <c r="G524" s="13">
        <f t="shared" si="17"/>
        <v>26</v>
      </c>
      <c r="L524" s="13"/>
    </row>
    <row r="525" spans="1:12" x14ac:dyDescent="0.3">
      <c r="A525" s="7" t="s">
        <v>577</v>
      </c>
      <c r="B525" s="7" t="s">
        <v>0</v>
      </c>
      <c r="C525" s="7" cm="1">
        <f t="array" ref="C525">_xlfn.IFS(B525="25-50%",45,B525="50-75%",30,B525="last 25%",30,B525="Retire",0,B525="Top 25 %",60,B525="REST",30)</f>
        <v>30</v>
      </c>
      <c r="D525" s="13" cm="1">
        <f t="array" ref="D525">AVERAGE('SKU sales and Inventory'!D526:F526/30)</f>
        <v>0.23333333333333331</v>
      </c>
      <c r="E525" s="13">
        <f t="shared" si="16"/>
        <v>6.9999999999999991</v>
      </c>
      <c r="F525" s="7">
        <v>327</v>
      </c>
      <c r="G525" s="13">
        <f t="shared" si="17"/>
        <v>320</v>
      </c>
      <c r="L525" s="13"/>
    </row>
    <row r="526" spans="1:12" x14ac:dyDescent="0.3">
      <c r="A526" s="7" t="s">
        <v>578</v>
      </c>
      <c r="B526" s="7" t="s">
        <v>0</v>
      </c>
      <c r="C526" s="7" cm="1">
        <f t="array" ref="C526">_xlfn.IFS(B526="25-50%",45,B526="50-75%",30,B526="last 25%",30,B526="Retire",0,B526="Top 25 %",60,B526="REST",30)</f>
        <v>30</v>
      </c>
      <c r="D526" s="13" cm="1">
        <f t="array" ref="D526">AVERAGE('SKU sales and Inventory'!D527:F527/30)</f>
        <v>0.6</v>
      </c>
      <c r="E526" s="13">
        <f t="shared" si="16"/>
        <v>18</v>
      </c>
      <c r="F526" s="7">
        <v>144</v>
      </c>
      <c r="G526" s="13">
        <f t="shared" si="17"/>
        <v>126</v>
      </c>
      <c r="L526" s="13"/>
    </row>
    <row r="527" spans="1:12" x14ac:dyDescent="0.3">
      <c r="A527" s="7" t="s">
        <v>579</v>
      </c>
      <c r="B527" s="7" t="s">
        <v>0</v>
      </c>
      <c r="C527" s="7" cm="1">
        <f t="array" ref="C527">_xlfn.IFS(B527="25-50%",45,B527="50-75%",30,B527="last 25%",30,B527="Retire",0,B527="Top 25 %",60,B527="REST",30)</f>
        <v>30</v>
      </c>
      <c r="D527" s="13" cm="1">
        <f t="array" ref="D527">AVERAGE('SKU sales and Inventory'!D528:F528/30)</f>
        <v>0.3</v>
      </c>
      <c r="E527" s="13">
        <f t="shared" si="16"/>
        <v>9</v>
      </c>
      <c r="F527" s="7">
        <v>108</v>
      </c>
      <c r="G527" s="13">
        <f t="shared" si="17"/>
        <v>99</v>
      </c>
      <c r="L527" s="13"/>
    </row>
    <row r="528" spans="1:12" x14ac:dyDescent="0.3">
      <c r="A528" s="7" t="s">
        <v>580</v>
      </c>
      <c r="B528" s="7" t="s">
        <v>0</v>
      </c>
      <c r="C528" s="7" cm="1">
        <f t="array" ref="C528">_xlfn.IFS(B528="25-50%",45,B528="50-75%",30,B528="last 25%",30,B528="Retire",0,B528="Top 25 %",60,B528="REST",30)</f>
        <v>30</v>
      </c>
      <c r="D528" s="13" cm="1">
        <f t="array" ref="D528">AVERAGE('SKU sales and Inventory'!D529:F529/30)</f>
        <v>0.13333333333333333</v>
      </c>
      <c r="E528" s="13">
        <f t="shared" si="16"/>
        <v>4</v>
      </c>
      <c r="F528" s="7">
        <v>63</v>
      </c>
      <c r="G528" s="13">
        <f t="shared" si="17"/>
        <v>59</v>
      </c>
      <c r="L528" s="13"/>
    </row>
    <row r="529" spans="1:12" x14ac:dyDescent="0.3">
      <c r="A529" s="7" t="s">
        <v>581</v>
      </c>
      <c r="B529" s="7" t="s">
        <v>0</v>
      </c>
      <c r="C529" s="7" cm="1">
        <f t="array" ref="C529">_xlfn.IFS(B529="25-50%",45,B529="50-75%",30,B529="last 25%",30,B529="Retire",0,B529="Top 25 %",60,B529="REST",30)</f>
        <v>30</v>
      </c>
      <c r="D529" s="13" cm="1">
        <f t="array" ref="D529">AVERAGE('SKU sales and Inventory'!D530:F530/30)</f>
        <v>0.3666666666666667</v>
      </c>
      <c r="E529" s="13">
        <f t="shared" si="16"/>
        <v>11</v>
      </c>
      <c r="F529" s="7">
        <v>66</v>
      </c>
      <c r="G529" s="13">
        <f t="shared" si="17"/>
        <v>55</v>
      </c>
      <c r="L529" s="13"/>
    </row>
    <row r="530" spans="1:12" x14ac:dyDescent="0.3">
      <c r="A530" s="7" t="s">
        <v>582</v>
      </c>
      <c r="B530" s="7" t="s">
        <v>0</v>
      </c>
      <c r="C530" s="7" cm="1">
        <f t="array" ref="C530">_xlfn.IFS(B530="25-50%",45,B530="50-75%",30,B530="last 25%",30,B530="Retire",0,B530="Top 25 %",60,B530="REST",30)</f>
        <v>30</v>
      </c>
      <c r="D530" s="13" cm="1">
        <f t="array" ref="D530">AVERAGE('SKU sales and Inventory'!D531:F531/30)</f>
        <v>0.23333333333333331</v>
      </c>
      <c r="E530" s="13">
        <f t="shared" si="16"/>
        <v>6.9999999999999991</v>
      </c>
      <c r="F530" s="7">
        <v>45</v>
      </c>
      <c r="G530" s="13">
        <f t="shared" si="17"/>
        <v>38</v>
      </c>
      <c r="L530" s="13"/>
    </row>
    <row r="531" spans="1:12" x14ac:dyDescent="0.3">
      <c r="A531" s="7" t="s">
        <v>583</v>
      </c>
      <c r="B531" s="7" t="s">
        <v>0</v>
      </c>
      <c r="C531" s="7" cm="1">
        <f t="array" ref="C531">_xlfn.IFS(B531="25-50%",45,B531="50-75%",30,B531="last 25%",30,B531="Retire",0,B531="Top 25 %",60,B531="REST",30)</f>
        <v>30</v>
      </c>
      <c r="D531" s="13" cm="1">
        <f t="array" ref="D531">AVERAGE('SKU sales and Inventory'!D532:F532/30)</f>
        <v>0.13333333333333333</v>
      </c>
      <c r="E531" s="13">
        <f t="shared" si="16"/>
        <v>4</v>
      </c>
      <c r="F531" s="7">
        <v>120</v>
      </c>
      <c r="G531" s="13">
        <f t="shared" si="17"/>
        <v>116</v>
      </c>
      <c r="L531" s="13"/>
    </row>
    <row r="532" spans="1:12" x14ac:dyDescent="0.3">
      <c r="A532" s="7" t="s">
        <v>584</v>
      </c>
      <c r="B532" s="7" t="s">
        <v>0</v>
      </c>
      <c r="C532" s="7" cm="1">
        <f t="array" ref="C532">_xlfn.IFS(B532="25-50%",45,B532="50-75%",30,B532="last 25%",30,B532="Retire",0,B532="Top 25 %",60,B532="REST",30)</f>
        <v>30</v>
      </c>
      <c r="D532" s="13" cm="1">
        <f t="array" ref="D532">AVERAGE('SKU sales and Inventory'!D533:F533/30)</f>
        <v>2</v>
      </c>
      <c r="E532" s="13">
        <f t="shared" si="16"/>
        <v>60</v>
      </c>
      <c r="F532" s="7">
        <v>42</v>
      </c>
      <c r="G532" s="13">
        <f t="shared" si="17"/>
        <v>-18</v>
      </c>
      <c r="L532" s="13"/>
    </row>
    <row r="533" spans="1:12" x14ac:dyDescent="0.3">
      <c r="A533" s="7" t="s">
        <v>585</v>
      </c>
      <c r="B533" s="7" t="s">
        <v>0</v>
      </c>
      <c r="C533" s="7" cm="1">
        <f t="array" ref="C533">_xlfn.IFS(B533="25-50%",45,B533="50-75%",30,B533="last 25%",30,B533="Retire",0,B533="Top 25 %",60,B533="REST",30)</f>
        <v>30</v>
      </c>
      <c r="D533" s="13" cm="1">
        <f t="array" ref="D533">AVERAGE('SKU sales and Inventory'!D534:F534/30)</f>
        <v>3.4333333333333331</v>
      </c>
      <c r="E533" s="13">
        <f t="shared" si="16"/>
        <v>103</v>
      </c>
      <c r="F533" s="7">
        <v>36</v>
      </c>
      <c r="G533" s="13">
        <f t="shared" si="17"/>
        <v>-67</v>
      </c>
      <c r="L533" s="13"/>
    </row>
    <row r="534" spans="1:12" x14ac:dyDescent="0.3">
      <c r="A534" s="7" t="s">
        <v>586</v>
      </c>
      <c r="B534" s="7" t="s">
        <v>0</v>
      </c>
      <c r="C534" s="7" cm="1">
        <f t="array" ref="C534">_xlfn.IFS(B534="25-50%",45,B534="50-75%",30,B534="last 25%",30,B534="Retire",0,B534="Top 25 %",60,B534="REST",30)</f>
        <v>30</v>
      </c>
      <c r="D534" s="13" cm="1">
        <f t="array" ref="D534">AVERAGE('SKU sales and Inventory'!D535:F535/30)</f>
        <v>0.66666666666666663</v>
      </c>
      <c r="E534" s="13">
        <f t="shared" si="16"/>
        <v>20</v>
      </c>
      <c r="F534" s="7">
        <v>99</v>
      </c>
      <c r="G534" s="13">
        <f t="shared" si="17"/>
        <v>79</v>
      </c>
      <c r="L534" s="13"/>
    </row>
    <row r="535" spans="1:12" x14ac:dyDescent="0.3">
      <c r="A535" s="7" t="s">
        <v>587</v>
      </c>
      <c r="B535" s="7" t="s">
        <v>0</v>
      </c>
      <c r="C535" s="7" cm="1">
        <f t="array" ref="C535">_xlfn.IFS(B535="25-50%",45,B535="50-75%",30,B535="last 25%",30,B535="Retire",0,B535="Top 25 %",60,B535="REST",30)</f>
        <v>30</v>
      </c>
      <c r="D535" s="13" cm="1">
        <f t="array" ref="D535">AVERAGE('SKU sales and Inventory'!D536:F536/30)</f>
        <v>0.46666666666666662</v>
      </c>
      <c r="E535" s="13">
        <f t="shared" si="16"/>
        <v>13.999999999999998</v>
      </c>
      <c r="F535" s="7">
        <v>21</v>
      </c>
      <c r="G535" s="13">
        <f t="shared" si="17"/>
        <v>7.0000000000000018</v>
      </c>
      <c r="L535" s="13"/>
    </row>
    <row r="536" spans="1:12" x14ac:dyDescent="0.3">
      <c r="A536" s="7" t="s">
        <v>588</v>
      </c>
      <c r="B536" s="7" t="s">
        <v>0</v>
      </c>
      <c r="C536" s="7" cm="1">
        <f t="array" ref="C536">_xlfn.IFS(B536="25-50%",45,B536="50-75%",30,B536="last 25%",30,B536="Retire",0,B536="Top 25 %",60,B536="REST",30)</f>
        <v>30</v>
      </c>
      <c r="D536" s="13" cm="1">
        <f t="array" ref="D536">AVERAGE('SKU sales and Inventory'!D537:F537/30)</f>
        <v>0.53333333333333333</v>
      </c>
      <c r="E536" s="13">
        <f t="shared" si="16"/>
        <v>16</v>
      </c>
      <c r="F536" s="7">
        <v>153</v>
      </c>
      <c r="G536" s="13">
        <f t="shared" si="17"/>
        <v>137</v>
      </c>
      <c r="L536" s="13"/>
    </row>
    <row r="537" spans="1:12" x14ac:dyDescent="0.3">
      <c r="A537" s="7" t="s">
        <v>589</v>
      </c>
      <c r="B537" s="7" t="s">
        <v>0</v>
      </c>
      <c r="C537" s="7" cm="1">
        <f t="array" ref="C537">_xlfn.IFS(B537="25-50%",45,B537="50-75%",30,B537="last 25%",30,B537="Retire",0,B537="Top 25 %",60,B537="REST",30)</f>
        <v>30</v>
      </c>
      <c r="D537" s="13" cm="1">
        <f t="array" ref="D537">AVERAGE('SKU sales and Inventory'!D538:F538/30)</f>
        <v>1.1666666666666667</v>
      </c>
      <c r="E537" s="13">
        <f t="shared" si="16"/>
        <v>35</v>
      </c>
      <c r="F537" s="7">
        <v>66</v>
      </c>
      <c r="G537" s="13">
        <f t="shared" si="17"/>
        <v>31</v>
      </c>
      <c r="L537" s="13"/>
    </row>
    <row r="538" spans="1:12" x14ac:dyDescent="0.3">
      <c r="A538" s="7" t="s">
        <v>590</v>
      </c>
      <c r="B538" s="7" t="s">
        <v>0</v>
      </c>
      <c r="C538" s="7" cm="1">
        <f t="array" ref="C538">_xlfn.IFS(B538="25-50%",45,B538="50-75%",30,B538="last 25%",30,B538="Retire",0,B538="Top 25 %",60,B538="REST",30)</f>
        <v>30</v>
      </c>
      <c r="D538" s="13" cm="1">
        <f t="array" ref="D538">AVERAGE('SKU sales and Inventory'!D539:F539/30)</f>
        <v>1.2666666666666666</v>
      </c>
      <c r="E538" s="13">
        <f t="shared" si="16"/>
        <v>38</v>
      </c>
      <c r="F538" s="7">
        <v>198</v>
      </c>
      <c r="G538" s="13">
        <f t="shared" si="17"/>
        <v>160</v>
      </c>
      <c r="L538" s="13"/>
    </row>
    <row r="539" spans="1:12" x14ac:dyDescent="0.3">
      <c r="A539" s="7" t="s">
        <v>591</v>
      </c>
      <c r="B539" s="7" t="s">
        <v>0</v>
      </c>
      <c r="C539" s="7" cm="1">
        <f t="array" ref="C539">_xlfn.IFS(B539="25-50%",45,B539="50-75%",30,B539="last 25%",30,B539="Retire",0,B539="Top 25 %",60,B539="REST",30)</f>
        <v>30</v>
      </c>
      <c r="D539" s="13" cm="1">
        <f t="array" ref="D539">AVERAGE('SKU sales and Inventory'!D540:F540/30)</f>
        <v>0.53333333333333333</v>
      </c>
      <c r="E539" s="13">
        <f t="shared" si="16"/>
        <v>16</v>
      </c>
      <c r="F539" s="7">
        <v>51</v>
      </c>
      <c r="G539" s="13">
        <f t="shared" si="17"/>
        <v>35</v>
      </c>
      <c r="L539" s="13"/>
    </row>
    <row r="540" spans="1:12" x14ac:dyDescent="0.3">
      <c r="A540" s="7" t="s">
        <v>592</v>
      </c>
      <c r="B540" s="7" t="s">
        <v>0</v>
      </c>
      <c r="C540" s="7" cm="1">
        <f t="array" ref="C540">_xlfn.IFS(B540="25-50%",45,B540="50-75%",30,B540="last 25%",30,B540="Retire",0,B540="Top 25 %",60,B540="REST",30)</f>
        <v>30</v>
      </c>
      <c r="D540" s="13" cm="1">
        <f t="array" ref="D540">AVERAGE('SKU sales and Inventory'!D541:F541/30)</f>
        <v>0.96666666666666679</v>
      </c>
      <c r="E540" s="13">
        <f t="shared" si="16"/>
        <v>29.000000000000004</v>
      </c>
      <c r="F540" s="7">
        <v>30</v>
      </c>
      <c r="G540" s="13">
        <f t="shared" si="17"/>
        <v>0.99999999999999645</v>
      </c>
      <c r="L540" s="13"/>
    </row>
    <row r="541" spans="1:12" x14ac:dyDescent="0.3">
      <c r="A541" s="7" t="s">
        <v>593</v>
      </c>
      <c r="B541" s="7" t="s">
        <v>0</v>
      </c>
      <c r="C541" s="7" cm="1">
        <f t="array" ref="C541">_xlfn.IFS(B541="25-50%",45,B541="50-75%",30,B541="last 25%",30,B541="Retire",0,B541="Top 25 %",60,B541="REST",30)</f>
        <v>30</v>
      </c>
      <c r="D541" s="13" cm="1">
        <f t="array" ref="D541">AVERAGE('SKU sales and Inventory'!D542:F542/30)</f>
        <v>0.86666666666666659</v>
      </c>
      <c r="E541" s="13">
        <f t="shared" si="16"/>
        <v>25.999999999999996</v>
      </c>
      <c r="F541" s="7">
        <v>18</v>
      </c>
      <c r="G541" s="13">
        <f t="shared" si="17"/>
        <v>-7.9999999999999964</v>
      </c>
      <c r="L541" s="13"/>
    </row>
    <row r="542" spans="1:12" x14ac:dyDescent="0.3">
      <c r="A542" s="7" t="s">
        <v>594</v>
      </c>
      <c r="B542" s="7" t="s">
        <v>0</v>
      </c>
      <c r="C542" s="7" cm="1">
        <f t="array" ref="C542">_xlfn.IFS(B542="25-50%",45,B542="50-75%",30,B542="last 25%",30,B542="Retire",0,B542="Top 25 %",60,B542="REST",30)</f>
        <v>30</v>
      </c>
      <c r="D542" s="13" cm="1">
        <f t="array" ref="D542">AVERAGE('SKU sales and Inventory'!D543:F543/30)</f>
        <v>0.39999999999999997</v>
      </c>
      <c r="E542" s="13">
        <f t="shared" si="16"/>
        <v>11.999999999999998</v>
      </c>
      <c r="F542" s="7">
        <v>30</v>
      </c>
      <c r="G542" s="13">
        <f t="shared" si="17"/>
        <v>18</v>
      </c>
      <c r="L542" s="13"/>
    </row>
    <row r="543" spans="1:12" x14ac:dyDescent="0.3">
      <c r="A543" s="7" t="s">
        <v>595</v>
      </c>
      <c r="B543" s="7" t="s">
        <v>0</v>
      </c>
      <c r="C543" s="7" cm="1">
        <f t="array" ref="C543">_xlfn.IFS(B543="25-50%",45,B543="50-75%",30,B543="last 25%",30,B543="Retire",0,B543="Top 25 %",60,B543="REST",30)</f>
        <v>30</v>
      </c>
      <c r="D543" s="13" cm="1">
        <f t="array" ref="D543">AVERAGE('SKU sales and Inventory'!D544:F544/30)</f>
        <v>0.26666666666666666</v>
      </c>
      <c r="E543" s="13">
        <f t="shared" si="16"/>
        <v>8</v>
      </c>
      <c r="F543" s="7">
        <v>42</v>
      </c>
      <c r="G543" s="13">
        <f t="shared" si="17"/>
        <v>34</v>
      </c>
      <c r="L543" s="13"/>
    </row>
    <row r="544" spans="1:12" x14ac:dyDescent="0.3">
      <c r="A544" s="7" t="s">
        <v>596</v>
      </c>
      <c r="B544" s="7" t="s">
        <v>0</v>
      </c>
      <c r="C544" s="7" cm="1">
        <f t="array" ref="C544">_xlfn.IFS(B544="25-50%",45,B544="50-75%",30,B544="last 25%",30,B544="Retire",0,B544="Top 25 %",60,B544="REST",30)</f>
        <v>30</v>
      </c>
      <c r="D544" s="13" cm="1">
        <f t="array" ref="D544">AVERAGE('SKU sales and Inventory'!D545:F545/30)</f>
        <v>0.3666666666666667</v>
      </c>
      <c r="E544" s="13">
        <f t="shared" si="16"/>
        <v>11</v>
      </c>
      <c r="F544" s="7">
        <v>108</v>
      </c>
      <c r="G544" s="13">
        <f t="shared" si="17"/>
        <v>97</v>
      </c>
      <c r="L544" s="13"/>
    </row>
    <row r="545" spans="1:12" x14ac:dyDescent="0.3">
      <c r="A545" s="7" t="s">
        <v>597</v>
      </c>
      <c r="B545" s="7" t="s">
        <v>0</v>
      </c>
      <c r="C545" s="7" cm="1">
        <f t="array" ref="C545">_xlfn.IFS(B545="25-50%",45,B545="50-75%",30,B545="last 25%",30,B545="Retire",0,B545="Top 25 %",60,B545="REST",30)</f>
        <v>30</v>
      </c>
      <c r="D545" s="13" cm="1">
        <f t="array" ref="D545">AVERAGE('SKU sales and Inventory'!D546:F546/30)</f>
        <v>0.40000000000000008</v>
      </c>
      <c r="E545" s="13">
        <f t="shared" si="16"/>
        <v>12.000000000000002</v>
      </c>
      <c r="F545" s="7">
        <v>372</v>
      </c>
      <c r="G545" s="13">
        <f t="shared" si="17"/>
        <v>360</v>
      </c>
      <c r="L545" s="13"/>
    </row>
    <row r="546" spans="1:12" x14ac:dyDescent="0.3">
      <c r="A546" s="7" t="s">
        <v>598</v>
      </c>
      <c r="B546" s="7" t="s">
        <v>0</v>
      </c>
      <c r="C546" s="7" cm="1">
        <f t="array" ref="C546">_xlfn.IFS(B546="25-50%",45,B546="50-75%",30,B546="last 25%",30,B546="Retire",0,B546="Top 25 %",60,B546="REST",30)</f>
        <v>30</v>
      </c>
      <c r="D546" s="13" cm="1">
        <f t="array" ref="D546">AVERAGE('SKU sales and Inventory'!D547:F547/30)</f>
        <v>0.30000000000000004</v>
      </c>
      <c r="E546" s="13">
        <f t="shared" si="16"/>
        <v>9.0000000000000018</v>
      </c>
      <c r="F546" s="7">
        <v>84</v>
      </c>
      <c r="G546" s="13">
        <f t="shared" si="17"/>
        <v>75</v>
      </c>
      <c r="L546" s="13"/>
    </row>
    <row r="547" spans="1:12" x14ac:dyDescent="0.3">
      <c r="A547" s="7" t="s">
        <v>599</v>
      </c>
      <c r="B547" s="7" t="s">
        <v>0</v>
      </c>
      <c r="C547" s="7" cm="1">
        <f t="array" ref="C547">_xlfn.IFS(B547="25-50%",45,B547="50-75%",30,B547="last 25%",30,B547="Retire",0,B547="Top 25 %",60,B547="REST",30)</f>
        <v>30</v>
      </c>
      <c r="D547" s="13" cm="1">
        <f t="array" ref="D547">AVERAGE('SKU sales and Inventory'!D548:F548/30)</f>
        <v>0.3666666666666667</v>
      </c>
      <c r="E547" s="13">
        <f t="shared" si="16"/>
        <v>11</v>
      </c>
      <c r="F547" s="7">
        <v>117</v>
      </c>
      <c r="G547" s="13">
        <f t="shared" si="17"/>
        <v>106</v>
      </c>
      <c r="L547" s="13"/>
    </row>
    <row r="548" spans="1:12" x14ac:dyDescent="0.3">
      <c r="A548" s="7" t="s">
        <v>600</v>
      </c>
      <c r="B548" s="7" t="s">
        <v>0</v>
      </c>
      <c r="C548" s="7" cm="1">
        <f t="array" ref="C548">_xlfn.IFS(B548="25-50%",45,B548="50-75%",30,B548="last 25%",30,B548="Retire",0,B548="Top 25 %",60,B548="REST",30)</f>
        <v>30</v>
      </c>
      <c r="D548" s="13" cm="1">
        <f t="array" ref="D548">AVERAGE('SKU sales and Inventory'!D549:F549/30)</f>
        <v>0.5</v>
      </c>
      <c r="E548" s="13">
        <f t="shared" si="16"/>
        <v>15</v>
      </c>
      <c r="F548" s="7">
        <v>90</v>
      </c>
      <c r="G548" s="13">
        <f t="shared" si="17"/>
        <v>75</v>
      </c>
      <c r="L548" s="13"/>
    </row>
    <row r="549" spans="1:12" x14ac:dyDescent="0.3">
      <c r="A549" s="7" t="s">
        <v>601</v>
      </c>
      <c r="B549" s="7" t="s">
        <v>0</v>
      </c>
      <c r="C549" s="7" cm="1">
        <f t="array" ref="C549">_xlfn.IFS(B549="25-50%",45,B549="50-75%",30,B549="last 25%",30,B549="Retire",0,B549="Top 25 %",60,B549="REST",30)</f>
        <v>30</v>
      </c>
      <c r="D549" s="13" cm="1">
        <f t="array" ref="D549">AVERAGE('SKU sales and Inventory'!D550:F550/30)</f>
        <v>0.16666666666666666</v>
      </c>
      <c r="E549" s="13">
        <f t="shared" si="16"/>
        <v>5</v>
      </c>
      <c r="F549" s="7">
        <v>60</v>
      </c>
      <c r="G549" s="13">
        <f t="shared" si="17"/>
        <v>55</v>
      </c>
      <c r="L549" s="13"/>
    </row>
    <row r="550" spans="1:12" x14ac:dyDescent="0.3">
      <c r="A550" s="7" t="s">
        <v>602</v>
      </c>
      <c r="B550" s="7" t="s">
        <v>0</v>
      </c>
      <c r="C550" s="7" cm="1">
        <f t="array" ref="C550">_xlfn.IFS(B550="25-50%",45,B550="50-75%",30,B550="last 25%",30,B550="Retire",0,B550="Top 25 %",60,B550="REST",30)</f>
        <v>30</v>
      </c>
      <c r="D550" s="13" cm="1">
        <f t="array" ref="D550">AVERAGE('SKU sales and Inventory'!D551:F551/30)</f>
        <v>0.43333333333333335</v>
      </c>
      <c r="E550" s="13">
        <f t="shared" si="16"/>
        <v>13</v>
      </c>
      <c r="F550" s="7">
        <v>39</v>
      </c>
      <c r="G550" s="13">
        <f t="shared" si="17"/>
        <v>26</v>
      </c>
      <c r="L550" s="13"/>
    </row>
    <row r="551" spans="1:12" x14ac:dyDescent="0.3">
      <c r="A551" s="7" t="s">
        <v>603</v>
      </c>
      <c r="B551" s="7" t="s">
        <v>0</v>
      </c>
      <c r="C551" s="7" cm="1">
        <f t="array" ref="C551">_xlfn.IFS(B551="25-50%",45,B551="50-75%",30,B551="last 25%",30,B551="Retire",0,B551="Top 25 %",60,B551="REST",30)</f>
        <v>30</v>
      </c>
      <c r="D551" s="13" cm="1">
        <f t="array" ref="D551">AVERAGE('SKU sales and Inventory'!D552:F552/30)</f>
        <v>0.13333333333333333</v>
      </c>
      <c r="E551" s="13">
        <f t="shared" si="16"/>
        <v>4</v>
      </c>
      <c r="F551" s="7">
        <v>48</v>
      </c>
      <c r="G551" s="13">
        <f t="shared" si="17"/>
        <v>44</v>
      </c>
      <c r="L551" s="13"/>
    </row>
    <row r="552" spans="1:12" x14ac:dyDescent="0.3">
      <c r="A552" s="7" t="s">
        <v>604</v>
      </c>
      <c r="B552" s="7" t="s">
        <v>0</v>
      </c>
      <c r="C552" s="7" cm="1">
        <f t="array" ref="C552">_xlfn.IFS(B552="25-50%",45,B552="50-75%",30,B552="last 25%",30,B552="Retire",0,B552="Top 25 %",60,B552="REST",30)</f>
        <v>30</v>
      </c>
      <c r="D552" s="13" cm="1">
        <f t="array" ref="D552">AVERAGE('SKU sales and Inventory'!D553:F553/30)</f>
        <v>0.3666666666666667</v>
      </c>
      <c r="E552" s="13">
        <f t="shared" si="16"/>
        <v>11</v>
      </c>
      <c r="F552" s="7">
        <v>24</v>
      </c>
      <c r="G552" s="13">
        <f t="shared" si="17"/>
        <v>13</v>
      </c>
      <c r="L552" s="13"/>
    </row>
    <row r="553" spans="1:12" x14ac:dyDescent="0.3">
      <c r="A553" s="7" t="s">
        <v>605</v>
      </c>
      <c r="B553" s="7" t="s">
        <v>0</v>
      </c>
      <c r="C553" s="7" cm="1">
        <f t="array" ref="C553">_xlfn.IFS(B553="25-50%",45,B553="50-75%",30,B553="last 25%",30,B553="Retire",0,B553="Top 25 %",60,B553="REST",30)</f>
        <v>30</v>
      </c>
      <c r="D553" s="13" cm="1">
        <f t="array" ref="D553">AVERAGE('SKU sales and Inventory'!D554:F554/30)</f>
        <v>0.23333333333333331</v>
      </c>
      <c r="E553" s="13">
        <f t="shared" si="16"/>
        <v>6.9999999999999991</v>
      </c>
      <c r="F553" s="7">
        <v>24</v>
      </c>
      <c r="G553" s="13">
        <f t="shared" si="17"/>
        <v>17</v>
      </c>
      <c r="L553" s="13"/>
    </row>
    <row r="554" spans="1:12" x14ac:dyDescent="0.3">
      <c r="A554" s="7" t="s">
        <v>606</v>
      </c>
      <c r="B554" s="7" t="s">
        <v>0</v>
      </c>
      <c r="C554" s="7" cm="1">
        <f t="array" ref="C554">_xlfn.IFS(B554="25-50%",45,B554="50-75%",30,B554="last 25%",30,B554="Retire",0,B554="Top 25 %",60,B554="REST",30)</f>
        <v>30</v>
      </c>
      <c r="D554" s="13" cm="1">
        <f t="array" ref="D554">AVERAGE('SKU sales and Inventory'!D555:F555/30)</f>
        <v>0.23333333333333331</v>
      </c>
      <c r="E554" s="13">
        <f t="shared" si="16"/>
        <v>6.9999999999999991</v>
      </c>
      <c r="F554" s="7">
        <v>117</v>
      </c>
      <c r="G554" s="13">
        <f t="shared" si="17"/>
        <v>110</v>
      </c>
      <c r="L554" s="13"/>
    </row>
    <row r="555" spans="1:12" x14ac:dyDescent="0.3">
      <c r="A555" s="7" t="s">
        <v>607</v>
      </c>
      <c r="B555" s="7" t="s">
        <v>0</v>
      </c>
      <c r="C555" s="7" cm="1">
        <f t="array" ref="C555">_xlfn.IFS(B555="25-50%",45,B555="50-75%",30,B555="last 25%",30,B555="Retire",0,B555="Top 25 %",60,B555="REST",30)</f>
        <v>30</v>
      </c>
      <c r="D555" s="13" cm="1">
        <f t="array" ref="D555">AVERAGE('SKU sales and Inventory'!D556:F556/30)</f>
        <v>0.16666666666666666</v>
      </c>
      <c r="E555" s="13">
        <f t="shared" si="16"/>
        <v>5</v>
      </c>
      <c r="F555" s="7">
        <v>57</v>
      </c>
      <c r="G555" s="13">
        <f t="shared" si="17"/>
        <v>52</v>
      </c>
      <c r="L555" s="13"/>
    </row>
    <row r="556" spans="1:12" x14ac:dyDescent="0.3">
      <c r="A556" s="7" t="s">
        <v>608</v>
      </c>
      <c r="B556" s="7" t="s">
        <v>0</v>
      </c>
      <c r="C556" s="7" cm="1">
        <f t="array" ref="C556">_xlfn.IFS(B556="25-50%",45,B556="50-75%",30,B556="last 25%",30,B556="Retire",0,B556="Top 25 %",60,B556="REST",30)</f>
        <v>30</v>
      </c>
      <c r="D556" s="13" cm="1">
        <f t="array" ref="D556">AVERAGE('SKU sales and Inventory'!D557:F557/30)</f>
        <v>0.66666666666666663</v>
      </c>
      <c r="E556" s="13">
        <f t="shared" si="16"/>
        <v>20</v>
      </c>
      <c r="F556" s="7">
        <v>177</v>
      </c>
      <c r="G556" s="13">
        <f t="shared" si="17"/>
        <v>157</v>
      </c>
      <c r="L556" s="13"/>
    </row>
    <row r="557" spans="1:12" x14ac:dyDescent="0.3">
      <c r="A557" s="7" t="s">
        <v>609</v>
      </c>
      <c r="B557" s="7" t="s">
        <v>0</v>
      </c>
      <c r="C557" s="7" cm="1">
        <f t="array" ref="C557">_xlfn.IFS(B557="25-50%",45,B557="50-75%",30,B557="last 25%",30,B557="Retire",0,B557="Top 25 %",60,B557="REST",30)</f>
        <v>30</v>
      </c>
      <c r="D557" s="13" cm="1">
        <f t="array" ref="D557">AVERAGE('SKU sales and Inventory'!D558:F558/30)</f>
        <v>0.16666666666666666</v>
      </c>
      <c r="E557" s="13">
        <f t="shared" si="16"/>
        <v>5</v>
      </c>
      <c r="F557" s="7">
        <v>33</v>
      </c>
      <c r="G557" s="13">
        <f t="shared" si="17"/>
        <v>28</v>
      </c>
      <c r="L557" s="13"/>
    </row>
    <row r="558" spans="1:12" x14ac:dyDescent="0.3">
      <c r="A558" s="7" t="s">
        <v>610</v>
      </c>
      <c r="B558" s="7" t="s">
        <v>0</v>
      </c>
      <c r="C558" s="7" cm="1">
        <f t="array" ref="C558">_xlfn.IFS(B558="25-50%",45,B558="50-75%",30,B558="last 25%",30,B558="Retire",0,B558="Top 25 %",60,B558="REST",30)</f>
        <v>30</v>
      </c>
      <c r="D558" s="13" cm="1">
        <f t="array" ref="D558">AVERAGE('SKU sales and Inventory'!D559:F559/30)</f>
        <v>0.23333333333333336</v>
      </c>
      <c r="E558" s="13">
        <f t="shared" si="16"/>
        <v>7.0000000000000009</v>
      </c>
      <c r="F558" s="7">
        <v>60</v>
      </c>
      <c r="G558" s="13">
        <f t="shared" si="17"/>
        <v>53</v>
      </c>
      <c r="L558" s="13"/>
    </row>
    <row r="559" spans="1:12" x14ac:dyDescent="0.3">
      <c r="A559" s="7" t="s">
        <v>611</v>
      </c>
      <c r="B559" s="7" t="s">
        <v>0</v>
      </c>
      <c r="C559" s="7" cm="1">
        <f t="array" ref="C559">_xlfn.IFS(B559="25-50%",45,B559="50-75%",30,B559="last 25%",30,B559="Retire",0,B559="Top 25 %",60,B559="REST",30)</f>
        <v>30</v>
      </c>
      <c r="D559" s="13" cm="1">
        <f t="array" ref="D559">AVERAGE('SKU sales and Inventory'!D560:F560/30)</f>
        <v>0.13333333333333333</v>
      </c>
      <c r="E559" s="13">
        <f t="shared" si="16"/>
        <v>4</v>
      </c>
      <c r="F559" s="7">
        <v>228</v>
      </c>
      <c r="G559" s="13">
        <f t="shared" si="17"/>
        <v>224</v>
      </c>
      <c r="L559" s="13"/>
    </row>
    <row r="560" spans="1:12" x14ac:dyDescent="0.3">
      <c r="A560" s="7" t="s">
        <v>612</v>
      </c>
      <c r="B560" s="7" t="s">
        <v>0</v>
      </c>
      <c r="C560" s="7" cm="1">
        <f t="array" ref="C560">_xlfn.IFS(B560="25-50%",45,B560="50-75%",30,B560="last 25%",30,B560="Retire",0,B560="Top 25 %",60,B560="REST",30)</f>
        <v>30</v>
      </c>
      <c r="D560" s="13" cm="1">
        <f t="array" ref="D560">AVERAGE('SKU sales and Inventory'!D561:F561/30)</f>
        <v>0.20000000000000004</v>
      </c>
      <c r="E560" s="13">
        <f t="shared" si="16"/>
        <v>6.0000000000000009</v>
      </c>
      <c r="F560" s="7">
        <v>33</v>
      </c>
      <c r="G560" s="13">
        <f t="shared" si="17"/>
        <v>27</v>
      </c>
      <c r="L560" s="13"/>
    </row>
    <row r="561" spans="1:12" x14ac:dyDescent="0.3">
      <c r="A561" s="7" t="s">
        <v>613</v>
      </c>
      <c r="B561" s="7" t="s">
        <v>0</v>
      </c>
      <c r="C561" s="7" cm="1">
        <f t="array" ref="C561">_xlfn.IFS(B561="25-50%",45,B561="50-75%",30,B561="last 25%",30,B561="Retire",0,B561="Top 25 %",60,B561="REST",30)</f>
        <v>30</v>
      </c>
      <c r="D561" s="13" cm="1">
        <f t="array" ref="D561">AVERAGE('SKU sales and Inventory'!D562:F562/30)</f>
        <v>0.3666666666666667</v>
      </c>
      <c r="E561" s="13">
        <f t="shared" si="16"/>
        <v>11</v>
      </c>
      <c r="F561" s="7">
        <v>66</v>
      </c>
      <c r="G561" s="13">
        <f t="shared" si="17"/>
        <v>55</v>
      </c>
      <c r="L561" s="13"/>
    </row>
    <row r="562" spans="1:12" x14ac:dyDescent="0.3">
      <c r="A562" s="7" t="s">
        <v>614</v>
      </c>
      <c r="B562" s="7" t="s">
        <v>0</v>
      </c>
      <c r="C562" s="7" cm="1">
        <f t="array" ref="C562">_xlfn.IFS(B562="25-50%",45,B562="50-75%",30,B562="last 25%",30,B562="Retire",0,B562="Top 25 %",60,B562="REST",30)</f>
        <v>30</v>
      </c>
      <c r="D562" s="13" cm="1">
        <f t="array" ref="D562">AVERAGE('SKU sales and Inventory'!D563:F563/30)</f>
        <v>0.23333333333333331</v>
      </c>
      <c r="E562" s="13">
        <f t="shared" si="16"/>
        <v>6.9999999999999991</v>
      </c>
      <c r="F562" s="7">
        <v>18</v>
      </c>
      <c r="G562" s="13">
        <f t="shared" si="17"/>
        <v>11</v>
      </c>
      <c r="L562" s="13"/>
    </row>
    <row r="563" spans="1:12" x14ac:dyDescent="0.3">
      <c r="A563" s="7" t="s">
        <v>615</v>
      </c>
      <c r="B563" s="7" t="s">
        <v>0</v>
      </c>
      <c r="C563" s="7" cm="1">
        <f t="array" ref="C563">_xlfn.IFS(B563="25-50%",45,B563="50-75%",30,B563="last 25%",30,B563="Retire",0,B563="Top 25 %",60,B563="REST",30)</f>
        <v>30</v>
      </c>
      <c r="D563" s="13" cm="1">
        <f t="array" ref="D563">AVERAGE('SKU sales and Inventory'!D564:F564/30)</f>
        <v>0.20000000000000004</v>
      </c>
      <c r="E563" s="13">
        <f t="shared" si="16"/>
        <v>6.0000000000000009</v>
      </c>
      <c r="F563" s="7">
        <v>123</v>
      </c>
      <c r="G563" s="13">
        <f t="shared" si="17"/>
        <v>117</v>
      </c>
      <c r="L563" s="13"/>
    </row>
    <row r="564" spans="1:12" x14ac:dyDescent="0.3">
      <c r="A564" s="7" t="s">
        <v>616</v>
      </c>
      <c r="B564" s="7" t="s">
        <v>0</v>
      </c>
      <c r="C564" s="7" cm="1">
        <f t="array" ref="C564">_xlfn.IFS(B564="25-50%",45,B564="50-75%",30,B564="last 25%",30,B564="Retire",0,B564="Top 25 %",60,B564="REST",30)</f>
        <v>30</v>
      </c>
      <c r="D564" s="13" cm="1">
        <f t="array" ref="D564">AVERAGE('SKU sales and Inventory'!D565:F565/30)</f>
        <v>6.6666666666666666E-2</v>
      </c>
      <c r="E564" s="13">
        <f t="shared" si="16"/>
        <v>2</v>
      </c>
      <c r="F564" s="7">
        <v>114</v>
      </c>
      <c r="G564" s="13">
        <f t="shared" si="17"/>
        <v>112</v>
      </c>
      <c r="L564" s="13"/>
    </row>
    <row r="565" spans="1:12" x14ac:dyDescent="0.3">
      <c r="A565" s="7" t="s">
        <v>617</v>
      </c>
      <c r="B565" s="7" t="s">
        <v>3</v>
      </c>
      <c r="C565" s="7" cm="1">
        <f t="array" ref="C565">_xlfn.IFS(B565="25-50%",45,B565="50-75%",30,B565="last 25%",30,B565="Retire",0,B565="Top 25 %",60,B565="REST",30)</f>
        <v>0</v>
      </c>
      <c r="D565" s="13" cm="1">
        <f t="array" ref="D565">AVERAGE('SKU sales and Inventory'!D566:F566/30)</f>
        <v>0.19999999999999998</v>
      </c>
      <c r="E565" s="13">
        <f t="shared" si="16"/>
        <v>0</v>
      </c>
      <c r="F565" s="7">
        <v>114</v>
      </c>
      <c r="G565" s="13">
        <f t="shared" si="17"/>
        <v>114</v>
      </c>
      <c r="L565" s="13"/>
    </row>
    <row r="566" spans="1:12" x14ac:dyDescent="0.3">
      <c r="A566" s="7" t="s">
        <v>618</v>
      </c>
      <c r="B566" s="7" t="s">
        <v>2</v>
      </c>
      <c r="C566" s="7" cm="1">
        <f t="array" ref="C566">_xlfn.IFS(B566="25-50%",45,B566="50-75%",30,B566="last 25%",30,B566="Retire",0,B566="Top 25 %",60,B566="REST",30)</f>
        <v>45</v>
      </c>
      <c r="D566" s="13" cm="1">
        <f t="array" ref="D566">AVERAGE('SKU sales and Inventory'!D567:F567/30)</f>
        <v>0.66666666666666663</v>
      </c>
      <c r="E566" s="13">
        <f t="shared" si="16"/>
        <v>30</v>
      </c>
      <c r="F566" s="7">
        <v>15</v>
      </c>
      <c r="G566" s="13">
        <f t="shared" si="17"/>
        <v>-15</v>
      </c>
      <c r="L566" s="13"/>
    </row>
    <row r="567" spans="1:12" x14ac:dyDescent="0.3">
      <c r="A567" s="7" t="s">
        <v>619</v>
      </c>
      <c r="B567" s="7" t="s">
        <v>1</v>
      </c>
      <c r="C567" s="7" cm="1">
        <f t="array" ref="C567">_xlfn.IFS(B567="25-50%",45,B567="50-75%",30,B567="last 25%",30,B567="Retire",0,B567="Top 25 %",60,B567="REST",30)</f>
        <v>30</v>
      </c>
      <c r="D567" s="13" cm="1">
        <f t="array" ref="D567">AVERAGE('SKU sales and Inventory'!D568:F568/30)</f>
        <v>0.46666666666666662</v>
      </c>
      <c r="E567" s="13">
        <f t="shared" si="16"/>
        <v>13.999999999999998</v>
      </c>
      <c r="F567" s="7">
        <v>24</v>
      </c>
      <c r="G567" s="13">
        <f t="shared" si="17"/>
        <v>10.000000000000002</v>
      </c>
      <c r="L567" s="13"/>
    </row>
    <row r="568" spans="1:12" x14ac:dyDescent="0.3">
      <c r="A568" s="7" t="s">
        <v>620</v>
      </c>
      <c r="B568" s="7" t="s">
        <v>1</v>
      </c>
      <c r="C568" s="7" cm="1">
        <f t="array" ref="C568">_xlfn.IFS(B568="25-50%",45,B568="50-75%",30,B568="last 25%",30,B568="Retire",0,B568="Top 25 %",60,B568="REST",30)</f>
        <v>30</v>
      </c>
      <c r="D568" s="13" cm="1">
        <f t="array" ref="D568">AVERAGE('SKU sales and Inventory'!D569:F569/30)</f>
        <v>6.6666666666666666E-2</v>
      </c>
      <c r="E568" s="13">
        <f t="shared" si="16"/>
        <v>2</v>
      </c>
      <c r="F568" s="7">
        <v>63</v>
      </c>
      <c r="G568" s="13">
        <f t="shared" si="17"/>
        <v>61</v>
      </c>
      <c r="L568" s="13"/>
    </row>
    <row r="569" spans="1:12" x14ac:dyDescent="0.3">
      <c r="A569" s="7" t="s">
        <v>621</v>
      </c>
      <c r="B569" s="7" t="s">
        <v>1</v>
      </c>
      <c r="C569" s="7" cm="1">
        <f t="array" ref="C569">_xlfn.IFS(B569="25-50%",45,B569="50-75%",30,B569="last 25%",30,B569="Retire",0,B569="Top 25 %",60,B569="REST",30)</f>
        <v>30</v>
      </c>
      <c r="D569" s="13" cm="1">
        <f t="array" ref="D569">AVERAGE('SKU sales and Inventory'!D570:F570/30)</f>
        <v>0.16666666666666666</v>
      </c>
      <c r="E569" s="13">
        <f t="shared" si="16"/>
        <v>5</v>
      </c>
      <c r="F569" s="7">
        <v>15</v>
      </c>
      <c r="G569" s="13">
        <f t="shared" si="17"/>
        <v>10</v>
      </c>
      <c r="L569" s="13"/>
    </row>
    <row r="570" spans="1:12" x14ac:dyDescent="0.3">
      <c r="A570" s="7" t="s">
        <v>622</v>
      </c>
      <c r="B570" s="7" t="s">
        <v>0</v>
      </c>
      <c r="C570" s="7" cm="1">
        <f t="array" ref="C570">_xlfn.IFS(B570="25-50%",45,B570="50-75%",30,B570="last 25%",30,B570="Retire",0,B570="Top 25 %",60,B570="REST",30)</f>
        <v>30</v>
      </c>
      <c r="D570" s="13" cm="1">
        <f t="array" ref="D570">AVERAGE('SKU sales and Inventory'!D571:F571/30)</f>
        <v>1.3666666666666665</v>
      </c>
      <c r="E570" s="13">
        <f t="shared" si="16"/>
        <v>40.999999999999993</v>
      </c>
      <c r="F570" s="7">
        <v>36</v>
      </c>
      <c r="G570" s="13">
        <f t="shared" si="17"/>
        <v>-4.9999999999999929</v>
      </c>
      <c r="L570" s="13"/>
    </row>
    <row r="571" spans="1:12" x14ac:dyDescent="0.3">
      <c r="A571" s="7" t="s">
        <v>623</v>
      </c>
      <c r="B571" s="7" t="s">
        <v>0</v>
      </c>
      <c r="C571" s="7" cm="1">
        <f t="array" ref="C571">_xlfn.IFS(B571="25-50%",45,B571="50-75%",30,B571="last 25%",30,B571="Retire",0,B571="Top 25 %",60,B571="REST",30)</f>
        <v>30</v>
      </c>
      <c r="D571" s="13" cm="1">
        <f t="array" ref="D571">AVERAGE('SKU sales and Inventory'!D572:F572/30)</f>
        <v>0.9</v>
      </c>
      <c r="E571" s="13">
        <f t="shared" si="16"/>
        <v>27</v>
      </c>
      <c r="F571" s="7">
        <v>96</v>
      </c>
      <c r="G571" s="13">
        <f t="shared" si="17"/>
        <v>69</v>
      </c>
      <c r="L571" s="13"/>
    </row>
    <row r="572" spans="1:12" x14ac:dyDescent="0.3">
      <c r="A572" s="7" t="s">
        <v>624</v>
      </c>
      <c r="B572" s="7" t="s">
        <v>0</v>
      </c>
      <c r="C572" s="7" cm="1">
        <f t="array" ref="C572">_xlfn.IFS(B572="25-50%",45,B572="50-75%",30,B572="last 25%",30,B572="Retire",0,B572="Top 25 %",60,B572="REST",30)</f>
        <v>30</v>
      </c>
      <c r="D572" s="13" cm="1">
        <f t="array" ref="D572">AVERAGE('SKU sales and Inventory'!D573:F573/30)</f>
        <v>0.3666666666666667</v>
      </c>
      <c r="E572" s="13">
        <f t="shared" si="16"/>
        <v>11</v>
      </c>
      <c r="F572" s="7">
        <v>108</v>
      </c>
      <c r="G572" s="13">
        <f t="shared" si="17"/>
        <v>97</v>
      </c>
      <c r="L572" s="13"/>
    </row>
    <row r="573" spans="1:12" x14ac:dyDescent="0.3">
      <c r="A573" s="7" t="s">
        <v>625</v>
      </c>
      <c r="B573" s="7" t="s">
        <v>0</v>
      </c>
      <c r="C573" s="7" cm="1">
        <f t="array" ref="C573">_xlfn.IFS(B573="25-50%",45,B573="50-75%",30,B573="last 25%",30,B573="Retire",0,B573="Top 25 %",60,B573="REST",30)</f>
        <v>30</v>
      </c>
      <c r="D573" s="13" cm="1">
        <f t="array" ref="D573">AVERAGE('SKU sales and Inventory'!D574:F574/30)</f>
        <v>0.36666666666666664</v>
      </c>
      <c r="E573" s="13">
        <f t="shared" si="16"/>
        <v>11</v>
      </c>
      <c r="F573" s="7">
        <v>198</v>
      </c>
      <c r="G573" s="13">
        <f t="shared" si="17"/>
        <v>187</v>
      </c>
      <c r="L573" s="13"/>
    </row>
    <row r="574" spans="1:12" x14ac:dyDescent="0.3">
      <c r="A574" s="7" t="s">
        <v>626</v>
      </c>
      <c r="B574" s="7" t="s">
        <v>0</v>
      </c>
      <c r="C574" s="7" cm="1">
        <f t="array" ref="C574">_xlfn.IFS(B574="25-50%",45,B574="50-75%",30,B574="last 25%",30,B574="Retire",0,B574="Top 25 %",60,B574="REST",30)</f>
        <v>30</v>
      </c>
      <c r="D574" s="13" cm="1">
        <f t="array" ref="D574">AVERAGE('SKU sales and Inventory'!D575:F575/30)</f>
        <v>0.33333333333333331</v>
      </c>
      <c r="E574" s="13">
        <f t="shared" si="16"/>
        <v>10</v>
      </c>
      <c r="F574" s="7">
        <v>93</v>
      </c>
      <c r="G574" s="13">
        <f t="shared" si="17"/>
        <v>83</v>
      </c>
      <c r="L574" s="13"/>
    </row>
    <row r="575" spans="1:12" x14ac:dyDescent="0.3">
      <c r="A575" s="7" t="s">
        <v>627</v>
      </c>
      <c r="B575" s="7" t="s">
        <v>0</v>
      </c>
      <c r="C575" s="7" cm="1">
        <f t="array" ref="C575">_xlfn.IFS(B575="25-50%",45,B575="50-75%",30,B575="last 25%",30,B575="Retire",0,B575="Top 25 %",60,B575="REST",30)</f>
        <v>30</v>
      </c>
      <c r="D575" s="13" cm="1">
        <f t="array" ref="D575">AVERAGE('SKU sales and Inventory'!D576:F576/30)</f>
        <v>1.2333333333333334</v>
      </c>
      <c r="E575" s="13">
        <f t="shared" si="16"/>
        <v>37</v>
      </c>
      <c r="F575" s="7">
        <v>60</v>
      </c>
      <c r="G575" s="13">
        <f t="shared" si="17"/>
        <v>23</v>
      </c>
      <c r="L575" s="13"/>
    </row>
    <row r="576" spans="1:12" x14ac:dyDescent="0.3">
      <c r="A576" s="7" t="s">
        <v>628</v>
      </c>
      <c r="B576" s="7" t="s">
        <v>0</v>
      </c>
      <c r="C576" s="7" cm="1">
        <f t="array" ref="C576">_xlfn.IFS(B576="25-50%",45,B576="50-75%",30,B576="last 25%",30,B576="Retire",0,B576="Top 25 %",60,B576="REST",30)</f>
        <v>30</v>
      </c>
      <c r="D576" s="13" cm="1">
        <f t="array" ref="D576">AVERAGE('SKU sales and Inventory'!D577:F577/30)</f>
        <v>0.26666666666666666</v>
      </c>
      <c r="E576" s="13">
        <f t="shared" si="16"/>
        <v>8</v>
      </c>
      <c r="F576" s="7">
        <v>81</v>
      </c>
      <c r="G576" s="13">
        <f t="shared" si="17"/>
        <v>73</v>
      </c>
      <c r="L576" s="13"/>
    </row>
    <row r="577" spans="1:12" x14ac:dyDescent="0.3">
      <c r="A577" s="7" t="s">
        <v>629</v>
      </c>
      <c r="B577" s="7" t="s">
        <v>0</v>
      </c>
      <c r="C577" s="7" cm="1">
        <f t="array" ref="C577">_xlfn.IFS(B577="25-50%",45,B577="50-75%",30,B577="last 25%",30,B577="Retire",0,B577="Top 25 %",60,B577="REST",30)</f>
        <v>30</v>
      </c>
      <c r="D577" s="13" cm="1">
        <f t="array" ref="D577">AVERAGE('SKU sales and Inventory'!D578:F578/30)</f>
        <v>0.3666666666666667</v>
      </c>
      <c r="E577" s="13">
        <f t="shared" si="16"/>
        <v>11</v>
      </c>
      <c r="F577" s="7">
        <v>30</v>
      </c>
      <c r="G577" s="13">
        <f t="shared" si="17"/>
        <v>19</v>
      </c>
      <c r="L577" s="13"/>
    </row>
    <row r="578" spans="1:12" x14ac:dyDescent="0.3">
      <c r="A578" s="7" t="s">
        <v>630</v>
      </c>
      <c r="B578" s="7" t="s">
        <v>0</v>
      </c>
      <c r="C578" s="7" cm="1">
        <f t="array" ref="C578">_xlfn.IFS(B578="25-50%",45,B578="50-75%",30,B578="last 25%",30,B578="Retire",0,B578="Top 25 %",60,B578="REST",30)</f>
        <v>30</v>
      </c>
      <c r="D578" s="13" cm="1">
        <f t="array" ref="D578">AVERAGE('SKU sales and Inventory'!D579:F579/30)</f>
        <v>0.23333333333333336</v>
      </c>
      <c r="E578" s="13">
        <f t="shared" si="16"/>
        <v>7.0000000000000009</v>
      </c>
      <c r="F578" s="7">
        <v>21</v>
      </c>
      <c r="G578" s="13">
        <f t="shared" si="17"/>
        <v>14</v>
      </c>
      <c r="L578" s="13"/>
    </row>
    <row r="579" spans="1:12" x14ac:dyDescent="0.3">
      <c r="A579" s="7" t="s">
        <v>631</v>
      </c>
      <c r="B579" s="7" t="s">
        <v>0</v>
      </c>
      <c r="C579" s="7" cm="1">
        <f t="array" ref="C579">_xlfn.IFS(B579="25-50%",45,B579="50-75%",30,B579="last 25%",30,B579="Retire",0,B579="Top 25 %",60,B579="REST",30)</f>
        <v>30</v>
      </c>
      <c r="D579" s="13" cm="1">
        <f t="array" ref="D579">AVERAGE('SKU sales and Inventory'!D580:F580/30)</f>
        <v>0.26666666666666666</v>
      </c>
      <c r="E579" s="13">
        <f t="shared" ref="E579:E642" si="18">D579*C579</f>
        <v>8</v>
      </c>
      <c r="F579" s="7">
        <v>90</v>
      </c>
      <c r="G579" s="13">
        <f t="shared" ref="G579:G642" si="19">F579-E579</f>
        <v>82</v>
      </c>
      <c r="L579" s="13"/>
    </row>
    <row r="580" spans="1:12" x14ac:dyDescent="0.3">
      <c r="A580" s="7" t="s">
        <v>632</v>
      </c>
      <c r="B580" s="7" t="s">
        <v>0</v>
      </c>
      <c r="C580" s="7" cm="1">
        <f t="array" ref="C580">_xlfn.IFS(B580="25-50%",45,B580="50-75%",30,B580="last 25%",30,B580="Retire",0,B580="Top 25 %",60,B580="REST",30)</f>
        <v>30</v>
      </c>
      <c r="D580" s="13" cm="1">
        <f t="array" ref="D580">AVERAGE('SKU sales and Inventory'!D581:F581/30)</f>
        <v>0.13333333333333333</v>
      </c>
      <c r="E580" s="13">
        <f t="shared" si="18"/>
        <v>4</v>
      </c>
      <c r="F580" s="7">
        <v>27</v>
      </c>
      <c r="G580" s="13">
        <f t="shared" si="19"/>
        <v>23</v>
      </c>
      <c r="L580" s="13"/>
    </row>
    <row r="581" spans="1:12" x14ac:dyDescent="0.3">
      <c r="A581" s="7" t="s">
        <v>633</v>
      </c>
      <c r="B581" s="7" t="s">
        <v>0</v>
      </c>
      <c r="C581" s="7" cm="1">
        <f t="array" ref="C581">_xlfn.IFS(B581="25-50%",45,B581="50-75%",30,B581="last 25%",30,B581="Retire",0,B581="Top 25 %",60,B581="REST",30)</f>
        <v>30</v>
      </c>
      <c r="D581" s="13" cm="1">
        <f t="array" ref="D581">AVERAGE('SKU sales and Inventory'!D582:F582/30)</f>
        <v>0.10000000000000002</v>
      </c>
      <c r="E581" s="13">
        <f t="shared" si="18"/>
        <v>3.0000000000000004</v>
      </c>
      <c r="F581" s="7">
        <v>15</v>
      </c>
      <c r="G581" s="13">
        <f t="shared" si="19"/>
        <v>12</v>
      </c>
      <c r="L581" s="13"/>
    </row>
    <row r="582" spans="1:12" x14ac:dyDescent="0.3">
      <c r="A582" s="7" t="s">
        <v>634</v>
      </c>
      <c r="B582" s="7" t="s">
        <v>0</v>
      </c>
      <c r="C582" s="7" cm="1">
        <f t="array" ref="C582">_xlfn.IFS(B582="25-50%",45,B582="50-75%",30,B582="last 25%",30,B582="Retire",0,B582="Top 25 %",60,B582="REST",30)</f>
        <v>30</v>
      </c>
      <c r="D582" s="13" cm="1">
        <f t="array" ref="D582">AVERAGE('SKU sales and Inventory'!D583:F583/30)</f>
        <v>0.10000000000000002</v>
      </c>
      <c r="E582" s="13">
        <f t="shared" si="18"/>
        <v>3.0000000000000004</v>
      </c>
      <c r="F582" s="7">
        <v>48</v>
      </c>
      <c r="G582" s="13">
        <f t="shared" si="19"/>
        <v>45</v>
      </c>
      <c r="L582" s="13"/>
    </row>
    <row r="583" spans="1:12" x14ac:dyDescent="0.3">
      <c r="A583" s="7" t="s">
        <v>635</v>
      </c>
      <c r="B583" s="7" t="s">
        <v>0</v>
      </c>
      <c r="C583" s="7" cm="1">
        <f t="array" ref="C583">_xlfn.IFS(B583="25-50%",45,B583="50-75%",30,B583="last 25%",30,B583="Retire",0,B583="Top 25 %",60,B583="REST",30)</f>
        <v>30</v>
      </c>
      <c r="D583" s="13" cm="1">
        <f t="array" ref="D583">AVERAGE('SKU sales and Inventory'!D584:F584/30)</f>
        <v>6.6666666666666666E-2</v>
      </c>
      <c r="E583" s="13">
        <f t="shared" si="18"/>
        <v>2</v>
      </c>
      <c r="F583" s="7">
        <v>18</v>
      </c>
      <c r="G583" s="13">
        <f t="shared" si="19"/>
        <v>16</v>
      </c>
      <c r="L583" s="13"/>
    </row>
    <row r="584" spans="1:12" x14ac:dyDescent="0.3">
      <c r="A584" s="7" t="s">
        <v>636</v>
      </c>
      <c r="B584" s="7" t="s">
        <v>0</v>
      </c>
      <c r="C584" s="7" cm="1">
        <f t="array" ref="C584">_xlfn.IFS(B584="25-50%",45,B584="50-75%",30,B584="last 25%",30,B584="Retire",0,B584="Top 25 %",60,B584="REST",30)</f>
        <v>30</v>
      </c>
      <c r="D584" s="13" cm="1">
        <f t="array" ref="D584">AVERAGE('SKU sales and Inventory'!D585:F585/30)</f>
        <v>6.6666666666666666E-2</v>
      </c>
      <c r="E584" s="13">
        <f t="shared" si="18"/>
        <v>2</v>
      </c>
      <c r="F584" s="7">
        <v>12</v>
      </c>
      <c r="G584" s="13">
        <f t="shared" si="19"/>
        <v>10</v>
      </c>
      <c r="L584" s="13"/>
    </row>
    <row r="585" spans="1:12" x14ac:dyDescent="0.3">
      <c r="A585" s="7" t="s">
        <v>637</v>
      </c>
      <c r="B585" s="7" t="s">
        <v>0</v>
      </c>
      <c r="C585" s="7" cm="1">
        <f t="array" ref="C585">_xlfn.IFS(B585="25-50%",45,B585="50-75%",30,B585="last 25%",30,B585="Retire",0,B585="Top 25 %",60,B585="REST",30)</f>
        <v>30</v>
      </c>
      <c r="D585" s="13" cm="1">
        <f t="array" ref="D585">AVERAGE('SKU sales and Inventory'!D586:F586/30)</f>
        <v>0.43333333333333335</v>
      </c>
      <c r="E585" s="13">
        <f t="shared" si="18"/>
        <v>13</v>
      </c>
      <c r="F585" s="7">
        <v>18</v>
      </c>
      <c r="G585" s="13">
        <f t="shared" si="19"/>
        <v>5</v>
      </c>
      <c r="L585" s="13"/>
    </row>
    <row r="586" spans="1:12" x14ac:dyDescent="0.3">
      <c r="A586" s="7" t="s">
        <v>638</v>
      </c>
      <c r="B586" s="7" t="s">
        <v>0</v>
      </c>
      <c r="C586" s="7" cm="1">
        <f t="array" ref="C586">_xlfn.IFS(B586="25-50%",45,B586="50-75%",30,B586="last 25%",30,B586="Retire",0,B586="Top 25 %",60,B586="REST",30)</f>
        <v>30</v>
      </c>
      <c r="D586" s="13" cm="1">
        <f t="array" ref="D586">AVERAGE('SKU sales and Inventory'!D587:F587/30)</f>
        <v>0.3</v>
      </c>
      <c r="E586" s="13">
        <f t="shared" si="18"/>
        <v>9</v>
      </c>
      <c r="F586" s="7">
        <v>129</v>
      </c>
      <c r="G586" s="13">
        <f t="shared" si="19"/>
        <v>120</v>
      </c>
      <c r="L586" s="13"/>
    </row>
    <row r="587" spans="1:12" x14ac:dyDescent="0.3">
      <c r="A587" s="7" t="s">
        <v>639</v>
      </c>
      <c r="B587" s="7" t="s">
        <v>0</v>
      </c>
      <c r="C587" s="7" cm="1">
        <f t="array" ref="C587">_xlfn.IFS(B587="25-50%",45,B587="50-75%",30,B587="last 25%",30,B587="Retire",0,B587="Top 25 %",60,B587="REST",30)</f>
        <v>30</v>
      </c>
      <c r="D587" s="13" cm="1">
        <f t="array" ref="D587">AVERAGE('SKU sales and Inventory'!D588:F588/30)</f>
        <v>6.6666666666666666E-2</v>
      </c>
      <c r="E587" s="13">
        <f t="shared" si="18"/>
        <v>2</v>
      </c>
      <c r="F587" s="7">
        <v>12</v>
      </c>
      <c r="G587" s="13">
        <f t="shared" si="19"/>
        <v>10</v>
      </c>
      <c r="L587" s="13"/>
    </row>
    <row r="588" spans="1:12" x14ac:dyDescent="0.3">
      <c r="A588" s="7" t="s">
        <v>640</v>
      </c>
      <c r="B588" s="7" t="s">
        <v>0</v>
      </c>
      <c r="C588" s="7" cm="1">
        <f t="array" ref="C588">_xlfn.IFS(B588="25-50%",45,B588="50-75%",30,B588="last 25%",30,B588="Retire",0,B588="Top 25 %",60,B588="REST",30)</f>
        <v>30</v>
      </c>
      <c r="D588" s="13" cm="1">
        <f t="array" ref="D588">AVERAGE('SKU sales and Inventory'!D589:F589/30)</f>
        <v>0.13333333333333333</v>
      </c>
      <c r="E588" s="13">
        <f t="shared" si="18"/>
        <v>4</v>
      </c>
      <c r="F588" s="7">
        <v>54</v>
      </c>
      <c r="G588" s="13">
        <f t="shared" si="19"/>
        <v>50</v>
      </c>
      <c r="L588" s="13"/>
    </row>
    <row r="589" spans="1:12" x14ac:dyDescent="0.3">
      <c r="A589" s="7" t="s">
        <v>641</v>
      </c>
      <c r="B589" s="7" t="s">
        <v>0</v>
      </c>
      <c r="C589" s="7" cm="1">
        <f t="array" ref="C589">_xlfn.IFS(B589="25-50%",45,B589="50-75%",30,B589="last 25%",30,B589="Retire",0,B589="Top 25 %",60,B589="REST",30)</f>
        <v>30</v>
      </c>
      <c r="D589" s="13" cm="1">
        <f t="array" ref="D589">AVERAGE('SKU sales and Inventory'!D590:F590/30)</f>
        <v>3.3333333333333333E-2</v>
      </c>
      <c r="E589" s="13">
        <f t="shared" si="18"/>
        <v>1</v>
      </c>
      <c r="F589" s="7">
        <v>30</v>
      </c>
      <c r="G589" s="13">
        <f t="shared" si="19"/>
        <v>29</v>
      </c>
      <c r="L589" s="13"/>
    </row>
    <row r="590" spans="1:12" x14ac:dyDescent="0.3">
      <c r="A590" s="7" t="s">
        <v>642</v>
      </c>
      <c r="B590" s="7" t="s">
        <v>0</v>
      </c>
      <c r="C590" s="7" cm="1">
        <f t="array" ref="C590">_xlfn.IFS(B590="25-50%",45,B590="50-75%",30,B590="last 25%",30,B590="Retire",0,B590="Top 25 %",60,B590="REST",30)</f>
        <v>30</v>
      </c>
      <c r="D590" s="13" cm="1">
        <f t="array" ref="D590">AVERAGE('SKU sales and Inventory'!D591:F591/30)</f>
        <v>0.19999999999999998</v>
      </c>
      <c r="E590" s="13">
        <f t="shared" si="18"/>
        <v>5.9999999999999991</v>
      </c>
      <c r="F590" s="7">
        <v>39</v>
      </c>
      <c r="G590" s="13">
        <f t="shared" si="19"/>
        <v>33</v>
      </c>
      <c r="L590" s="13"/>
    </row>
    <row r="591" spans="1:12" x14ac:dyDescent="0.3">
      <c r="A591" s="7" t="s">
        <v>643</v>
      </c>
      <c r="B591" s="7" t="s">
        <v>0</v>
      </c>
      <c r="C591" s="7" cm="1">
        <f t="array" ref="C591">_xlfn.IFS(B591="25-50%",45,B591="50-75%",30,B591="last 25%",30,B591="Retire",0,B591="Top 25 %",60,B591="REST",30)</f>
        <v>30</v>
      </c>
      <c r="D591" s="13" cm="1">
        <f t="array" ref="D591">AVERAGE('SKU sales and Inventory'!D592:F592/30)</f>
        <v>3.3333333333333333E-2</v>
      </c>
      <c r="E591" s="13">
        <f t="shared" si="18"/>
        <v>1</v>
      </c>
      <c r="F591" s="7">
        <v>39</v>
      </c>
      <c r="G591" s="13">
        <f t="shared" si="19"/>
        <v>38</v>
      </c>
      <c r="L591" s="13"/>
    </row>
    <row r="592" spans="1:12" x14ac:dyDescent="0.3">
      <c r="A592" s="7" t="s">
        <v>644</v>
      </c>
      <c r="B592" s="7" t="s">
        <v>0</v>
      </c>
      <c r="C592" s="7" cm="1">
        <f t="array" ref="C592">_xlfn.IFS(B592="25-50%",45,B592="50-75%",30,B592="last 25%",30,B592="Retire",0,B592="Top 25 %",60,B592="REST",30)</f>
        <v>30</v>
      </c>
      <c r="D592" s="13" cm="1">
        <f t="array" ref="D592">AVERAGE('SKU sales and Inventory'!D593:F593/30)</f>
        <v>0.13333333333333333</v>
      </c>
      <c r="E592" s="13">
        <f t="shared" si="18"/>
        <v>4</v>
      </c>
      <c r="F592" s="7">
        <v>45</v>
      </c>
      <c r="G592" s="13">
        <f t="shared" si="19"/>
        <v>41</v>
      </c>
      <c r="L592" s="13"/>
    </row>
    <row r="593" spans="1:12" x14ac:dyDescent="0.3">
      <c r="A593" s="7" t="s">
        <v>645</v>
      </c>
      <c r="B593" s="7" t="s">
        <v>0</v>
      </c>
      <c r="C593" s="7" cm="1">
        <f t="array" ref="C593">_xlfn.IFS(B593="25-50%",45,B593="50-75%",30,B593="last 25%",30,B593="Retire",0,B593="Top 25 %",60,B593="REST",30)</f>
        <v>30</v>
      </c>
      <c r="D593" s="13" cm="1">
        <f t="array" ref="D593">AVERAGE('SKU sales and Inventory'!D594:F594/30)</f>
        <v>6.6666666666666666E-2</v>
      </c>
      <c r="E593" s="13">
        <f t="shared" si="18"/>
        <v>2</v>
      </c>
      <c r="F593" s="7">
        <v>12</v>
      </c>
      <c r="G593" s="13">
        <f t="shared" si="19"/>
        <v>10</v>
      </c>
      <c r="L593" s="13"/>
    </row>
    <row r="594" spans="1:12" x14ac:dyDescent="0.3">
      <c r="A594" s="7" t="s">
        <v>646</v>
      </c>
      <c r="B594" s="7" t="s">
        <v>0</v>
      </c>
      <c r="C594" s="7" cm="1">
        <f t="array" ref="C594">_xlfn.IFS(B594="25-50%",45,B594="50-75%",30,B594="last 25%",30,B594="Retire",0,B594="Top 25 %",60,B594="REST",30)</f>
        <v>30</v>
      </c>
      <c r="D594" s="13" cm="1">
        <f t="array" ref="D594">AVERAGE('SKU sales and Inventory'!D595:F595/30)</f>
        <v>3.3333333333333333E-2</v>
      </c>
      <c r="E594" s="13">
        <f t="shared" si="18"/>
        <v>1</v>
      </c>
      <c r="F594" s="7">
        <v>9</v>
      </c>
      <c r="G594" s="13">
        <f t="shared" si="19"/>
        <v>8</v>
      </c>
      <c r="L594" s="13"/>
    </row>
    <row r="595" spans="1:12" x14ac:dyDescent="0.3">
      <c r="A595" s="7" t="s">
        <v>647</v>
      </c>
      <c r="B595" s="7" t="s">
        <v>0</v>
      </c>
      <c r="C595" s="7" cm="1">
        <f t="array" ref="C595">_xlfn.IFS(B595="25-50%",45,B595="50-75%",30,B595="last 25%",30,B595="Retire",0,B595="Top 25 %",60,B595="REST",30)</f>
        <v>30</v>
      </c>
      <c r="D595" s="13" cm="1">
        <f t="array" ref="D595">AVERAGE('SKU sales and Inventory'!D596:F596/30)</f>
        <v>3.3333333333333333E-2</v>
      </c>
      <c r="E595" s="13">
        <f t="shared" si="18"/>
        <v>1</v>
      </c>
      <c r="F595" s="7">
        <v>30</v>
      </c>
      <c r="G595" s="13">
        <f t="shared" si="19"/>
        <v>29</v>
      </c>
      <c r="L595" s="13"/>
    </row>
    <row r="596" spans="1:12" x14ac:dyDescent="0.3">
      <c r="A596" s="7" t="s">
        <v>648</v>
      </c>
      <c r="B596" s="7" t="s">
        <v>0</v>
      </c>
      <c r="C596" s="7" cm="1">
        <f t="array" ref="C596">_xlfn.IFS(B596="25-50%",45,B596="50-75%",30,B596="last 25%",30,B596="Retire",0,B596="Top 25 %",60,B596="REST",30)</f>
        <v>30</v>
      </c>
      <c r="D596" s="13" cm="1">
        <f t="array" ref="D596">AVERAGE('SKU sales and Inventory'!D597:F597/30)</f>
        <v>3.3333333333333333E-2</v>
      </c>
      <c r="E596" s="13">
        <f t="shared" si="18"/>
        <v>1</v>
      </c>
      <c r="F596" s="7">
        <v>141</v>
      </c>
      <c r="G596" s="13">
        <f t="shared" si="19"/>
        <v>140</v>
      </c>
      <c r="L596" s="13"/>
    </row>
    <row r="597" spans="1:12" x14ac:dyDescent="0.3">
      <c r="A597" s="7" t="s">
        <v>649</v>
      </c>
      <c r="B597" s="7" t="s">
        <v>0</v>
      </c>
      <c r="C597" s="7" cm="1">
        <f t="array" ref="C597">_xlfn.IFS(B597="25-50%",45,B597="50-75%",30,B597="last 25%",30,B597="Retire",0,B597="Top 25 %",60,B597="REST",30)</f>
        <v>30</v>
      </c>
      <c r="D597" s="13" cm="1">
        <f t="array" ref="D597">AVERAGE('SKU sales and Inventory'!D598:F598/30)</f>
        <v>3.3333333333333333E-2</v>
      </c>
      <c r="E597" s="13">
        <f t="shared" si="18"/>
        <v>1</v>
      </c>
      <c r="F597" s="7">
        <v>99</v>
      </c>
      <c r="G597" s="13">
        <f t="shared" si="19"/>
        <v>98</v>
      </c>
      <c r="L597" s="13"/>
    </row>
    <row r="598" spans="1:12" x14ac:dyDescent="0.3">
      <c r="A598" s="7" t="s">
        <v>650</v>
      </c>
      <c r="B598" s="7" t="s">
        <v>0</v>
      </c>
      <c r="C598" s="7" cm="1">
        <f t="array" ref="C598">_xlfn.IFS(B598="25-50%",45,B598="50-75%",30,B598="last 25%",30,B598="Retire",0,B598="Top 25 %",60,B598="REST",30)</f>
        <v>30</v>
      </c>
      <c r="D598" s="13" cm="1">
        <f t="array" ref="D598">AVERAGE('SKU sales and Inventory'!D599:F599/30)</f>
        <v>3.3333333333333333E-2</v>
      </c>
      <c r="E598" s="13">
        <f t="shared" si="18"/>
        <v>1</v>
      </c>
      <c r="F598" s="7">
        <v>9</v>
      </c>
      <c r="G598" s="13">
        <f t="shared" si="19"/>
        <v>8</v>
      </c>
      <c r="L598" s="13"/>
    </row>
    <row r="599" spans="1:12" x14ac:dyDescent="0.3">
      <c r="A599" s="7" t="s">
        <v>651</v>
      </c>
      <c r="B599" s="7" t="s">
        <v>3</v>
      </c>
      <c r="C599" s="7" cm="1">
        <f t="array" ref="C599">_xlfn.IFS(B599="25-50%",45,B599="50-75%",30,B599="last 25%",30,B599="Retire",0,B599="Top 25 %",60,B599="REST",30)</f>
        <v>0</v>
      </c>
      <c r="D599" s="13" cm="1">
        <f t="array" ref="D599">AVERAGE('SKU sales and Inventory'!D600:F600/30)</f>
        <v>0.3</v>
      </c>
      <c r="E599" s="13">
        <f t="shared" si="18"/>
        <v>0</v>
      </c>
      <c r="F599" s="7">
        <v>69</v>
      </c>
      <c r="G599" s="13">
        <f t="shared" si="19"/>
        <v>69</v>
      </c>
      <c r="L599" s="13"/>
    </row>
    <row r="600" spans="1:12" x14ac:dyDescent="0.3">
      <c r="A600" s="7" t="s">
        <v>652</v>
      </c>
      <c r="B600" s="7" t="s">
        <v>2</v>
      </c>
      <c r="C600" s="7" cm="1">
        <f t="array" ref="C600">_xlfn.IFS(B600="25-50%",45,B600="50-75%",30,B600="last 25%",30,B600="Retire",0,B600="Top 25 %",60,B600="REST",30)</f>
        <v>45</v>
      </c>
      <c r="D600" s="13" cm="1">
        <f t="array" ref="D600">AVERAGE('SKU sales and Inventory'!D601:F601/30)</f>
        <v>0.3666666666666667</v>
      </c>
      <c r="E600" s="13">
        <f t="shared" si="18"/>
        <v>16.5</v>
      </c>
      <c r="F600" s="7">
        <v>12</v>
      </c>
      <c r="G600" s="13">
        <f t="shared" si="19"/>
        <v>-4.5</v>
      </c>
      <c r="L600" s="13"/>
    </row>
    <row r="601" spans="1:12" x14ac:dyDescent="0.3">
      <c r="A601" s="7" t="s">
        <v>653</v>
      </c>
      <c r="B601" s="7" t="s">
        <v>2</v>
      </c>
      <c r="C601" s="7" cm="1">
        <f t="array" ref="C601">_xlfn.IFS(B601="25-50%",45,B601="50-75%",30,B601="last 25%",30,B601="Retire",0,B601="Top 25 %",60,B601="REST",30)</f>
        <v>45</v>
      </c>
      <c r="D601" s="13" cm="1">
        <f t="array" ref="D601">AVERAGE('SKU sales and Inventory'!D602:F602/30)</f>
        <v>0.43333333333333335</v>
      </c>
      <c r="E601" s="13">
        <f t="shared" si="18"/>
        <v>19.5</v>
      </c>
      <c r="F601" s="7">
        <v>24</v>
      </c>
      <c r="G601" s="13">
        <f t="shared" si="19"/>
        <v>4.5</v>
      </c>
      <c r="L601" s="13"/>
    </row>
    <row r="602" spans="1:12" x14ac:dyDescent="0.3">
      <c r="A602" s="7" t="s">
        <v>654</v>
      </c>
      <c r="B602" s="7" t="s">
        <v>1</v>
      </c>
      <c r="C602" s="7" cm="1">
        <f t="array" ref="C602">_xlfn.IFS(B602="25-50%",45,B602="50-75%",30,B602="last 25%",30,B602="Retire",0,B602="Top 25 %",60,B602="REST",30)</f>
        <v>30</v>
      </c>
      <c r="D602" s="13" cm="1">
        <f t="array" ref="D602">AVERAGE('SKU sales and Inventory'!D603:F603/30)</f>
        <v>0</v>
      </c>
      <c r="E602" s="13">
        <f t="shared" si="18"/>
        <v>0</v>
      </c>
      <c r="F602" s="7">
        <v>3</v>
      </c>
      <c r="G602" s="13">
        <f t="shared" si="19"/>
        <v>3</v>
      </c>
      <c r="L602" s="13"/>
    </row>
    <row r="603" spans="1:12" x14ac:dyDescent="0.3">
      <c r="A603" s="7" t="s">
        <v>655</v>
      </c>
      <c r="B603" s="7" t="s">
        <v>0</v>
      </c>
      <c r="C603" s="7" cm="1">
        <f t="array" ref="C603">_xlfn.IFS(B603="25-50%",45,B603="50-75%",30,B603="last 25%",30,B603="Retire",0,B603="Top 25 %",60,B603="REST",30)</f>
        <v>30</v>
      </c>
      <c r="D603" s="13" cm="1">
        <f t="array" ref="D603">AVERAGE('SKU sales and Inventory'!D604:F604/30)</f>
        <v>0.6</v>
      </c>
      <c r="E603" s="13">
        <f t="shared" si="18"/>
        <v>18</v>
      </c>
      <c r="F603" s="7">
        <v>42</v>
      </c>
      <c r="G603" s="13">
        <f t="shared" si="19"/>
        <v>24</v>
      </c>
      <c r="L603" s="13"/>
    </row>
    <row r="604" spans="1:12" x14ac:dyDescent="0.3">
      <c r="A604" s="7" t="s">
        <v>656</v>
      </c>
      <c r="B604" s="7" t="s">
        <v>0</v>
      </c>
      <c r="C604" s="7" cm="1">
        <f t="array" ref="C604">_xlfn.IFS(B604="25-50%",45,B604="50-75%",30,B604="last 25%",30,B604="Retire",0,B604="Top 25 %",60,B604="REST",30)</f>
        <v>30</v>
      </c>
      <c r="D604" s="13" cm="1">
        <f t="array" ref="D604">AVERAGE('SKU sales and Inventory'!D605:F605/30)</f>
        <v>0.46666666666666662</v>
      </c>
      <c r="E604" s="13">
        <f t="shared" si="18"/>
        <v>13.999999999999998</v>
      </c>
      <c r="F604" s="7">
        <v>222</v>
      </c>
      <c r="G604" s="13">
        <f t="shared" si="19"/>
        <v>208</v>
      </c>
      <c r="L604" s="13"/>
    </row>
    <row r="605" spans="1:12" x14ac:dyDescent="0.3">
      <c r="A605" s="7" t="s">
        <v>657</v>
      </c>
      <c r="B605" s="7" t="s">
        <v>0</v>
      </c>
      <c r="C605" s="7" cm="1">
        <f t="array" ref="C605">_xlfn.IFS(B605="25-50%",45,B605="50-75%",30,B605="last 25%",30,B605="Retire",0,B605="Top 25 %",60,B605="REST",30)</f>
        <v>30</v>
      </c>
      <c r="D605" s="13" cm="1">
        <f t="array" ref="D605">AVERAGE('SKU sales and Inventory'!D606:F606/30)</f>
        <v>0.3666666666666667</v>
      </c>
      <c r="E605" s="13">
        <f t="shared" si="18"/>
        <v>11</v>
      </c>
      <c r="F605" s="7">
        <v>96</v>
      </c>
      <c r="G605" s="13">
        <f t="shared" si="19"/>
        <v>85</v>
      </c>
      <c r="L605" s="13"/>
    </row>
    <row r="606" spans="1:12" x14ac:dyDescent="0.3">
      <c r="A606" s="7" t="s">
        <v>658</v>
      </c>
      <c r="B606" s="7" t="s">
        <v>0</v>
      </c>
      <c r="C606" s="7" cm="1">
        <f t="array" ref="C606">_xlfn.IFS(B606="25-50%",45,B606="50-75%",30,B606="last 25%",30,B606="Retire",0,B606="Top 25 %",60,B606="REST",30)</f>
        <v>30</v>
      </c>
      <c r="D606" s="13" cm="1">
        <f t="array" ref="D606">AVERAGE('SKU sales and Inventory'!D607:F607/30)</f>
        <v>0.26666666666666666</v>
      </c>
      <c r="E606" s="13">
        <f t="shared" si="18"/>
        <v>8</v>
      </c>
      <c r="F606" s="7">
        <v>12</v>
      </c>
      <c r="G606" s="13">
        <f t="shared" si="19"/>
        <v>4</v>
      </c>
      <c r="L606" s="13"/>
    </row>
    <row r="607" spans="1:12" x14ac:dyDescent="0.3">
      <c r="A607" s="7" t="s">
        <v>659</v>
      </c>
      <c r="B607" s="7" t="s">
        <v>0</v>
      </c>
      <c r="C607" s="7" cm="1">
        <f t="array" ref="C607">_xlfn.IFS(B607="25-50%",45,B607="50-75%",30,B607="last 25%",30,B607="Retire",0,B607="Top 25 %",60,B607="REST",30)</f>
        <v>30</v>
      </c>
      <c r="D607" s="13" cm="1">
        <f t="array" ref="D607">AVERAGE('SKU sales and Inventory'!D608:F608/30)</f>
        <v>0.3666666666666667</v>
      </c>
      <c r="E607" s="13">
        <f t="shared" si="18"/>
        <v>11</v>
      </c>
      <c r="F607" s="7">
        <v>153</v>
      </c>
      <c r="G607" s="13">
        <f t="shared" si="19"/>
        <v>142</v>
      </c>
      <c r="L607" s="13"/>
    </row>
    <row r="608" spans="1:12" x14ac:dyDescent="0.3">
      <c r="A608" s="7" t="s">
        <v>660</v>
      </c>
      <c r="B608" s="7" t="s">
        <v>0</v>
      </c>
      <c r="C608" s="7" cm="1">
        <f t="array" ref="C608">_xlfn.IFS(B608="25-50%",45,B608="50-75%",30,B608="last 25%",30,B608="Retire",0,B608="Top 25 %",60,B608="REST",30)</f>
        <v>30</v>
      </c>
      <c r="D608" s="13" cm="1">
        <f t="array" ref="D608">AVERAGE('SKU sales and Inventory'!D609:F609/30)</f>
        <v>0.10000000000000002</v>
      </c>
      <c r="E608" s="13">
        <f t="shared" si="18"/>
        <v>3.0000000000000004</v>
      </c>
      <c r="F608" s="7">
        <v>66</v>
      </c>
      <c r="G608" s="13">
        <f t="shared" si="19"/>
        <v>63</v>
      </c>
      <c r="L608" s="13"/>
    </row>
    <row r="609" spans="1:12" x14ac:dyDescent="0.3">
      <c r="A609" s="7" t="s">
        <v>661</v>
      </c>
      <c r="B609" s="7" t="s">
        <v>0</v>
      </c>
      <c r="C609" s="7" cm="1">
        <f t="array" ref="C609">_xlfn.IFS(B609="25-50%",45,B609="50-75%",30,B609="last 25%",30,B609="Retire",0,B609="Top 25 %",60,B609="REST",30)</f>
        <v>30</v>
      </c>
      <c r="D609" s="13" cm="1">
        <f t="array" ref="D609">AVERAGE('SKU sales and Inventory'!D610:F610/30)</f>
        <v>0.10000000000000002</v>
      </c>
      <c r="E609" s="13">
        <f t="shared" si="18"/>
        <v>3.0000000000000004</v>
      </c>
      <c r="F609" s="7">
        <v>15</v>
      </c>
      <c r="G609" s="13">
        <f t="shared" si="19"/>
        <v>12</v>
      </c>
      <c r="L609" s="13"/>
    </row>
    <row r="610" spans="1:12" x14ac:dyDescent="0.3">
      <c r="A610" s="7" t="s">
        <v>662</v>
      </c>
      <c r="B610" s="7" t="s">
        <v>0</v>
      </c>
      <c r="C610" s="7" cm="1">
        <f t="array" ref="C610">_xlfn.IFS(B610="25-50%",45,B610="50-75%",30,B610="last 25%",30,B610="Retire",0,B610="Top 25 %",60,B610="REST",30)</f>
        <v>30</v>
      </c>
      <c r="D610" s="13" cm="1">
        <f t="array" ref="D610">AVERAGE('SKU sales and Inventory'!D611:F611/30)</f>
        <v>0.10000000000000002</v>
      </c>
      <c r="E610" s="13">
        <f t="shared" si="18"/>
        <v>3.0000000000000004</v>
      </c>
      <c r="F610" s="7">
        <v>0</v>
      </c>
      <c r="G610" s="13">
        <f t="shared" si="19"/>
        <v>-3.0000000000000004</v>
      </c>
      <c r="L610" s="13"/>
    </row>
    <row r="611" spans="1:12" x14ac:dyDescent="0.3">
      <c r="A611" s="7" t="s">
        <v>663</v>
      </c>
      <c r="B611" s="7" t="s">
        <v>0</v>
      </c>
      <c r="C611" s="7" cm="1">
        <f t="array" ref="C611">_xlfn.IFS(B611="25-50%",45,B611="50-75%",30,B611="last 25%",30,B611="Retire",0,B611="Top 25 %",60,B611="REST",30)</f>
        <v>30</v>
      </c>
      <c r="D611" s="13" cm="1">
        <f t="array" ref="D611">AVERAGE('SKU sales and Inventory'!D612:F612/30)</f>
        <v>6.6666666666666666E-2</v>
      </c>
      <c r="E611" s="13">
        <f t="shared" si="18"/>
        <v>2</v>
      </c>
      <c r="F611" s="7">
        <v>6</v>
      </c>
      <c r="G611" s="13">
        <f t="shared" si="19"/>
        <v>4</v>
      </c>
      <c r="L611" s="13"/>
    </row>
    <row r="612" spans="1:12" x14ac:dyDescent="0.3">
      <c r="A612" s="7" t="s">
        <v>664</v>
      </c>
      <c r="B612" s="7" t="s">
        <v>0</v>
      </c>
      <c r="C612" s="7" cm="1">
        <f t="array" ref="C612">_xlfn.IFS(B612="25-50%",45,B612="50-75%",30,B612="last 25%",30,B612="Retire",0,B612="Top 25 %",60,B612="REST",30)</f>
        <v>30</v>
      </c>
      <c r="D612" s="13" cm="1">
        <f t="array" ref="D612">AVERAGE('SKU sales and Inventory'!D613:F613/30)</f>
        <v>6.6666666666666666E-2</v>
      </c>
      <c r="E612" s="13">
        <f t="shared" si="18"/>
        <v>2</v>
      </c>
      <c r="F612" s="7">
        <v>15</v>
      </c>
      <c r="G612" s="13">
        <f t="shared" si="19"/>
        <v>13</v>
      </c>
      <c r="L612" s="13"/>
    </row>
    <row r="613" spans="1:12" x14ac:dyDescent="0.3">
      <c r="A613" s="7" t="s">
        <v>665</v>
      </c>
      <c r="B613" s="7" t="s">
        <v>0</v>
      </c>
      <c r="C613" s="7" cm="1">
        <f t="array" ref="C613">_xlfn.IFS(B613="25-50%",45,B613="50-75%",30,B613="last 25%",30,B613="Retire",0,B613="Top 25 %",60,B613="REST",30)</f>
        <v>30</v>
      </c>
      <c r="D613" s="13" cm="1">
        <f t="array" ref="D613">AVERAGE('SKU sales and Inventory'!D614:F614/30)</f>
        <v>0.10000000000000002</v>
      </c>
      <c r="E613" s="13">
        <f t="shared" si="18"/>
        <v>3.0000000000000004</v>
      </c>
      <c r="F613" s="7">
        <v>21</v>
      </c>
      <c r="G613" s="13">
        <f t="shared" si="19"/>
        <v>18</v>
      </c>
      <c r="L613" s="13"/>
    </row>
    <row r="614" spans="1:12" x14ac:dyDescent="0.3">
      <c r="A614" s="7" t="s">
        <v>666</v>
      </c>
      <c r="B614" s="7" t="s">
        <v>0</v>
      </c>
      <c r="C614" s="7" cm="1">
        <f t="array" ref="C614">_xlfn.IFS(B614="25-50%",45,B614="50-75%",30,B614="last 25%",30,B614="Retire",0,B614="Top 25 %",60,B614="REST",30)</f>
        <v>30</v>
      </c>
      <c r="D614" s="13" cm="1">
        <f t="array" ref="D614">AVERAGE('SKU sales and Inventory'!D615:F615/30)</f>
        <v>0.13333333333333333</v>
      </c>
      <c r="E614" s="13">
        <f t="shared" si="18"/>
        <v>4</v>
      </c>
      <c r="F614" s="7">
        <v>42</v>
      </c>
      <c r="G614" s="13">
        <f t="shared" si="19"/>
        <v>38</v>
      </c>
      <c r="L614" s="13"/>
    </row>
    <row r="615" spans="1:12" x14ac:dyDescent="0.3">
      <c r="A615" s="7" t="s">
        <v>667</v>
      </c>
      <c r="B615" s="7" t="s">
        <v>0</v>
      </c>
      <c r="C615" s="7" cm="1">
        <f t="array" ref="C615">_xlfn.IFS(B615="25-50%",45,B615="50-75%",30,B615="last 25%",30,B615="Retire",0,B615="Top 25 %",60,B615="REST",30)</f>
        <v>30</v>
      </c>
      <c r="D615" s="13" cm="1">
        <f t="array" ref="D615">AVERAGE('SKU sales and Inventory'!D616:F616/30)</f>
        <v>3.3333333333333333E-2</v>
      </c>
      <c r="E615" s="13">
        <f t="shared" si="18"/>
        <v>1</v>
      </c>
      <c r="F615" s="7">
        <v>24</v>
      </c>
      <c r="G615" s="13">
        <f t="shared" si="19"/>
        <v>23</v>
      </c>
      <c r="L615" s="13"/>
    </row>
    <row r="616" spans="1:12" x14ac:dyDescent="0.3">
      <c r="A616" s="7" t="s">
        <v>668</v>
      </c>
      <c r="B616" s="7" t="s">
        <v>0</v>
      </c>
      <c r="C616" s="7" cm="1">
        <f t="array" ref="C616">_xlfn.IFS(B616="25-50%",45,B616="50-75%",30,B616="last 25%",30,B616="Retire",0,B616="Top 25 %",60,B616="REST",30)</f>
        <v>30</v>
      </c>
      <c r="D616" s="13" cm="1">
        <f t="array" ref="D616">AVERAGE('SKU sales and Inventory'!D617:F617/30)</f>
        <v>6.6666666666666666E-2</v>
      </c>
      <c r="E616" s="13">
        <f t="shared" si="18"/>
        <v>2</v>
      </c>
      <c r="F616" s="7">
        <v>18</v>
      </c>
      <c r="G616" s="13">
        <f t="shared" si="19"/>
        <v>16</v>
      </c>
      <c r="L616" s="13"/>
    </row>
    <row r="617" spans="1:12" x14ac:dyDescent="0.3">
      <c r="A617" s="7" t="s">
        <v>669</v>
      </c>
      <c r="B617" s="7" t="s">
        <v>0</v>
      </c>
      <c r="C617" s="7" cm="1">
        <f t="array" ref="C617">_xlfn.IFS(B617="25-50%",45,B617="50-75%",30,B617="last 25%",30,B617="Retire",0,B617="Top 25 %",60,B617="REST",30)</f>
        <v>30</v>
      </c>
      <c r="D617" s="13" cm="1">
        <f t="array" ref="D617">AVERAGE('SKU sales and Inventory'!D618:F618/30)</f>
        <v>3.3333333333333333E-2</v>
      </c>
      <c r="E617" s="13">
        <f t="shared" si="18"/>
        <v>1</v>
      </c>
      <c r="F617" s="7">
        <v>75</v>
      </c>
      <c r="G617" s="13">
        <f t="shared" si="19"/>
        <v>74</v>
      </c>
      <c r="L617" s="13"/>
    </row>
    <row r="618" spans="1:12" x14ac:dyDescent="0.3">
      <c r="A618" s="7" t="s">
        <v>670</v>
      </c>
      <c r="B618" s="7" t="s">
        <v>0</v>
      </c>
      <c r="C618" s="7" cm="1">
        <f t="array" ref="C618">_xlfn.IFS(B618="25-50%",45,B618="50-75%",30,B618="last 25%",30,B618="Retire",0,B618="Top 25 %",60,B618="REST",30)</f>
        <v>30</v>
      </c>
      <c r="D618" s="13" cm="1">
        <f t="array" ref="D618">AVERAGE('SKU sales and Inventory'!D619:F619/30)</f>
        <v>0.10000000000000002</v>
      </c>
      <c r="E618" s="13">
        <f t="shared" si="18"/>
        <v>3.0000000000000004</v>
      </c>
      <c r="F618" s="7">
        <v>57</v>
      </c>
      <c r="G618" s="13">
        <f t="shared" si="19"/>
        <v>54</v>
      </c>
      <c r="L618" s="13"/>
    </row>
    <row r="619" spans="1:12" x14ac:dyDescent="0.3">
      <c r="A619" s="7" t="s">
        <v>671</v>
      </c>
      <c r="B619" s="7" t="s">
        <v>0</v>
      </c>
      <c r="C619" s="7" cm="1">
        <f t="array" ref="C619">_xlfn.IFS(B619="25-50%",45,B619="50-75%",30,B619="last 25%",30,B619="Retire",0,B619="Top 25 %",60,B619="REST",30)</f>
        <v>30</v>
      </c>
      <c r="D619" s="13" cm="1">
        <f t="array" ref="D619">AVERAGE('SKU sales and Inventory'!D620:F620/30)</f>
        <v>6.6666666666666666E-2</v>
      </c>
      <c r="E619" s="13">
        <f t="shared" si="18"/>
        <v>2</v>
      </c>
      <c r="F619" s="7">
        <v>12</v>
      </c>
      <c r="G619" s="13">
        <f t="shared" si="19"/>
        <v>10</v>
      </c>
      <c r="L619" s="13"/>
    </row>
    <row r="620" spans="1:12" x14ac:dyDescent="0.3">
      <c r="A620" s="7" t="s">
        <v>672</v>
      </c>
      <c r="B620" s="7" t="s">
        <v>0</v>
      </c>
      <c r="C620" s="7" cm="1">
        <f t="array" ref="C620">_xlfn.IFS(B620="25-50%",45,B620="50-75%",30,B620="last 25%",30,B620="Retire",0,B620="Top 25 %",60,B620="REST",30)</f>
        <v>30</v>
      </c>
      <c r="D620" s="13" cm="1">
        <f t="array" ref="D620">AVERAGE('SKU sales and Inventory'!D621:F621/30)</f>
        <v>0.16666666666666666</v>
      </c>
      <c r="E620" s="13">
        <f t="shared" si="18"/>
        <v>5</v>
      </c>
      <c r="F620" s="7">
        <v>174</v>
      </c>
      <c r="G620" s="13">
        <f t="shared" si="19"/>
        <v>169</v>
      </c>
      <c r="L620" s="13"/>
    </row>
    <row r="621" spans="1:12" x14ac:dyDescent="0.3">
      <c r="A621" s="7" t="s">
        <v>673</v>
      </c>
      <c r="B621" s="7" t="s">
        <v>0</v>
      </c>
      <c r="C621" s="7" cm="1">
        <f t="array" ref="C621">_xlfn.IFS(B621="25-50%",45,B621="50-75%",30,B621="last 25%",30,B621="Retire",0,B621="Top 25 %",60,B621="REST",30)</f>
        <v>30</v>
      </c>
      <c r="D621" s="13" cm="1">
        <f t="array" ref="D621">AVERAGE('SKU sales and Inventory'!D622:F622/30)</f>
        <v>3.3333333333333333E-2</v>
      </c>
      <c r="E621" s="13">
        <f t="shared" si="18"/>
        <v>1</v>
      </c>
      <c r="F621" s="7">
        <v>18</v>
      </c>
      <c r="G621" s="13">
        <f t="shared" si="19"/>
        <v>17</v>
      </c>
      <c r="L621" s="13"/>
    </row>
    <row r="622" spans="1:12" x14ac:dyDescent="0.3">
      <c r="A622" s="7" t="s">
        <v>674</v>
      </c>
      <c r="B622" s="7" t="s">
        <v>0</v>
      </c>
      <c r="C622" s="7" cm="1">
        <f t="array" ref="C622">_xlfn.IFS(B622="25-50%",45,B622="50-75%",30,B622="last 25%",30,B622="Retire",0,B622="Top 25 %",60,B622="REST",30)</f>
        <v>30</v>
      </c>
      <c r="D622" s="13" cm="1">
        <f t="array" ref="D622">AVERAGE('SKU sales and Inventory'!D623:F623/30)</f>
        <v>6.6666666666666666E-2</v>
      </c>
      <c r="E622" s="13">
        <f t="shared" si="18"/>
        <v>2</v>
      </c>
      <c r="F622" s="7">
        <v>21</v>
      </c>
      <c r="G622" s="13">
        <f t="shared" si="19"/>
        <v>19</v>
      </c>
      <c r="L622" s="13"/>
    </row>
    <row r="623" spans="1:12" x14ac:dyDescent="0.3">
      <c r="A623" s="7" t="s">
        <v>675</v>
      </c>
      <c r="B623" s="7" t="s">
        <v>0</v>
      </c>
      <c r="C623" s="7" cm="1">
        <f t="array" ref="C623">_xlfn.IFS(B623="25-50%",45,B623="50-75%",30,B623="last 25%",30,B623="Retire",0,B623="Top 25 %",60,B623="REST",30)</f>
        <v>30</v>
      </c>
      <c r="D623" s="13" cm="1">
        <f t="array" ref="D623">AVERAGE('SKU sales and Inventory'!D624:F624/30)</f>
        <v>0.46666666666666673</v>
      </c>
      <c r="E623" s="13">
        <f t="shared" si="18"/>
        <v>14.000000000000002</v>
      </c>
      <c r="F623" s="7">
        <v>33</v>
      </c>
      <c r="G623" s="13">
        <f t="shared" si="19"/>
        <v>19</v>
      </c>
      <c r="L623" s="13"/>
    </row>
    <row r="624" spans="1:12" x14ac:dyDescent="0.3">
      <c r="A624" s="7" t="s">
        <v>676</v>
      </c>
      <c r="B624" s="7" t="s">
        <v>0</v>
      </c>
      <c r="C624" s="7" cm="1">
        <f t="array" ref="C624">_xlfn.IFS(B624="25-50%",45,B624="50-75%",30,B624="last 25%",30,B624="Retire",0,B624="Top 25 %",60,B624="REST",30)</f>
        <v>30</v>
      </c>
      <c r="D624" s="13" cm="1">
        <f t="array" ref="D624">AVERAGE('SKU sales and Inventory'!D625:F625/30)</f>
        <v>6.6666666666666666E-2</v>
      </c>
      <c r="E624" s="13">
        <f t="shared" si="18"/>
        <v>2</v>
      </c>
      <c r="F624" s="7">
        <v>15</v>
      </c>
      <c r="G624" s="13">
        <f t="shared" si="19"/>
        <v>13</v>
      </c>
      <c r="L624" s="13"/>
    </row>
    <row r="625" spans="1:12" x14ac:dyDescent="0.3">
      <c r="A625" s="7" t="s">
        <v>677</v>
      </c>
      <c r="B625" s="7" t="s">
        <v>0</v>
      </c>
      <c r="C625" s="7" cm="1">
        <f t="array" ref="C625">_xlfn.IFS(B625="25-50%",45,B625="50-75%",30,B625="last 25%",30,B625="Retire",0,B625="Top 25 %",60,B625="REST",30)</f>
        <v>30</v>
      </c>
      <c r="D625" s="13" cm="1">
        <f t="array" ref="D625">AVERAGE('SKU sales and Inventory'!D626:F626/30)</f>
        <v>0.10000000000000002</v>
      </c>
      <c r="E625" s="13">
        <f t="shared" si="18"/>
        <v>3.0000000000000004</v>
      </c>
      <c r="F625" s="7">
        <v>30</v>
      </c>
      <c r="G625" s="13">
        <f t="shared" si="19"/>
        <v>27</v>
      </c>
      <c r="L625" s="13"/>
    </row>
    <row r="626" spans="1:12" x14ac:dyDescent="0.3">
      <c r="A626" s="7" t="s">
        <v>678</v>
      </c>
      <c r="B626" s="7" t="s">
        <v>0</v>
      </c>
      <c r="C626" s="7" cm="1">
        <f t="array" ref="C626">_xlfn.IFS(B626="25-50%",45,B626="50-75%",30,B626="last 25%",30,B626="Retire",0,B626="Top 25 %",60,B626="REST",30)</f>
        <v>30</v>
      </c>
      <c r="D626" s="13" cm="1">
        <f t="array" ref="D626">AVERAGE('SKU sales and Inventory'!D627:F627/30)</f>
        <v>3.3333333333333333E-2</v>
      </c>
      <c r="E626" s="13">
        <f t="shared" si="18"/>
        <v>1</v>
      </c>
      <c r="F626" s="7">
        <v>12</v>
      </c>
      <c r="G626" s="13">
        <f t="shared" si="19"/>
        <v>11</v>
      </c>
      <c r="L626" s="13"/>
    </row>
    <row r="627" spans="1:12" x14ac:dyDescent="0.3">
      <c r="A627" s="7" t="s">
        <v>679</v>
      </c>
      <c r="B627" s="7" t="s">
        <v>0</v>
      </c>
      <c r="C627" s="7" cm="1">
        <f t="array" ref="C627">_xlfn.IFS(B627="25-50%",45,B627="50-75%",30,B627="last 25%",30,B627="Retire",0,B627="Top 25 %",60,B627="REST",30)</f>
        <v>30</v>
      </c>
      <c r="D627" s="13" cm="1">
        <f t="array" ref="D627">AVERAGE('SKU sales and Inventory'!D628:F628/30)</f>
        <v>6.6666666666666666E-2</v>
      </c>
      <c r="E627" s="13">
        <f t="shared" si="18"/>
        <v>2</v>
      </c>
      <c r="F627" s="7">
        <v>30</v>
      </c>
      <c r="G627" s="13">
        <f t="shared" si="19"/>
        <v>28</v>
      </c>
      <c r="L627" s="13"/>
    </row>
    <row r="628" spans="1:12" x14ac:dyDescent="0.3">
      <c r="A628" s="7" t="s">
        <v>680</v>
      </c>
      <c r="B628" s="7" t="s">
        <v>0</v>
      </c>
      <c r="C628" s="7" cm="1">
        <f t="array" ref="C628">_xlfn.IFS(B628="25-50%",45,B628="50-75%",30,B628="last 25%",30,B628="Retire",0,B628="Top 25 %",60,B628="REST",30)</f>
        <v>30</v>
      </c>
      <c r="D628" s="13" cm="1">
        <f t="array" ref="D628">AVERAGE('SKU sales and Inventory'!D629:F629/30)</f>
        <v>6.6666666666666666E-2</v>
      </c>
      <c r="E628" s="13">
        <f t="shared" si="18"/>
        <v>2</v>
      </c>
      <c r="F628" s="7">
        <v>36</v>
      </c>
      <c r="G628" s="13">
        <f t="shared" si="19"/>
        <v>34</v>
      </c>
      <c r="L628" s="13"/>
    </row>
    <row r="629" spans="1:12" x14ac:dyDescent="0.3">
      <c r="A629" s="7" t="s">
        <v>681</v>
      </c>
      <c r="B629" s="7" t="s">
        <v>0</v>
      </c>
      <c r="C629" s="7" cm="1">
        <f t="array" ref="C629">_xlfn.IFS(B629="25-50%",45,B629="50-75%",30,B629="last 25%",30,B629="Retire",0,B629="Top 25 %",60,B629="REST",30)</f>
        <v>30</v>
      </c>
      <c r="D629" s="13" cm="1">
        <f t="array" ref="D629">AVERAGE('SKU sales and Inventory'!D630:F630/30)</f>
        <v>0.10000000000000002</v>
      </c>
      <c r="E629" s="13">
        <f t="shared" si="18"/>
        <v>3.0000000000000004</v>
      </c>
      <c r="F629" s="7">
        <v>12</v>
      </c>
      <c r="G629" s="13">
        <f t="shared" si="19"/>
        <v>9</v>
      </c>
      <c r="L629" s="13"/>
    </row>
    <row r="630" spans="1:12" x14ac:dyDescent="0.3">
      <c r="A630" s="7" t="s">
        <v>682</v>
      </c>
      <c r="B630" s="7" t="s">
        <v>0</v>
      </c>
      <c r="C630" s="7" cm="1">
        <f t="array" ref="C630">_xlfn.IFS(B630="25-50%",45,B630="50-75%",30,B630="last 25%",30,B630="Retire",0,B630="Top 25 %",60,B630="REST",30)</f>
        <v>30</v>
      </c>
      <c r="D630" s="13" cm="1">
        <f t="array" ref="D630">AVERAGE('SKU sales and Inventory'!D631:F631/30)</f>
        <v>6.6666666666666666E-2</v>
      </c>
      <c r="E630" s="13">
        <f t="shared" si="18"/>
        <v>2</v>
      </c>
      <c r="F630" s="7">
        <v>63</v>
      </c>
      <c r="G630" s="13">
        <f t="shared" si="19"/>
        <v>61</v>
      </c>
      <c r="L630" s="13"/>
    </row>
    <row r="631" spans="1:12" x14ac:dyDescent="0.3">
      <c r="A631" s="7" t="s">
        <v>683</v>
      </c>
      <c r="B631" s="7" t="s">
        <v>0</v>
      </c>
      <c r="C631" s="7" cm="1">
        <f t="array" ref="C631">_xlfn.IFS(B631="25-50%",45,B631="50-75%",30,B631="last 25%",30,B631="Retire",0,B631="Top 25 %",60,B631="REST",30)</f>
        <v>30</v>
      </c>
      <c r="D631" s="13" cm="1">
        <f t="array" ref="D631">AVERAGE('SKU sales and Inventory'!D632:F632/30)</f>
        <v>0.13333333333333333</v>
      </c>
      <c r="E631" s="13">
        <f t="shared" si="18"/>
        <v>4</v>
      </c>
      <c r="F631" s="7">
        <v>24</v>
      </c>
      <c r="G631" s="13">
        <f t="shared" si="19"/>
        <v>20</v>
      </c>
      <c r="L631" s="13"/>
    </row>
    <row r="632" spans="1:12" x14ac:dyDescent="0.3">
      <c r="A632" s="7" t="s">
        <v>684</v>
      </c>
      <c r="B632" s="7" t="s">
        <v>0</v>
      </c>
      <c r="C632" s="7" cm="1">
        <f t="array" ref="C632">_xlfn.IFS(B632="25-50%",45,B632="50-75%",30,B632="last 25%",30,B632="Retire",0,B632="Top 25 %",60,B632="REST",30)</f>
        <v>30</v>
      </c>
      <c r="D632" s="13" cm="1">
        <f t="array" ref="D632">AVERAGE('SKU sales and Inventory'!D633:F633/30)</f>
        <v>0.13333333333333333</v>
      </c>
      <c r="E632" s="13">
        <f t="shared" si="18"/>
        <v>4</v>
      </c>
      <c r="F632" s="7">
        <v>18</v>
      </c>
      <c r="G632" s="13">
        <f t="shared" si="19"/>
        <v>14</v>
      </c>
      <c r="L632" s="13"/>
    </row>
    <row r="633" spans="1:12" x14ac:dyDescent="0.3">
      <c r="A633" s="7" t="s">
        <v>685</v>
      </c>
      <c r="B633" s="7" t="s">
        <v>0</v>
      </c>
      <c r="C633" s="7" cm="1">
        <f t="array" ref="C633">_xlfn.IFS(B633="25-50%",45,B633="50-75%",30,B633="last 25%",30,B633="Retire",0,B633="Top 25 %",60,B633="REST",30)</f>
        <v>30</v>
      </c>
      <c r="D633" s="13" cm="1">
        <f t="array" ref="D633">AVERAGE('SKU sales and Inventory'!D634:F634/30)</f>
        <v>0.16666666666666666</v>
      </c>
      <c r="E633" s="13">
        <f t="shared" si="18"/>
        <v>5</v>
      </c>
      <c r="F633" s="7">
        <v>342</v>
      </c>
      <c r="G633" s="13">
        <f t="shared" si="19"/>
        <v>337</v>
      </c>
      <c r="L633" s="13"/>
    </row>
    <row r="634" spans="1:12" x14ac:dyDescent="0.3">
      <c r="A634" s="7" t="s">
        <v>686</v>
      </c>
      <c r="B634" s="7" t="s">
        <v>0</v>
      </c>
      <c r="C634" s="7" cm="1">
        <f t="array" ref="C634">_xlfn.IFS(B634="25-50%",45,B634="50-75%",30,B634="last 25%",30,B634="Retire",0,B634="Top 25 %",60,B634="REST",30)</f>
        <v>30</v>
      </c>
      <c r="D634" s="13" cm="1">
        <f t="array" ref="D634">AVERAGE('SKU sales and Inventory'!D635:F635/30)</f>
        <v>0</v>
      </c>
      <c r="E634" s="13">
        <f t="shared" si="18"/>
        <v>0</v>
      </c>
      <c r="F634" s="7">
        <v>1038</v>
      </c>
      <c r="G634" s="13">
        <f t="shared" si="19"/>
        <v>1038</v>
      </c>
      <c r="L634" s="13"/>
    </row>
    <row r="635" spans="1:12" x14ac:dyDescent="0.3">
      <c r="A635" s="7" t="s">
        <v>687</v>
      </c>
      <c r="B635" s="7" t="s">
        <v>0</v>
      </c>
      <c r="C635" s="7" cm="1">
        <f t="array" ref="C635">_xlfn.IFS(B635="25-50%",45,B635="50-75%",30,B635="last 25%",30,B635="Retire",0,B635="Top 25 %",60,B635="REST",30)</f>
        <v>30</v>
      </c>
      <c r="D635" s="13" cm="1">
        <f t="array" ref="D635">AVERAGE('SKU sales and Inventory'!D636:F636/30)</f>
        <v>0</v>
      </c>
      <c r="E635" s="13">
        <f t="shared" si="18"/>
        <v>0</v>
      </c>
      <c r="F635" s="7">
        <v>1065</v>
      </c>
      <c r="G635" s="13">
        <f t="shared" si="19"/>
        <v>1065</v>
      </c>
      <c r="L635" s="13"/>
    </row>
    <row r="636" spans="1:12" x14ac:dyDescent="0.3">
      <c r="A636" s="7" t="s">
        <v>688</v>
      </c>
      <c r="B636" s="7" t="s">
        <v>0</v>
      </c>
      <c r="C636" s="7" cm="1">
        <f t="array" ref="C636">_xlfn.IFS(B636="25-50%",45,B636="50-75%",30,B636="last 25%",30,B636="Retire",0,B636="Top 25 %",60,B636="REST",30)</f>
        <v>30</v>
      </c>
      <c r="D636" s="13" cm="1">
        <f t="array" ref="D636">AVERAGE('SKU sales and Inventory'!D637:F637/30)</f>
        <v>0</v>
      </c>
      <c r="E636" s="13">
        <f t="shared" si="18"/>
        <v>0</v>
      </c>
      <c r="F636" s="7">
        <v>6</v>
      </c>
      <c r="G636" s="13">
        <f t="shared" si="19"/>
        <v>6</v>
      </c>
      <c r="L636" s="13"/>
    </row>
    <row r="637" spans="1:12" x14ac:dyDescent="0.3">
      <c r="A637" s="7" t="s">
        <v>689</v>
      </c>
      <c r="B637" s="7" t="s">
        <v>0</v>
      </c>
      <c r="C637" s="7" cm="1">
        <f t="array" ref="C637">_xlfn.IFS(B637="25-50%",45,B637="50-75%",30,B637="last 25%",30,B637="Retire",0,B637="Top 25 %",60,B637="REST",30)</f>
        <v>30</v>
      </c>
      <c r="D637" s="13" cm="1">
        <f t="array" ref="D637">AVERAGE('SKU sales and Inventory'!D638:F638/30)</f>
        <v>0</v>
      </c>
      <c r="E637" s="13">
        <f t="shared" si="18"/>
        <v>0</v>
      </c>
      <c r="F637" s="7">
        <v>3</v>
      </c>
      <c r="G637" s="13">
        <f t="shared" si="19"/>
        <v>3</v>
      </c>
      <c r="L637" s="13"/>
    </row>
    <row r="638" spans="1:12" x14ac:dyDescent="0.3">
      <c r="A638" s="7" t="s">
        <v>690</v>
      </c>
      <c r="B638" s="7" t="s">
        <v>0</v>
      </c>
      <c r="C638" s="7" cm="1">
        <f t="array" ref="C638">_xlfn.IFS(B638="25-50%",45,B638="50-75%",30,B638="last 25%",30,B638="Retire",0,B638="Top 25 %",60,B638="REST",30)</f>
        <v>30</v>
      </c>
      <c r="D638" s="13" cm="1">
        <f t="array" ref="D638">AVERAGE('SKU sales and Inventory'!D639:F639/30)</f>
        <v>0</v>
      </c>
      <c r="E638" s="13">
        <f t="shared" si="18"/>
        <v>0</v>
      </c>
      <c r="F638" s="7">
        <v>3</v>
      </c>
      <c r="G638" s="13">
        <f t="shared" si="19"/>
        <v>3</v>
      </c>
      <c r="L638" s="13"/>
    </row>
    <row r="639" spans="1:12" x14ac:dyDescent="0.3">
      <c r="A639" s="7" t="s">
        <v>691</v>
      </c>
      <c r="B639" s="7" t="s">
        <v>0</v>
      </c>
      <c r="C639" s="7" cm="1">
        <f t="array" ref="C639">_xlfn.IFS(B639="25-50%",45,B639="50-75%",30,B639="last 25%",30,B639="Retire",0,B639="Top 25 %",60,B639="REST",30)</f>
        <v>30</v>
      </c>
      <c r="D639" s="13" cm="1">
        <f t="array" ref="D639">AVERAGE('SKU sales and Inventory'!D640:F640/30)</f>
        <v>0</v>
      </c>
      <c r="E639" s="13">
        <f t="shared" si="18"/>
        <v>0</v>
      </c>
      <c r="F639" s="7">
        <v>3</v>
      </c>
      <c r="G639" s="13">
        <f t="shared" si="19"/>
        <v>3</v>
      </c>
      <c r="L639" s="13"/>
    </row>
    <row r="640" spans="1:12" x14ac:dyDescent="0.3">
      <c r="A640" s="7" t="s">
        <v>692</v>
      </c>
      <c r="B640" s="7" t="s">
        <v>0</v>
      </c>
      <c r="C640" s="7" cm="1">
        <f t="array" ref="C640">_xlfn.IFS(B640="25-50%",45,B640="50-75%",30,B640="last 25%",30,B640="Retire",0,B640="Top 25 %",60,B640="REST",30)</f>
        <v>30</v>
      </c>
      <c r="D640" s="13" cm="1">
        <f t="array" ref="D640">AVERAGE('SKU sales and Inventory'!D641:F641/30)</f>
        <v>0</v>
      </c>
      <c r="E640" s="13">
        <f t="shared" si="18"/>
        <v>0</v>
      </c>
      <c r="F640" s="7">
        <v>0</v>
      </c>
      <c r="G640" s="13">
        <f t="shared" si="19"/>
        <v>0</v>
      </c>
      <c r="L640" s="13"/>
    </row>
    <row r="641" spans="1:12" x14ac:dyDescent="0.3">
      <c r="A641" s="7" t="s">
        <v>693</v>
      </c>
      <c r="B641" s="7" t="s">
        <v>0</v>
      </c>
      <c r="C641" s="7" cm="1">
        <f t="array" ref="C641">_xlfn.IFS(B641="25-50%",45,B641="50-75%",30,B641="last 25%",30,B641="Retire",0,B641="Top 25 %",60,B641="REST",30)</f>
        <v>30</v>
      </c>
      <c r="D641" s="13" cm="1">
        <f t="array" ref="D641">AVERAGE('SKU sales and Inventory'!D642:F642/30)</f>
        <v>0</v>
      </c>
      <c r="E641" s="13">
        <f t="shared" si="18"/>
        <v>0</v>
      </c>
      <c r="F641" s="7">
        <v>3</v>
      </c>
      <c r="G641" s="13">
        <f t="shared" si="19"/>
        <v>3</v>
      </c>
      <c r="L641" s="13"/>
    </row>
    <row r="642" spans="1:12" x14ac:dyDescent="0.3">
      <c r="A642" s="7" t="s">
        <v>694</v>
      </c>
      <c r="B642" s="7" t="s">
        <v>0</v>
      </c>
      <c r="C642" s="7" cm="1">
        <f t="array" ref="C642">_xlfn.IFS(B642="25-50%",45,B642="50-75%",30,B642="last 25%",30,B642="Retire",0,B642="Top 25 %",60,B642="REST",30)</f>
        <v>30</v>
      </c>
      <c r="D642" s="13" cm="1">
        <f t="array" ref="D642">AVERAGE('SKU sales and Inventory'!D643:F643/30)</f>
        <v>0</v>
      </c>
      <c r="E642" s="13">
        <f t="shared" si="18"/>
        <v>0</v>
      </c>
      <c r="F642" s="7">
        <v>3</v>
      </c>
      <c r="G642" s="13">
        <f t="shared" si="19"/>
        <v>3</v>
      </c>
      <c r="L642" s="13"/>
    </row>
    <row r="643" spans="1:12" x14ac:dyDescent="0.3">
      <c r="A643" s="7" t="s">
        <v>695</v>
      </c>
      <c r="B643" s="7" t="s">
        <v>0</v>
      </c>
      <c r="C643" s="7" cm="1">
        <f t="array" ref="C643">_xlfn.IFS(B643="25-50%",45,B643="50-75%",30,B643="last 25%",30,B643="Retire",0,B643="Top 25 %",60,B643="REST",30)</f>
        <v>30</v>
      </c>
      <c r="D643" s="13" cm="1">
        <f t="array" ref="D643">AVERAGE('SKU sales and Inventory'!D644:F644/30)</f>
        <v>0</v>
      </c>
      <c r="E643" s="13">
        <f t="shared" ref="E643:E706" si="20">D643*C643</f>
        <v>0</v>
      </c>
      <c r="F643" s="7">
        <v>0</v>
      </c>
      <c r="G643" s="13">
        <f t="shared" ref="G643:G706" si="21">F643-E643</f>
        <v>0</v>
      </c>
      <c r="L643" s="13"/>
    </row>
    <row r="644" spans="1:12" x14ac:dyDescent="0.3">
      <c r="A644" s="7" t="s">
        <v>696</v>
      </c>
      <c r="B644" s="7" t="s">
        <v>0</v>
      </c>
      <c r="C644" s="7" cm="1">
        <f t="array" ref="C644">_xlfn.IFS(B644="25-50%",45,B644="50-75%",30,B644="last 25%",30,B644="Retire",0,B644="Top 25 %",60,B644="REST",30)</f>
        <v>30</v>
      </c>
      <c r="D644" s="13" cm="1">
        <f t="array" ref="D644">AVERAGE('SKU sales and Inventory'!D645:F645/30)</f>
        <v>0</v>
      </c>
      <c r="E644" s="13">
        <f t="shared" si="20"/>
        <v>0</v>
      </c>
      <c r="F644" s="7">
        <v>0</v>
      </c>
      <c r="G644" s="13">
        <f t="shared" si="21"/>
        <v>0</v>
      </c>
      <c r="L644" s="13"/>
    </row>
    <row r="645" spans="1:12" x14ac:dyDescent="0.3">
      <c r="A645" s="7" t="s">
        <v>697</v>
      </c>
      <c r="B645" s="7" t="s">
        <v>0</v>
      </c>
      <c r="C645" s="7" cm="1">
        <f t="array" ref="C645">_xlfn.IFS(B645="25-50%",45,B645="50-75%",30,B645="last 25%",30,B645="Retire",0,B645="Top 25 %",60,B645="REST",30)</f>
        <v>30</v>
      </c>
      <c r="D645" s="13" cm="1">
        <f t="array" ref="D645">AVERAGE('SKU sales and Inventory'!D646:F646/30)</f>
        <v>0</v>
      </c>
      <c r="E645" s="13">
        <f t="shared" si="20"/>
        <v>0</v>
      </c>
      <c r="F645" s="7">
        <v>0</v>
      </c>
      <c r="G645" s="13">
        <f t="shared" si="21"/>
        <v>0</v>
      </c>
      <c r="L645" s="13"/>
    </row>
    <row r="646" spans="1:12" x14ac:dyDescent="0.3">
      <c r="A646" s="7" t="s">
        <v>698</v>
      </c>
      <c r="B646" s="7" t="s">
        <v>0</v>
      </c>
      <c r="C646" s="7" cm="1">
        <f t="array" ref="C646">_xlfn.IFS(B646="25-50%",45,B646="50-75%",30,B646="last 25%",30,B646="Retire",0,B646="Top 25 %",60,B646="REST",30)</f>
        <v>30</v>
      </c>
      <c r="D646" s="13" cm="1">
        <f t="array" ref="D646">AVERAGE('SKU sales and Inventory'!D647:F647/30)</f>
        <v>3.3333333333333333E-2</v>
      </c>
      <c r="E646" s="13">
        <f t="shared" si="20"/>
        <v>1</v>
      </c>
      <c r="F646" s="7">
        <v>18</v>
      </c>
      <c r="G646" s="13">
        <f t="shared" si="21"/>
        <v>17</v>
      </c>
      <c r="L646" s="13"/>
    </row>
    <row r="647" spans="1:12" x14ac:dyDescent="0.3">
      <c r="A647" s="7" t="s">
        <v>699</v>
      </c>
      <c r="B647" s="7" t="s">
        <v>0</v>
      </c>
      <c r="C647" s="7" cm="1">
        <f t="array" ref="C647">_xlfn.IFS(B647="25-50%",45,B647="50-75%",30,B647="last 25%",30,B647="Retire",0,B647="Top 25 %",60,B647="REST",30)</f>
        <v>30</v>
      </c>
      <c r="D647" s="13" cm="1">
        <f t="array" ref="D647">AVERAGE('SKU sales and Inventory'!D648:F648/30)</f>
        <v>3.3333333333333333E-2</v>
      </c>
      <c r="E647" s="13">
        <f t="shared" si="20"/>
        <v>1</v>
      </c>
      <c r="F647" s="7">
        <v>0</v>
      </c>
      <c r="G647" s="13">
        <f t="shared" si="21"/>
        <v>-1</v>
      </c>
      <c r="L647" s="13"/>
    </row>
    <row r="648" spans="1:12" x14ac:dyDescent="0.3">
      <c r="A648" s="7" t="s">
        <v>700</v>
      </c>
      <c r="B648" s="7" t="s">
        <v>0</v>
      </c>
      <c r="C648" s="7" cm="1">
        <f t="array" ref="C648">_xlfn.IFS(B648="25-50%",45,B648="50-75%",30,B648="last 25%",30,B648="Retire",0,B648="Top 25 %",60,B648="REST",30)</f>
        <v>30</v>
      </c>
      <c r="D648" s="13" cm="1">
        <f t="array" ref="D648">AVERAGE('SKU sales and Inventory'!D649:F649/30)</f>
        <v>0</v>
      </c>
      <c r="E648" s="13">
        <f t="shared" si="20"/>
        <v>0</v>
      </c>
      <c r="F648" s="7">
        <v>27</v>
      </c>
      <c r="G648" s="13">
        <f t="shared" si="21"/>
        <v>27</v>
      </c>
      <c r="L648" s="13"/>
    </row>
    <row r="649" spans="1:12" x14ac:dyDescent="0.3">
      <c r="A649" s="7" t="s">
        <v>701</v>
      </c>
      <c r="B649" s="7" t="s">
        <v>0</v>
      </c>
      <c r="C649" s="7" cm="1">
        <f t="array" ref="C649">_xlfn.IFS(B649="25-50%",45,B649="50-75%",30,B649="last 25%",30,B649="Retire",0,B649="Top 25 %",60,B649="REST",30)</f>
        <v>30</v>
      </c>
      <c r="D649" s="13" cm="1">
        <f t="array" ref="D649">AVERAGE('SKU sales and Inventory'!D650:F650/30)</f>
        <v>0</v>
      </c>
      <c r="E649" s="13">
        <f t="shared" si="20"/>
        <v>0</v>
      </c>
      <c r="F649" s="7">
        <v>3</v>
      </c>
      <c r="G649" s="13">
        <f t="shared" si="21"/>
        <v>3</v>
      </c>
      <c r="L649" s="13"/>
    </row>
    <row r="650" spans="1:12" x14ac:dyDescent="0.3">
      <c r="A650" s="7" t="s">
        <v>702</v>
      </c>
      <c r="B650" s="7" t="s">
        <v>0</v>
      </c>
      <c r="C650" s="7" cm="1">
        <f t="array" ref="C650">_xlfn.IFS(B650="25-50%",45,B650="50-75%",30,B650="last 25%",30,B650="Retire",0,B650="Top 25 %",60,B650="REST",30)</f>
        <v>30</v>
      </c>
      <c r="D650" s="13" cm="1">
        <f t="array" ref="D650">AVERAGE('SKU sales and Inventory'!D651:F651/30)</f>
        <v>0</v>
      </c>
      <c r="E650" s="13">
        <f t="shared" si="20"/>
        <v>0</v>
      </c>
      <c r="F650" s="7">
        <v>81</v>
      </c>
      <c r="G650" s="13">
        <f t="shared" si="21"/>
        <v>81</v>
      </c>
      <c r="L650" s="13"/>
    </row>
    <row r="651" spans="1:12" x14ac:dyDescent="0.3">
      <c r="A651" s="7" t="s">
        <v>703</v>
      </c>
      <c r="B651" s="7" t="s">
        <v>0</v>
      </c>
      <c r="C651" s="7" cm="1">
        <f t="array" ref="C651">_xlfn.IFS(B651="25-50%",45,B651="50-75%",30,B651="last 25%",30,B651="Retire",0,B651="Top 25 %",60,B651="REST",30)</f>
        <v>30</v>
      </c>
      <c r="D651" s="13" cm="1">
        <f t="array" ref="D651">AVERAGE('SKU sales and Inventory'!D652:F652/30)</f>
        <v>3.3333333333333333E-2</v>
      </c>
      <c r="E651" s="13">
        <f t="shared" si="20"/>
        <v>1</v>
      </c>
      <c r="F651" s="7">
        <v>45</v>
      </c>
      <c r="G651" s="13">
        <f t="shared" si="21"/>
        <v>44</v>
      </c>
      <c r="L651" s="13"/>
    </row>
    <row r="652" spans="1:12" x14ac:dyDescent="0.3">
      <c r="A652" s="7" t="s">
        <v>704</v>
      </c>
      <c r="B652" s="7" t="s">
        <v>0</v>
      </c>
      <c r="C652" s="7" cm="1">
        <f t="array" ref="C652">_xlfn.IFS(B652="25-50%",45,B652="50-75%",30,B652="last 25%",30,B652="Retire",0,B652="Top 25 %",60,B652="REST",30)</f>
        <v>30</v>
      </c>
      <c r="D652" s="13" cm="1">
        <f t="array" ref="D652">AVERAGE('SKU sales and Inventory'!D653:F653/30)</f>
        <v>0</v>
      </c>
      <c r="E652" s="13">
        <f t="shared" si="20"/>
        <v>0</v>
      </c>
      <c r="F652" s="7">
        <v>6</v>
      </c>
      <c r="G652" s="13">
        <f t="shared" si="21"/>
        <v>6</v>
      </c>
      <c r="L652" s="13"/>
    </row>
    <row r="653" spans="1:12" x14ac:dyDescent="0.3">
      <c r="A653" s="7" t="s">
        <v>705</v>
      </c>
      <c r="B653" s="7" t="s">
        <v>0</v>
      </c>
      <c r="C653" s="7" cm="1">
        <f t="array" ref="C653">_xlfn.IFS(B653="25-50%",45,B653="50-75%",30,B653="last 25%",30,B653="Retire",0,B653="Top 25 %",60,B653="REST",30)</f>
        <v>30</v>
      </c>
      <c r="D653" s="13" cm="1">
        <f t="array" ref="D653">AVERAGE('SKU sales and Inventory'!D654:F654/30)</f>
        <v>0</v>
      </c>
      <c r="E653" s="13">
        <f t="shared" si="20"/>
        <v>0</v>
      </c>
      <c r="F653" s="7">
        <v>93</v>
      </c>
      <c r="G653" s="13">
        <f t="shared" si="21"/>
        <v>93</v>
      </c>
      <c r="L653" s="13"/>
    </row>
    <row r="654" spans="1:12" x14ac:dyDescent="0.3">
      <c r="A654" s="7" t="s">
        <v>706</v>
      </c>
      <c r="B654" s="7" t="s">
        <v>0</v>
      </c>
      <c r="C654" s="7" cm="1">
        <f t="array" ref="C654">_xlfn.IFS(B654="25-50%",45,B654="50-75%",30,B654="last 25%",30,B654="Retire",0,B654="Top 25 %",60,B654="REST",30)</f>
        <v>30</v>
      </c>
      <c r="D654" s="13" cm="1">
        <f t="array" ref="D654">AVERAGE('SKU sales and Inventory'!D655:F655/30)</f>
        <v>0</v>
      </c>
      <c r="E654" s="13">
        <f t="shared" si="20"/>
        <v>0</v>
      </c>
      <c r="F654" s="7">
        <v>9</v>
      </c>
      <c r="G654" s="13">
        <f t="shared" si="21"/>
        <v>9</v>
      </c>
      <c r="L654" s="13"/>
    </row>
    <row r="655" spans="1:12" x14ac:dyDescent="0.3">
      <c r="A655" s="7" t="s">
        <v>707</v>
      </c>
      <c r="B655" s="7" t="s">
        <v>0</v>
      </c>
      <c r="C655" s="7" cm="1">
        <f t="array" ref="C655">_xlfn.IFS(B655="25-50%",45,B655="50-75%",30,B655="last 25%",30,B655="Retire",0,B655="Top 25 %",60,B655="REST",30)</f>
        <v>30</v>
      </c>
      <c r="D655" s="13" cm="1">
        <f t="array" ref="D655">AVERAGE('SKU sales and Inventory'!D656:F656/30)</f>
        <v>0</v>
      </c>
      <c r="E655" s="13">
        <f t="shared" si="20"/>
        <v>0</v>
      </c>
      <c r="F655" s="7">
        <v>3</v>
      </c>
      <c r="G655" s="13">
        <f t="shared" si="21"/>
        <v>3</v>
      </c>
      <c r="L655" s="13"/>
    </row>
    <row r="656" spans="1:12" x14ac:dyDescent="0.3">
      <c r="A656" s="7" t="s">
        <v>708</v>
      </c>
      <c r="B656" s="7" t="s">
        <v>0</v>
      </c>
      <c r="C656" s="7" cm="1">
        <f t="array" ref="C656">_xlfn.IFS(B656="25-50%",45,B656="50-75%",30,B656="last 25%",30,B656="Retire",0,B656="Top 25 %",60,B656="REST",30)</f>
        <v>30</v>
      </c>
      <c r="D656" s="13" cm="1">
        <f t="array" ref="D656">AVERAGE('SKU sales and Inventory'!D657:F657/30)</f>
        <v>0</v>
      </c>
      <c r="E656" s="13">
        <f t="shared" si="20"/>
        <v>0</v>
      </c>
      <c r="F656" s="7">
        <v>0</v>
      </c>
      <c r="G656" s="13">
        <f t="shared" si="21"/>
        <v>0</v>
      </c>
      <c r="L656" s="13"/>
    </row>
    <row r="657" spans="1:12" x14ac:dyDescent="0.3">
      <c r="A657" s="7" t="s">
        <v>709</v>
      </c>
      <c r="B657" s="7" t="s">
        <v>0</v>
      </c>
      <c r="C657" s="7" cm="1">
        <f t="array" ref="C657">_xlfn.IFS(B657="25-50%",45,B657="50-75%",30,B657="last 25%",30,B657="Retire",0,B657="Top 25 %",60,B657="REST",30)</f>
        <v>30</v>
      </c>
      <c r="D657" s="13" cm="1">
        <f t="array" ref="D657">AVERAGE('SKU sales and Inventory'!D658:F658/30)</f>
        <v>0</v>
      </c>
      <c r="E657" s="13">
        <f t="shared" si="20"/>
        <v>0</v>
      </c>
      <c r="F657" s="7">
        <v>0</v>
      </c>
      <c r="G657" s="13">
        <f t="shared" si="21"/>
        <v>0</v>
      </c>
      <c r="L657" s="13"/>
    </row>
    <row r="658" spans="1:12" x14ac:dyDescent="0.3">
      <c r="A658" s="7" t="s">
        <v>710</v>
      </c>
      <c r="B658" s="7" t="s">
        <v>0</v>
      </c>
      <c r="C658" s="7" cm="1">
        <f t="array" ref="C658">_xlfn.IFS(B658="25-50%",45,B658="50-75%",30,B658="last 25%",30,B658="Retire",0,B658="Top 25 %",60,B658="REST",30)</f>
        <v>30</v>
      </c>
      <c r="D658" s="13" cm="1">
        <f t="array" ref="D658">AVERAGE('SKU sales and Inventory'!D659:F659/30)</f>
        <v>0</v>
      </c>
      <c r="E658" s="13">
        <f t="shared" si="20"/>
        <v>0</v>
      </c>
      <c r="F658" s="7">
        <v>3</v>
      </c>
      <c r="G658" s="13">
        <f t="shared" si="21"/>
        <v>3</v>
      </c>
      <c r="L658" s="13"/>
    </row>
    <row r="659" spans="1:12" x14ac:dyDescent="0.3">
      <c r="A659" s="7" t="s">
        <v>711</v>
      </c>
      <c r="B659" s="7" t="s">
        <v>0</v>
      </c>
      <c r="C659" s="7" cm="1">
        <f t="array" ref="C659">_xlfn.IFS(B659="25-50%",45,B659="50-75%",30,B659="last 25%",30,B659="Retire",0,B659="Top 25 %",60,B659="REST",30)</f>
        <v>30</v>
      </c>
      <c r="D659" s="13" cm="1">
        <f t="array" ref="D659">AVERAGE('SKU sales and Inventory'!D660:F660/30)</f>
        <v>0</v>
      </c>
      <c r="E659" s="13">
        <f t="shared" si="20"/>
        <v>0</v>
      </c>
      <c r="F659" s="7">
        <v>0</v>
      </c>
      <c r="G659" s="13">
        <f t="shared" si="21"/>
        <v>0</v>
      </c>
      <c r="L659" s="13"/>
    </row>
    <row r="660" spans="1:12" x14ac:dyDescent="0.3">
      <c r="A660" s="7" t="s">
        <v>712</v>
      </c>
      <c r="B660" s="7" t="s">
        <v>0</v>
      </c>
      <c r="C660" s="7" cm="1">
        <f t="array" ref="C660">_xlfn.IFS(B660="25-50%",45,B660="50-75%",30,B660="last 25%",30,B660="Retire",0,B660="Top 25 %",60,B660="REST",30)</f>
        <v>30</v>
      </c>
      <c r="D660" s="13" cm="1">
        <f t="array" ref="D660">AVERAGE('SKU sales and Inventory'!D661:F661/30)</f>
        <v>0</v>
      </c>
      <c r="E660" s="13">
        <f t="shared" si="20"/>
        <v>0</v>
      </c>
      <c r="F660" s="7">
        <v>0</v>
      </c>
      <c r="G660" s="13">
        <f t="shared" si="21"/>
        <v>0</v>
      </c>
      <c r="L660" s="13"/>
    </row>
    <row r="661" spans="1:12" x14ac:dyDescent="0.3">
      <c r="A661" s="7" t="s">
        <v>713</v>
      </c>
      <c r="B661" s="7" t="s">
        <v>0</v>
      </c>
      <c r="C661" s="7" cm="1">
        <f t="array" ref="C661">_xlfn.IFS(B661="25-50%",45,B661="50-75%",30,B661="last 25%",30,B661="Retire",0,B661="Top 25 %",60,B661="REST",30)</f>
        <v>30</v>
      </c>
      <c r="D661" s="13" cm="1">
        <f t="array" ref="D661">AVERAGE('SKU sales and Inventory'!D662:F662/30)</f>
        <v>0</v>
      </c>
      <c r="E661" s="13">
        <f t="shared" si="20"/>
        <v>0</v>
      </c>
      <c r="F661" s="7">
        <v>0</v>
      </c>
      <c r="G661" s="13">
        <f t="shared" si="21"/>
        <v>0</v>
      </c>
      <c r="L661" s="13"/>
    </row>
    <row r="662" spans="1:12" x14ac:dyDescent="0.3">
      <c r="A662" s="7" t="s">
        <v>714</v>
      </c>
      <c r="B662" s="7" t="s">
        <v>0</v>
      </c>
      <c r="C662" s="7" cm="1">
        <f t="array" ref="C662">_xlfn.IFS(B662="25-50%",45,B662="50-75%",30,B662="last 25%",30,B662="Retire",0,B662="Top 25 %",60,B662="REST",30)</f>
        <v>30</v>
      </c>
      <c r="D662" s="13" cm="1">
        <f t="array" ref="D662">AVERAGE('SKU sales and Inventory'!D663:F663/30)</f>
        <v>0</v>
      </c>
      <c r="E662" s="13">
        <f t="shared" si="20"/>
        <v>0</v>
      </c>
      <c r="F662" s="7">
        <v>0</v>
      </c>
      <c r="G662" s="13">
        <f t="shared" si="21"/>
        <v>0</v>
      </c>
      <c r="L662" s="13"/>
    </row>
    <row r="663" spans="1:12" x14ac:dyDescent="0.3">
      <c r="A663" s="7" t="s">
        <v>715</v>
      </c>
      <c r="B663" s="7" t="s">
        <v>0</v>
      </c>
      <c r="C663" s="7" cm="1">
        <f t="array" ref="C663">_xlfn.IFS(B663="25-50%",45,B663="50-75%",30,B663="last 25%",30,B663="Retire",0,B663="Top 25 %",60,B663="REST",30)</f>
        <v>30</v>
      </c>
      <c r="D663" s="13" cm="1">
        <f t="array" ref="D663">AVERAGE('SKU sales and Inventory'!D664:F664/30)</f>
        <v>3.3333333333333333E-2</v>
      </c>
      <c r="E663" s="13">
        <f t="shared" si="20"/>
        <v>1</v>
      </c>
      <c r="F663" s="7">
        <v>15</v>
      </c>
      <c r="G663" s="13">
        <f t="shared" si="21"/>
        <v>14</v>
      </c>
      <c r="L663" s="13"/>
    </row>
    <row r="664" spans="1:12" x14ac:dyDescent="0.3">
      <c r="A664" s="7" t="s">
        <v>716</v>
      </c>
      <c r="B664" s="7" t="s">
        <v>0</v>
      </c>
      <c r="C664" s="7" cm="1">
        <f t="array" ref="C664">_xlfn.IFS(B664="25-50%",45,B664="50-75%",30,B664="last 25%",30,B664="Retire",0,B664="Top 25 %",60,B664="REST",30)</f>
        <v>30</v>
      </c>
      <c r="D664" s="13" cm="1">
        <f t="array" ref="D664">AVERAGE('SKU sales and Inventory'!D665:F665/30)</f>
        <v>0</v>
      </c>
      <c r="E664" s="13">
        <f t="shared" si="20"/>
        <v>0</v>
      </c>
      <c r="F664" s="7">
        <v>0</v>
      </c>
      <c r="G664" s="13">
        <f t="shared" si="21"/>
        <v>0</v>
      </c>
      <c r="L664" s="13"/>
    </row>
    <row r="665" spans="1:12" x14ac:dyDescent="0.3">
      <c r="A665" s="7" t="s">
        <v>717</v>
      </c>
      <c r="B665" s="7" t="s">
        <v>0</v>
      </c>
      <c r="C665" s="7" cm="1">
        <f t="array" ref="C665">_xlfn.IFS(B665="25-50%",45,B665="50-75%",30,B665="last 25%",30,B665="Retire",0,B665="Top 25 %",60,B665="REST",30)</f>
        <v>30</v>
      </c>
      <c r="D665" s="13" cm="1">
        <f t="array" ref="D665">AVERAGE('SKU sales and Inventory'!D666:F666/30)</f>
        <v>0</v>
      </c>
      <c r="E665" s="13">
        <f t="shared" si="20"/>
        <v>0</v>
      </c>
      <c r="F665" s="7">
        <v>30</v>
      </c>
      <c r="G665" s="13">
        <f t="shared" si="21"/>
        <v>30</v>
      </c>
      <c r="L665" s="13"/>
    </row>
    <row r="666" spans="1:12" x14ac:dyDescent="0.3">
      <c r="A666" s="7" t="s">
        <v>718</v>
      </c>
      <c r="B666" s="7" t="s">
        <v>0</v>
      </c>
      <c r="C666" s="7" cm="1">
        <f t="array" ref="C666">_xlfn.IFS(B666="25-50%",45,B666="50-75%",30,B666="last 25%",30,B666="Retire",0,B666="Top 25 %",60,B666="REST",30)</f>
        <v>30</v>
      </c>
      <c r="D666" s="13" cm="1">
        <f t="array" ref="D666">AVERAGE('SKU sales and Inventory'!D667:F667/30)</f>
        <v>0</v>
      </c>
      <c r="E666" s="13">
        <f t="shared" si="20"/>
        <v>0</v>
      </c>
      <c r="F666" s="7">
        <v>9</v>
      </c>
      <c r="G666" s="13">
        <f t="shared" si="21"/>
        <v>9</v>
      </c>
      <c r="L666" s="13"/>
    </row>
    <row r="667" spans="1:12" x14ac:dyDescent="0.3">
      <c r="A667" s="7" t="s">
        <v>719</v>
      </c>
      <c r="B667" s="7" t="s">
        <v>0</v>
      </c>
      <c r="C667" s="7" cm="1">
        <f t="array" ref="C667">_xlfn.IFS(B667="25-50%",45,B667="50-75%",30,B667="last 25%",30,B667="Retire",0,B667="Top 25 %",60,B667="REST",30)</f>
        <v>30</v>
      </c>
      <c r="D667" s="13" cm="1">
        <f t="array" ref="D667">AVERAGE('SKU sales and Inventory'!D668:F668/30)</f>
        <v>0</v>
      </c>
      <c r="E667" s="13">
        <f t="shared" si="20"/>
        <v>0</v>
      </c>
      <c r="F667" s="7">
        <v>9</v>
      </c>
      <c r="G667" s="13">
        <f t="shared" si="21"/>
        <v>9</v>
      </c>
      <c r="L667" s="13"/>
    </row>
    <row r="668" spans="1:12" x14ac:dyDescent="0.3">
      <c r="A668" s="7" t="s">
        <v>720</v>
      </c>
      <c r="B668" s="7" t="s">
        <v>0</v>
      </c>
      <c r="C668" s="7" cm="1">
        <f t="array" ref="C668">_xlfn.IFS(B668="25-50%",45,B668="50-75%",30,B668="last 25%",30,B668="Retire",0,B668="Top 25 %",60,B668="REST",30)</f>
        <v>30</v>
      </c>
      <c r="D668" s="13" cm="1">
        <f t="array" ref="D668">AVERAGE('SKU sales and Inventory'!D669:F669/30)</f>
        <v>0</v>
      </c>
      <c r="E668" s="13">
        <f t="shared" si="20"/>
        <v>0</v>
      </c>
      <c r="F668" s="7">
        <v>12</v>
      </c>
      <c r="G668" s="13">
        <f t="shared" si="21"/>
        <v>12</v>
      </c>
      <c r="L668" s="13"/>
    </row>
    <row r="669" spans="1:12" x14ac:dyDescent="0.3">
      <c r="A669" s="7" t="s">
        <v>721</v>
      </c>
      <c r="B669" s="7" t="s">
        <v>0</v>
      </c>
      <c r="C669" s="7" cm="1">
        <f t="array" ref="C669">_xlfn.IFS(B669="25-50%",45,B669="50-75%",30,B669="last 25%",30,B669="Retire",0,B669="Top 25 %",60,B669="REST",30)</f>
        <v>30</v>
      </c>
      <c r="D669" s="13" cm="1">
        <f t="array" ref="D669">AVERAGE('SKU sales and Inventory'!D670:F670/30)</f>
        <v>0</v>
      </c>
      <c r="E669" s="13">
        <f t="shared" si="20"/>
        <v>0</v>
      </c>
      <c r="F669" s="7">
        <v>0</v>
      </c>
      <c r="G669" s="13">
        <f t="shared" si="21"/>
        <v>0</v>
      </c>
      <c r="L669" s="13"/>
    </row>
    <row r="670" spans="1:12" x14ac:dyDescent="0.3">
      <c r="A670" s="7" t="s">
        <v>722</v>
      </c>
      <c r="B670" s="7" t="s">
        <v>0</v>
      </c>
      <c r="C670" s="7" cm="1">
        <f t="array" ref="C670">_xlfn.IFS(B670="25-50%",45,B670="50-75%",30,B670="last 25%",30,B670="Retire",0,B670="Top 25 %",60,B670="REST",30)</f>
        <v>30</v>
      </c>
      <c r="D670" s="13" cm="1">
        <f t="array" ref="D670">AVERAGE('SKU sales and Inventory'!D671:F671/30)</f>
        <v>0</v>
      </c>
      <c r="E670" s="13">
        <f t="shared" si="20"/>
        <v>0</v>
      </c>
      <c r="F670" s="7">
        <v>6</v>
      </c>
      <c r="G670" s="13">
        <f t="shared" si="21"/>
        <v>6</v>
      </c>
      <c r="L670" s="13"/>
    </row>
    <row r="671" spans="1:12" x14ac:dyDescent="0.3">
      <c r="A671" s="7" t="s">
        <v>723</v>
      </c>
      <c r="B671" s="7" t="s">
        <v>0</v>
      </c>
      <c r="C671" s="7" cm="1">
        <f t="array" ref="C671">_xlfn.IFS(B671="25-50%",45,B671="50-75%",30,B671="last 25%",30,B671="Retire",0,B671="Top 25 %",60,B671="REST",30)</f>
        <v>30</v>
      </c>
      <c r="D671" s="13" cm="1">
        <f t="array" ref="D671">AVERAGE('SKU sales and Inventory'!D672:F672/30)</f>
        <v>0</v>
      </c>
      <c r="E671" s="13">
        <f t="shared" si="20"/>
        <v>0</v>
      </c>
      <c r="F671" s="7">
        <v>6</v>
      </c>
      <c r="G671" s="13">
        <f t="shared" si="21"/>
        <v>6</v>
      </c>
      <c r="L671" s="13"/>
    </row>
    <row r="672" spans="1:12" x14ac:dyDescent="0.3">
      <c r="A672" s="7" t="s">
        <v>724</v>
      </c>
      <c r="B672" s="7" t="s">
        <v>0</v>
      </c>
      <c r="C672" s="7" cm="1">
        <f t="array" ref="C672">_xlfn.IFS(B672="25-50%",45,B672="50-75%",30,B672="last 25%",30,B672="Retire",0,B672="Top 25 %",60,B672="REST",30)</f>
        <v>30</v>
      </c>
      <c r="D672" s="13" cm="1">
        <f t="array" ref="D672">AVERAGE('SKU sales and Inventory'!D673:F673/30)</f>
        <v>0</v>
      </c>
      <c r="E672" s="13">
        <f t="shared" si="20"/>
        <v>0</v>
      </c>
      <c r="F672" s="7">
        <v>0</v>
      </c>
      <c r="G672" s="13">
        <f t="shared" si="21"/>
        <v>0</v>
      </c>
      <c r="L672" s="13"/>
    </row>
    <row r="673" spans="1:12" x14ac:dyDescent="0.3">
      <c r="A673" s="7" t="s">
        <v>725</v>
      </c>
      <c r="B673" s="7" t="s">
        <v>0</v>
      </c>
      <c r="C673" s="7" cm="1">
        <f t="array" ref="C673">_xlfn.IFS(B673="25-50%",45,B673="50-75%",30,B673="last 25%",30,B673="Retire",0,B673="Top 25 %",60,B673="REST",30)</f>
        <v>30</v>
      </c>
      <c r="D673" s="13" cm="1">
        <f t="array" ref="D673">AVERAGE('SKU sales and Inventory'!D674:F674/30)</f>
        <v>0</v>
      </c>
      <c r="E673" s="13">
        <f t="shared" si="20"/>
        <v>0</v>
      </c>
      <c r="F673" s="7">
        <v>3</v>
      </c>
      <c r="G673" s="13">
        <f t="shared" si="21"/>
        <v>3</v>
      </c>
      <c r="L673" s="13"/>
    </row>
    <row r="674" spans="1:12" x14ac:dyDescent="0.3">
      <c r="A674" s="7" t="s">
        <v>726</v>
      </c>
      <c r="B674" s="7" t="s">
        <v>0</v>
      </c>
      <c r="C674" s="7" cm="1">
        <f t="array" ref="C674">_xlfn.IFS(B674="25-50%",45,B674="50-75%",30,B674="last 25%",30,B674="Retire",0,B674="Top 25 %",60,B674="REST",30)</f>
        <v>30</v>
      </c>
      <c r="D674" s="13" cm="1">
        <f t="array" ref="D674">AVERAGE('SKU sales and Inventory'!D675:F675/30)</f>
        <v>0</v>
      </c>
      <c r="E674" s="13">
        <f t="shared" si="20"/>
        <v>0</v>
      </c>
      <c r="F674" s="7">
        <v>3</v>
      </c>
      <c r="G674" s="13">
        <f t="shared" si="21"/>
        <v>3</v>
      </c>
      <c r="L674" s="13"/>
    </row>
    <row r="675" spans="1:12" x14ac:dyDescent="0.3">
      <c r="A675" s="7" t="s">
        <v>727</v>
      </c>
      <c r="B675" s="7" t="s">
        <v>0</v>
      </c>
      <c r="C675" s="7" cm="1">
        <f t="array" ref="C675">_xlfn.IFS(B675="25-50%",45,B675="50-75%",30,B675="last 25%",30,B675="Retire",0,B675="Top 25 %",60,B675="REST",30)</f>
        <v>30</v>
      </c>
      <c r="D675" s="13" cm="1">
        <f t="array" ref="D675">AVERAGE('SKU sales and Inventory'!D676:F676/30)</f>
        <v>9.9999999999999992E-2</v>
      </c>
      <c r="E675" s="13">
        <f t="shared" si="20"/>
        <v>2.9999999999999996</v>
      </c>
      <c r="F675" s="7">
        <v>42</v>
      </c>
      <c r="G675" s="13">
        <f t="shared" si="21"/>
        <v>39</v>
      </c>
      <c r="L675" s="13"/>
    </row>
    <row r="676" spans="1:12" x14ac:dyDescent="0.3">
      <c r="A676" s="7" t="s">
        <v>728</v>
      </c>
      <c r="B676" s="7" t="s">
        <v>0</v>
      </c>
      <c r="C676" s="7" cm="1">
        <f t="array" ref="C676">_xlfn.IFS(B676="25-50%",45,B676="50-75%",30,B676="last 25%",30,B676="Retire",0,B676="Top 25 %",60,B676="REST",30)</f>
        <v>30</v>
      </c>
      <c r="D676" s="13" cm="1">
        <f t="array" ref="D676">AVERAGE('SKU sales and Inventory'!D677:F677/30)</f>
        <v>3.3333333333333333E-2</v>
      </c>
      <c r="E676" s="13">
        <f t="shared" si="20"/>
        <v>1</v>
      </c>
      <c r="F676" s="7">
        <v>9</v>
      </c>
      <c r="G676" s="13">
        <f t="shared" si="21"/>
        <v>8</v>
      </c>
      <c r="L676" s="13"/>
    </row>
    <row r="677" spans="1:12" x14ac:dyDescent="0.3">
      <c r="A677" s="7" t="s">
        <v>729</v>
      </c>
      <c r="B677" s="7" t="s">
        <v>0</v>
      </c>
      <c r="C677" s="7" cm="1">
        <f t="array" ref="C677">_xlfn.IFS(B677="25-50%",45,B677="50-75%",30,B677="last 25%",30,B677="Retire",0,B677="Top 25 %",60,B677="REST",30)</f>
        <v>30</v>
      </c>
      <c r="D677" s="13" cm="1">
        <f t="array" ref="D677">AVERAGE('SKU sales and Inventory'!D678:F678/30)</f>
        <v>3.3333333333333333E-2</v>
      </c>
      <c r="E677" s="13">
        <f t="shared" si="20"/>
        <v>1</v>
      </c>
      <c r="F677" s="7">
        <v>6</v>
      </c>
      <c r="G677" s="13">
        <f t="shared" si="21"/>
        <v>5</v>
      </c>
      <c r="L677" s="13"/>
    </row>
    <row r="678" spans="1:12" x14ac:dyDescent="0.3">
      <c r="A678" s="7" t="s">
        <v>730</v>
      </c>
      <c r="B678" s="7" t="s">
        <v>0</v>
      </c>
      <c r="C678" s="7" cm="1">
        <f t="array" ref="C678">_xlfn.IFS(B678="25-50%",45,B678="50-75%",30,B678="last 25%",30,B678="Retire",0,B678="Top 25 %",60,B678="REST",30)</f>
        <v>30</v>
      </c>
      <c r="D678" s="13" cm="1">
        <f t="array" ref="D678">AVERAGE('SKU sales and Inventory'!D679:F679/30)</f>
        <v>3.3333333333333333E-2</v>
      </c>
      <c r="E678" s="13">
        <f t="shared" si="20"/>
        <v>1</v>
      </c>
      <c r="F678" s="7">
        <v>3</v>
      </c>
      <c r="G678" s="13">
        <f t="shared" si="21"/>
        <v>2</v>
      </c>
      <c r="L678" s="13"/>
    </row>
    <row r="679" spans="1:12" x14ac:dyDescent="0.3">
      <c r="A679" s="7" t="s">
        <v>731</v>
      </c>
      <c r="B679" s="7" t="s">
        <v>0</v>
      </c>
      <c r="C679" s="7" cm="1">
        <f t="array" ref="C679">_xlfn.IFS(B679="25-50%",45,B679="50-75%",30,B679="last 25%",30,B679="Retire",0,B679="Top 25 %",60,B679="REST",30)</f>
        <v>30</v>
      </c>
      <c r="D679" s="13" cm="1">
        <f t="array" ref="D679">AVERAGE('SKU sales and Inventory'!D680:F680/30)</f>
        <v>0</v>
      </c>
      <c r="E679" s="13">
        <f t="shared" si="20"/>
        <v>0</v>
      </c>
      <c r="F679" s="7">
        <v>0</v>
      </c>
      <c r="G679" s="13">
        <f t="shared" si="21"/>
        <v>0</v>
      </c>
      <c r="L679" s="13"/>
    </row>
    <row r="680" spans="1:12" x14ac:dyDescent="0.3">
      <c r="A680" s="7" t="s">
        <v>732</v>
      </c>
      <c r="B680" s="7" t="s">
        <v>0</v>
      </c>
      <c r="C680" s="7" cm="1">
        <f t="array" ref="C680">_xlfn.IFS(B680="25-50%",45,B680="50-75%",30,B680="last 25%",30,B680="Retire",0,B680="Top 25 %",60,B680="REST",30)</f>
        <v>30</v>
      </c>
      <c r="D680" s="13" cm="1">
        <f t="array" ref="D680">AVERAGE('SKU sales and Inventory'!D681:F681/30)</f>
        <v>0</v>
      </c>
      <c r="E680" s="13">
        <f t="shared" si="20"/>
        <v>0</v>
      </c>
      <c r="F680" s="7">
        <v>6</v>
      </c>
      <c r="G680" s="13">
        <f t="shared" si="21"/>
        <v>6</v>
      </c>
      <c r="L680" s="13"/>
    </row>
    <row r="681" spans="1:12" x14ac:dyDescent="0.3">
      <c r="A681" s="7" t="s">
        <v>733</v>
      </c>
      <c r="B681" s="7" t="s">
        <v>0</v>
      </c>
      <c r="C681" s="7" cm="1">
        <f t="array" ref="C681">_xlfn.IFS(B681="25-50%",45,B681="50-75%",30,B681="last 25%",30,B681="Retire",0,B681="Top 25 %",60,B681="REST",30)</f>
        <v>30</v>
      </c>
      <c r="D681" s="13" cm="1">
        <f t="array" ref="D681">AVERAGE('SKU sales and Inventory'!D682:F682/30)</f>
        <v>0</v>
      </c>
      <c r="E681" s="13">
        <f t="shared" si="20"/>
        <v>0</v>
      </c>
      <c r="F681" s="7">
        <v>3</v>
      </c>
      <c r="G681" s="13">
        <f t="shared" si="21"/>
        <v>3</v>
      </c>
      <c r="L681" s="13"/>
    </row>
    <row r="682" spans="1:12" x14ac:dyDescent="0.3">
      <c r="A682" s="7" t="s">
        <v>734</v>
      </c>
      <c r="B682" s="7" t="s">
        <v>0</v>
      </c>
      <c r="C682" s="7" cm="1">
        <f t="array" ref="C682">_xlfn.IFS(B682="25-50%",45,B682="50-75%",30,B682="last 25%",30,B682="Retire",0,B682="Top 25 %",60,B682="REST",30)</f>
        <v>30</v>
      </c>
      <c r="D682" s="13" cm="1">
        <f t="array" ref="D682">AVERAGE('SKU sales and Inventory'!D683:F683/30)</f>
        <v>0</v>
      </c>
      <c r="E682" s="13">
        <f t="shared" si="20"/>
        <v>0</v>
      </c>
      <c r="F682" s="7">
        <v>3</v>
      </c>
      <c r="G682" s="13">
        <f t="shared" si="21"/>
        <v>3</v>
      </c>
      <c r="L682" s="13"/>
    </row>
    <row r="683" spans="1:12" x14ac:dyDescent="0.3">
      <c r="A683" s="7" t="s">
        <v>735</v>
      </c>
      <c r="B683" s="7" t="s">
        <v>0</v>
      </c>
      <c r="C683" s="7" cm="1">
        <f t="array" ref="C683">_xlfn.IFS(B683="25-50%",45,B683="50-75%",30,B683="last 25%",30,B683="Retire",0,B683="Top 25 %",60,B683="REST",30)</f>
        <v>30</v>
      </c>
      <c r="D683" s="13" cm="1">
        <f t="array" ref="D683">AVERAGE('SKU sales and Inventory'!D684:F684/30)</f>
        <v>0</v>
      </c>
      <c r="E683" s="13">
        <f t="shared" si="20"/>
        <v>0</v>
      </c>
      <c r="F683" s="7">
        <v>3</v>
      </c>
      <c r="G683" s="13">
        <f t="shared" si="21"/>
        <v>3</v>
      </c>
      <c r="L683" s="13"/>
    </row>
    <row r="684" spans="1:12" x14ac:dyDescent="0.3">
      <c r="A684" s="7" t="s">
        <v>736</v>
      </c>
      <c r="B684" s="7" t="s">
        <v>0</v>
      </c>
      <c r="C684" s="7" cm="1">
        <f t="array" ref="C684">_xlfn.IFS(B684="25-50%",45,B684="50-75%",30,B684="last 25%",30,B684="Retire",0,B684="Top 25 %",60,B684="REST",30)</f>
        <v>30</v>
      </c>
      <c r="D684" s="13" cm="1">
        <f t="array" ref="D684">AVERAGE('SKU sales and Inventory'!D685:F685/30)</f>
        <v>0</v>
      </c>
      <c r="E684" s="13">
        <f t="shared" si="20"/>
        <v>0</v>
      </c>
      <c r="F684" s="7">
        <v>57</v>
      </c>
      <c r="G684" s="13">
        <f t="shared" si="21"/>
        <v>57</v>
      </c>
      <c r="L684" s="13"/>
    </row>
    <row r="685" spans="1:12" x14ac:dyDescent="0.3">
      <c r="A685" s="7" t="s">
        <v>737</v>
      </c>
      <c r="B685" s="7" t="s">
        <v>0</v>
      </c>
      <c r="C685" s="7" cm="1">
        <f t="array" ref="C685">_xlfn.IFS(B685="25-50%",45,B685="50-75%",30,B685="last 25%",30,B685="Retire",0,B685="Top 25 %",60,B685="REST",30)</f>
        <v>30</v>
      </c>
      <c r="D685" s="13" cm="1">
        <f t="array" ref="D685">AVERAGE('SKU sales and Inventory'!D686:F686/30)</f>
        <v>0</v>
      </c>
      <c r="E685" s="13">
        <f t="shared" si="20"/>
        <v>0</v>
      </c>
      <c r="F685" s="7">
        <v>30</v>
      </c>
      <c r="G685" s="13">
        <f t="shared" si="21"/>
        <v>30</v>
      </c>
      <c r="L685" s="13"/>
    </row>
    <row r="686" spans="1:12" x14ac:dyDescent="0.3">
      <c r="A686" s="7" t="s">
        <v>738</v>
      </c>
      <c r="B686" s="7" t="s">
        <v>0</v>
      </c>
      <c r="C686" s="7" cm="1">
        <f t="array" ref="C686">_xlfn.IFS(B686="25-50%",45,B686="50-75%",30,B686="last 25%",30,B686="Retire",0,B686="Top 25 %",60,B686="REST",30)</f>
        <v>30</v>
      </c>
      <c r="D686" s="13" cm="1">
        <f t="array" ref="D686">AVERAGE('SKU sales and Inventory'!D687:F687/30)</f>
        <v>0</v>
      </c>
      <c r="E686" s="13">
        <f t="shared" si="20"/>
        <v>0</v>
      </c>
      <c r="F686" s="7">
        <v>0</v>
      </c>
      <c r="G686" s="13">
        <f t="shared" si="21"/>
        <v>0</v>
      </c>
      <c r="L686" s="13"/>
    </row>
    <row r="687" spans="1:12" x14ac:dyDescent="0.3">
      <c r="A687" s="7" t="s">
        <v>739</v>
      </c>
      <c r="B687" s="7" t="s">
        <v>0</v>
      </c>
      <c r="C687" s="7" cm="1">
        <f t="array" ref="C687">_xlfn.IFS(B687="25-50%",45,B687="50-75%",30,B687="last 25%",30,B687="Retire",0,B687="Top 25 %",60,B687="REST",30)</f>
        <v>30</v>
      </c>
      <c r="D687" s="13" cm="1">
        <f t="array" ref="D687">AVERAGE('SKU sales and Inventory'!D688:F688/30)</f>
        <v>0</v>
      </c>
      <c r="E687" s="13">
        <f t="shared" si="20"/>
        <v>0</v>
      </c>
      <c r="F687" s="7">
        <v>0</v>
      </c>
      <c r="G687" s="13">
        <f t="shared" si="21"/>
        <v>0</v>
      </c>
      <c r="L687" s="13"/>
    </row>
    <row r="688" spans="1:12" x14ac:dyDescent="0.3">
      <c r="A688" s="7" t="s">
        <v>740</v>
      </c>
      <c r="B688" s="7" t="s">
        <v>0</v>
      </c>
      <c r="C688" s="7" cm="1">
        <f t="array" ref="C688">_xlfn.IFS(B688="25-50%",45,B688="50-75%",30,B688="last 25%",30,B688="Retire",0,B688="Top 25 %",60,B688="REST",30)</f>
        <v>30</v>
      </c>
      <c r="D688" s="13" cm="1">
        <f t="array" ref="D688">AVERAGE('SKU sales and Inventory'!D689:F689/30)</f>
        <v>0</v>
      </c>
      <c r="E688" s="13">
        <f t="shared" si="20"/>
        <v>0</v>
      </c>
      <c r="F688" s="7">
        <v>0</v>
      </c>
      <c r="G688" s="13">
        <f t="shared" si="21"/>
        <v>0</v>
      </c>
      <c r="L688" s="13"/>
    </row>
    <row r="689" spans="1:12" x14ac:dyDescent="0.3">
      <c r="A689" s="7" t="s">
        <v>741</v>
      </c>
      <c r="B689" s="7" t="s">
        <v>0</v>
      </c>
      <c r="C689" s="7" cm="1">
        <f t="array" ref="C689">_xlfn.IFS(B689="25-50%",45,B689="50-75%",30,B689="last 25%",30,B689="Retire",0,B689="Top 25 %",60,B689="REST",30)</f>
        <v>30</v>
      </c>
      <c r="D689" s="13" cm="1">
        <f t="array" ref="D689">AVERAGE('SKU sales and Inventory'!D690:F690/30)</f>
        <v>0</v>
      </c>
      <c r="E689" s="13">
        <f t="shared" si="20"/>
        <v>0</v>
      </c>
      <c r="F689" s="7">
        <v>0</v>
      </c>
      <c r="G689" s="13">
        <f t="shared" si="21"/>
        <v>0</v>
      </c>
      <c r="L689" s="13"/>
    </row>
    <row r="690" spans="1:12" x14ac:dyDescent="0.3">
      <c r="A690" s="7" t="s">
        <v>742</v>
      </c>
      <c r="B690" s="7" t="s">
        <v>0</v>
      </c>
      <c r="C690" s="7" cm="1">
        <f t="array" ref="C690">_xlfn.IFS(B690="25-50%",45,B690="50-75%",30,B690="last 25%",30,B690="Retire",0,B690="Top 25 %",60,B690="REST",30)</f>
        <v>30</v>
      </c>
      <c r="D690" s="13" cm="1">
        <f t="array" ref="D690">AVERAGE('SKU sales and Inventory'!D691:F691/30)</f>
        <v>0</v>
      </c>
      <c r="E690" s="13">
        <f t="shared" si="20"/>
        <v>0</v>
      </c>
      <c r="F690" s="7">
        <v>0</v>
      </c>
      <c r="G690" s="13">
        <f t="shared" si="21"/>
        <v>0</v>
      </c>
      <c r="L690" s="13"/>
    </row>
    <row r="691" spans="1:12" x14ac:dyDescent="0.3">
      <c r="A691" s="7" t="s">
        <v>743</v>
      </c>
      <c r="B691" s="7" t="s">
        <v>0</v>
      </c>
      <c r="C691" s="7" cm="1">
        <f t="array" ref="C691">_xlfn.IFS(B691="25-50%",45,B691="50-75%",30,B691="last 25%",30,B691="Retire",0,B691="Top 25 %",60,B691="REST",30)</f>
        <v>30</v>
      </c>
      <c r="D691" s="13" cm="1">
        <f t="array" ref="D691">AVERAGE('SKU sales and Inventory'!D692:F692/30)</f>
        <v>0</v>
      </c>
      <c r="E691" s="13">
        <f t="shared" si="20"/>
        <v>0</v>
      </c>
      <c r="F691" s="7">
        <v>3</v>
      </c>
      <c r="G691" s="13">
        <f t="shared" si="21"/>
        <v>3</v>
      </c>
      <c r="L691" s="13"/>
    </row>
    <row r="692" spans="1:12" x14ac:dyDescent="0.3">
      <c r="A692" s="7" t="s">
        <v>744</v>
      </c>
      <c r="B692" s="7" t="s">
        <v>0</v>
      </c>
      <c r="C692" s="7" cm="1">
        <f t="array" ref="C692">_xlfn.IFS(B692="25-50%",45,B692="50-75%",30,B692="last 25%",30,B692="Retire",0,B692="Top 25 %",60,B692="REST",30)</f>
        <v>30</v>
      </c>
      <c r="D692" s="13" cm="1">
        <f t="array" ref="D692">AVERAGE('SKU sales and Inventory'!D693:F693/30)</f>
        <v>0</v>
      </c>
      <c r="E692" s="13">
        <f t="shared" si="20"/>
        <v>0</v>
      </c>
      <c r="F692" s="7">
        <v>0</v>
      </c>
      <c r="G692" s="13">
        <f t="shared" si="21"/>
        <v>0</v>
      </c>
      <c r="L692" s="13"/>
    </row>
    <row r="693" spans="1:12" x14ac:dyDescent="0.3">
      <c r="A693" s="7" t="s">
        <v>745</v>
      </c>
      <c r="B693" s="7" t="s">
        <v>0</v>
      </c>
      <c r="C693" s="7" cm="1">
        <f t="array" ref="C693">_xlfn.IFS(B693="25-50%",45,B693="50-75%",30,B693="last 25%",30,B693="Retire",0,B693="Top 25 %",60,B693="REST",30)</f>
        <v>30</v>
      </c>
      <c r="D693" s="13" cm="1">
        <f t="array" ref="D693">AVERAGE('SKU sales and Inventory'!D694:F694/30)</f>
        <v>0</v>
      </c>
      <c r="E693" s="13">
        <f t="shared" si="20"/>
        <v>0</v>
      </c>
      <c r="F693" s="7">
        <v>3</v>
      </c>
      <c r="G693" s="13">
        <f t="shared" si="21"/>
        <v>3</v>
      </c>
      <c r="L693" s="13"/>
    </row>
    <row r="694" spans="1:12" x14ac:dyDescent="0.3">
      <c r="A694" s="7" t="s">
        <v>746</v>
      </c>
      <c r="B694" s="7" t="s">
        <v>0</v>
      </c>
      <c r="C694" s="7" cm="1">
        <f t="array" ref="C694">_xlfn.IFS(B694="25-50%",45,B694="50-75%",30,B694="last 25%",30,B694="Retire",0,B694="Top 25 %",60,B694="REST",30)</f>
        <v>30</v>
      </c>
      <c r="D694" s="13" cm="1">
        <f t="array" ref="D694">AVERAGE('SKU sales and Inventory'!D695:F695/30)</f>
        <v>0</v>
      </c>
      <c r="E694" s="13">
        <f t="shared" si="20"/>
        <v>0</v>
      </c>
      <c r="F694" s="7">
        <v>0</v>
      </c>
      <c r="G694" s="13">
        <f t="shared" si="21"/>
        <v>0</v>
      </c>
      <c r="L694" s="13"/>
    </row>
    <row r="695" spans="1:12" x14ac:dyDescent="0.3">
      <c r="A695" s="7" t="s">
        <v>747</v>
      </c>
      <c r="B695" s="7" t="s">
        <v>0</v>
      </c>
      <c r="C695" s="7" cm="1">
        <f t="array" ref="C695">_xlfn.IFS(B695="25-50%",45,B695="50-75%",30,B695="last 25%",30,B695="Retire",0,B695="Top 25 %",60,B695="REST",30)</f>
        <v>30</v>
      </c>
      <c r="D695" s="13" cm="1">
        <f t="array" ref="D695">AVERAGE('SKU sales and Inventory'!D696:F696/30)</f>
        <v>0</v>
      </c>
      <c r="E695" s="13">
        <f t="shared" si="20"/>
        <v>0</v>
      </c>
      <c r="F695" s="7">
        <v>0</v>
      </c>
      <c r="G695" s="13">
        <f t="shared" si="21"/>
        <v>0</v>
      </c>
      <c r="L695" s="13"/>
    </row>
    <row r="696" spans="1:12" x14ac:dyDescent="0.3">
      <c r="A696" s="7" t="s">
        <v>748</v>
      </c>
      <c r="B696" s="7" t="s">
        <v>0</v>
      </c>
      <c r="C696" s="7" cm="1">
        <f t="array" ref="C696">_xlfn.IFS(B696="25-50%",45,B696="50-75%",30,B696="last 25%",30,B696="Retire",0,B696="Top 25 %",60,B696="REST",30)</f>
        <v>30</v>
      </c>
      <c r="D696" s="13" cm="1">
        <f t="array" ref="D696">AVERAGE('SKU sales and Inventory'!D697:F697/30)</f>
        <v>0</v>
      </c>
      <c r="E696" s="13">
        <f t="shared" si="20"/>
        <v>0</v>
      </c>
      <c r="F696" s="7">
        <v>0</v>
      </c>
      <c r="G696" s="13">
        <f t="shared" si="21"/>
        <v>0</v>
      </c>
      <c r="L696" s="13"/>
    </row>
    <row r="697" spans="1:12" x14ac:dyDescent="0.3">
      <c r="A697" s="7" t="s">
        <v>749</v>
      </c>
      <c r="B697" s="7" t="s">
        <v>0</v>
      </c>
      <c r="C697" s="7" cm="1">
        <f t="array" ref="C697">_xlfn.IFS(B697="25-50%",45,B697="50-75%",30,B697="last 25%",30,B697="Retire",0,B697="Top 25 %",60,B697="REST",30)</f>
        <v>30</v>
      </c>
      <c r="D697" s="13" cm="1">
        <f t="array" ref="D697">AVERAGE('SKU sales and Inventory'!D698:F698/30)</f>
        <v>6.6666666666666666E-2</v>
      </c>
      <c r="E697" s="13">
        <f t="shared" si="20"/>
        <v>2</v>
      </c>
      <c r="F697" s="7">
        <v>15</v>
      </c>
      <c r="G697" s="13">
        <f t="shared" si="21"/>
        <v>13</v>
      </c>
      <c r="L697" s="13"/>
    </row>
    <row r="698" spans="1:12" x14ac:dyDescent="0.3">
      <c r="A698" s="7" t="s">
        <v>750</v>
      </c>
      <c r="B698" s="7" t="s">
        <v>0</v>
      </c>
      <c r="C698" s="7" cm="1">
        <f t="array" ref="C698">_xlfn.IFS(B698="25-50%",45,B698="50-75%",30,B698="last 25%",30,B698="Retire",0,B698="Top 25 %",60,B698="REST",30)</f>
        <v>30</v>
      </c>
      <c r="D698" s="13" cm="1">
        <f t="array" ref="D698">AVERAGE('SKU sales and Inventory'!D699:F699/30)</f>
        <v>0</v>
      </c>
      <c r="E698" s="13">
        <f t="shared" si="20"/>
        <v>0</v>
      </c>
      <c r="F698" s="7">
        <v>0</v>
      </c>
      <c r="G698" s="13">
        <f t="shared" si="21"/>
        <v>0</v>
      </c>
      <c r="L698" s="13"/>
    </row>
    <row r="699" spans="1:12" x14ac:dyDescent="0.3">
      <c r="A699" s="7" t="s">
        <v>751</v>
      </c>
      <c r="B699" s="7" t="s">
        <v>0</v>
      </c>
      <c r="C699" s="7" cm="1">
        <f t="array" ref="C699">_xlfn.IFS(B699="25-50%",45,B699="50-75%",30,B699="last 25%",30,B699="Retire",0,B699="Top 25 %",60,B699="REST",30)</f>
        <v>30</v>
      </c>
      <c r="D699" s="13" cm="1">
        <f t="array" ref="D699">AVERAGE('SKU sales and Inventory'!D700:F700/30)</f>
        <v>0</v>
      </c>
      <c r="E699" s="13">
        <f t="shared" si="20"/>
        <v>0</v>
      </c>
      <c r="F699" s="7">
        <v>0</v>
      </c>
      <c r="G699" s="13">
        <f t="shared" si="21"/>
        <v>0</v>
      </c>
      <c r="L699" s="13"/>
    </row>
    <row r="700" spans="1:12" x14ac:dyDescent="0.3">
      <c r="A700" s="7" t="s">
        <v>752</v>
      </c>
      <c r="B700" s="7" t="s">
        <v>0</v>
      </c>
      <c r="C700" s="7" cm="1">
        <f t="array" ref="C700">_xlfn.IFS(B700="25-50%",45,B700="50-75%",30,B700="last 25%",30,B700="Retire",0,B700="Top 25 %",60,B700="REST",30)</f>
        <v>30</v>
      </c>
      <c r="D700" s="13" cm="1">
        <f t="array" ref="D700">AVERAGE('SKU sales and Inventory'!D701:F701/30)</f>
        <v>0</v>
      </c>
      <c r="E700" s="13">
        <f t="shared" si="20"/>
        <v>0</v>
      </c>
      <c r="F700" s="7">
        <v>0</v>
      </c>
      <c r="G700" s="13">
        <f t="shared" si="21"/>
        <v>0</v>
      </c>
      <c r="L700" s="13"/>
    </row>
    <row r="701" spans="1:12" x14ac:dyDescent="0.3">
      <c r="A701" s="7" t="s">
        <v>753</v>
      </c>
      <c r="B701" s="7" t="s">
        <v>0</v>
      </c>
      <c r="C701" s="7" cm="1">
        <f t="array" ref="C701">_xlfn.IFS(B701="25-50%",45,B701="50-75%",30,B701="last 25%",30,B701="Retire",0,B701="Top 25 %",60,B701="REST",30)</f>
        <v>30</v>
      </c>
      <c r="D701" s="13" cm="1">
        <f t="array" ref="D701">AVERAGE('SKU sales and Inventory'!D702:F702/30)</f>
        <v>0</v>
      </c>
      <c r="E701" s="13">
        <f t="shared" si="20"/>
        <v>0</v>
      </c>
      <c r="F701" s="7">
        <v>3</v>
      </c>
      <c r="G701" s="13">
        <f t="shared" si="21"/>
        <v>3</v>
      </c>
      <c r="L701" s="13"/>
    </row>
    <row r="702" spans="1:12" x14ac:dyDescent="0.3">
      <c r="A702" s="7" t="s">
        <v>754</v>
      </c>
      <c r="B702" s="7" t="s">
        <v>0</v>
      </c>
      <c r="C702" s="7" cm="1">
        <f t="array" ref="C702">_xlfn.IFS(B702="25-50%",45,B702="50-75%",30,B702="last 25%",30,B702="Retire",0,B702="Top 25 %",60,B702="REST",30)</f>
        <v>30</v>
      </c>
      <c r="D702" s="13" cm="1">
        <f t="array" ref="D702">AVERAGE('SKU sales and Inventory'!D703:F703/30)</f>
        <v>0</v>
      </c>
      <c r="E702" s="13">
        <f t="shared" si="20"/>
        <v>0</v>
      </c>
      <c r="F702" s="7">
        <v>0</v>
      </c>
      <c r="G702" s="13">
        <f t="shared" si="21"/>
        <v>0</v>
      </c>
      <c r="L702" s="13"/>
    </row>
    <row r="703" spans="1:12" x14ac:dyDescent="0.3">
      <c r="A703" s="7" t="s">
        <v>755</v>
      </c>
      <c r="B703" s="7" t="s">
        <v>0</v>
      </c>
      <c r="C703" s="7" cm="1">
        <f t="array" ref="C703">_xlfn.IFS(B703="25-50%",45,B703="50-75%",30,B703="last 25%",30,B703="Retire",0,B703="Top 25 %",60,B703="REST",30)</f>
        <v>30</v>
      </c>
      <c r="D703" s="13" cm="1">
        <f t="array" ref="D703">AVERAGE('SKU sales and Inventory'!D704:F704/30)</f>
        <v>0</v>
      </c>
      <c r="E703" s="13">
        <f t="shared" si="20"/>
        <v>0</v>
      </c>
      <c r="F703" s="7">
        <v>0</v>
      </c>
      <c r="G703" s="13">
        <f t="shared" si="21"/>
        <v>0</v>
      </c>
      <c r="L703" s="13"/>
    </row>
    <row r="704" spans="1:12" x14ac:dyDescent="0.3">
      <c r="A704" s="7" t="s">
        <v>756</v>
      </c>
      <c r="B704" s="7" t="s">
        <v>0</v>
      </c>
      <c r="C704" s="7" cm="1">
        <f t="array" ref="C704">_xlfn.IFS(B704="25-50%",45,B704="50-75%",30,B704="last 25%",30,B704="Retire",0,B704="Top 25 %",60,B704="REST",30)</f>
        <v>30</v>
      </c>
      <c r="D704" s="13" cm="1">
        <f t="array" ref="D704">AVERAGE('SKU sales and Inventory'!D705:F705/30)</f>
        <v>0</v>
      </c>
      <c r="E704" s="13">
        <f t="shared" si="20"/>
        <v>0</v>
      </c>
      <c r="F704" s="7">
        <v>0</v>
      </c>
      <c r="G704" s="13">
        <f t="shared" si="21"/>
        <v>0</v>
      </c>
      <c r="L704" s="13"/>
    </row>
    <row r="705" spans="1:12" x14ac:dyDescent="0.3">
      <c r="A705" s="7" t="s">
        <v>757</v>
      </c>
      <c r="B705" s="7" t="s">
        <v>0</v>
      </c>
      <c r="C705" s="7" cm="1">
        <f t="array" ref="C705">_xlfn.IFS(B705="25-50%",45,B705="50-75%",30,B705="last 25%",30,B705="Retire",0,B705="Top 25 %",60,B705="REST",30)</f>
        <v>30</v>
      </c>
      <c r="D705" s="13" cm="1">
        <f t="array" ref="D705">AVERAGE('SKU sales and Inventory'!D706:F706/30)</f>
        <v>0</v>
      </c>
      <c r="E705" s="13">
        <f t="shared" si="20"/>
        <v>0</v>
      </c>
      <c r="F705" s="7">
        <v>0</v>
      </c>
      <c r="G705" s="13">
        <f t="shared" si="21"/>
        <v>0</v>
      </c>
      <c r="L705" s="13"/>
    </row>
    <row r="706" spans="1:12" x14ac:dyDescent="0.3">
      <c r="A706" s="7" t="s">
        <v>758</v>
      </c>
      <c r="B706" s="7" t="s">
        <v>0</v>
      </c>
      <c r="C706" s="7" cm="1">
        <f t="array" ref="C706">_xlfn.IFS(B706="25-50%",45,B706="50-75%",30,B706="last 25%",30,B706="Retire",0,B706="Top 25 %",60,B706="REST",30)</f>
        <v>30</v>
      </c>
      <c r="D706" s="13" cm="1">
        <f t="array" ref="D706">AVERAGE('SKU sales and Inventory'!D707:F707/30)</f>
        <v>0</v>
      </c>
      <c r="E706" s="13">
        <f t="shared" si="20"/>
        <v>0</v>
      </c>
      <c r="F706" s="7">
        <v>3</v>
      </c>
      <c r="G706" s="13">
        <f t="shared" si="21"/>
        <v>3</v>
      </c>
      <c r="L706" s="13"/>
    </row>
    <row r="707" spans="1:12" x14ac:dyDescent="0.3">
      <c r="A707" s="7" t="s">
        <v>759</v>
      </c>
      <c r="B707" s="7" t="s">
        <v>0</v>
      </c>
      <c r="C707" s="7" cm="1">
        <f t="array" ref="C707">_xlfn.IFS(B707="25-50%",45,B707="50-75%",30,B707="last 25%",30,B707="Retire",0,B707="Top 25 %",60,B707="REST",30)</f>
        <v>30</v>
      </c>
      <c r="D707" s="13" cm="1">
        <f t="array" ref="D707">AVERAGE('SKU sales and Inventory'!D708:F708/30)</f>
        <v>0</v>
      </c>
      <c r="E707" s="13">
        <f t="shared" ref="E707:E763" si="22">D707*C707</f>
        <v>0</v>
      </c>
      <c r="F707" s="7">
        <v>3</v>
      </c>
      <c r="G707" s="13">
        <f t="shared" ref="G707:G763" si="23">F707-E707</f>
        <v>3</v>
      </c>
      <c r="L707" s="13"/>
    </row>
    <row r="708" spans="1:12" x14ac:dyDescent="0.3">
      <c r="A708" s="7" t="s">
        <v>760</v>
      </c>
      <c r="B708" s="7" t="s">
        <v>0</v>
      </c>
      <c r="C708" s="7" cm="1">
        <f t="array" ref="C708">_xlfn.IFS(B708="25-50%",45,B708="50-75%",30,B708="last 25%",30,B708="Retire",0,B708="Top 25 %",60,B708="REST",30)</f>
        <v>30</v>
      </c>
      <c r="D708" s="13" cm="1">
        <f t="array" ref="D708">AVERAGE('SKU sales and Inventory'!D709:F709/30)</f>
        <v>0</v>
      </c>
      <c r="E708" s="13">
        <f t="shared" si="22"/>
        <v>0</v>
      </c>
      <c r="F708" s="7">
        <v>3</v>
      </c>
      <c r="G708" s="13">
        <f t="shared" si="23"/>
        <v>3</v>
      </c>
      <c r="L708" s="13"/>
    </row>
    <row r="709" spans="1:12" x14ac:dyDescent="0.3">
      <c r="A709" s="7" t="s">
        <v>761</v>
      </c>
      <c r="B709" s="7" t="s">
        <v>0</v>
      </c>
      <c r="C709" s="7" cm="1">
        <f t="array" ref="C709">_xlfn.IFS(B709="25-50%",45,B709="50-75%",30,B709="last 25%",30,B709="Retire",0,B709="Top 25 %",60,B709="REST",30)</f>
        <v>30</v>
      </c>
      <c r="D709" s="13" cm="1">
        <f t="array" ref="D709">AVERAGE('SKU sales and Inventory'!D710:F710/30)</f>
        <v>0</v>
      </c>
      <c r="E709" s="13">
        <f t="shared" si="22"/>
        <v>0</v>
      </c>
      <c r="F709" s="7">
        <v>3</v>
      </c>
      <c r="G709" s="13">
        <f t="shared" si="23"/>
        <v>3</v>
      </c>
      <c r="L709" s="13"/>
    </row>
    <row r="710" spans="1:12" x14ac:dyDescent="0.3">
      <c r="A710" s="7" t="s">
        <v>762</v>
      </c>
      <c r="B710" s="7" t="s">
        <v>0</v>
      </c>
      <c r="C710" s="7" cm="1">
        <f t="array" ref="C710">_xlfn.IFS(B710="25-50%",45,B710="50-75%",30,B710="last 25%",30,B710="Retire",0,B710="Top 25 %",60,B710="REST",30)</f>
        <v>30</v>
      </c>
      <c r="D710" s="13" cm="1">
        <f t="array" ref="D710">AVERAGE('SKU sales and Inventory'!D711:F711/30)</f>
        <v>0</v>
      </c>
      <c r="E710" s="13">
        <f t="shared" si="22"/>
        <v>0</v>
      </c>
      <c r="F710" s="7">
        <v>3</v>
      </c>
      <c r="G710" s="13">
        <f t="shared" si="23"/>
        <v>3</v>
      </c>
      <c r="L710" s="13"/>
    </row>
    <row r="711" spans="1:12" x14ac:dyDescent="0.3">
      <c r="A711" s="7" t="s">
        <v>763</v>
      </c>
      <c r="B711" s="7" t="s">
        <v>0</v>
      </c>
      <c r="C711" s="7" cm="1">
        <f t="array" ref="C711">_xlfn.IFS(B711="25-50%",45,B711="50-75%",30,B711="last 25%",30,B711="Retire",0,B711="Top 25 %",60,B711="REST",30)</f>
        <v>30</v>
      </c>
      <c r="D711" s="13" cm="1">
        <f t="array" ref="D711">AVERAGE('SKU sales and Inventory'!D712:F712/30)</f>
        <v>0</v>
      </c>
      <c r="E711" s="13">
        <f t="shared" si="22"/>
        <v>0</v>
      </c>
      <c r="F711" s="7">
        <v>0</v>
      </c>
      <c r="G711" s="13">
        <f t="shared" si="23"/>
        <v>0</v>
      </c>
      <c r="L711" s="13"/>
    </row>
    <row r="712" spans="1:12" x14ac:dyDescent="0.3">
      <c r="A712" s="7" t="s">
        <v>764</v>
      </c>
      <c r="B712" s="7" t="s">
        <v>0</v>
      </c>
      <c r="C712" s="7" cm="1">
        <f t="array" ref="C712">_xlfn.IFS(B712="25-50%",45,B712="50-75%",30,B712="last 25%",30,B712="Retire",0,B712="Top 25 %",60,B712="REST",30)</f>
        <v>30</v>
      </c>
      <c r="D712" s="13" cm="1">
        <f t="array" ref="D712">AVERAGE('SKU sales and Inventory'!D713:F713/30)</f>
        <v>0</v>
      </c>
      <c r="E712" s="13">
        <f t="shared" si="22"/>
        <v>0</v>
      </c>
      <c r="F712" s="7">
        <v>0</v>
      </c>
      <c r="G712" s="13">
        <f t="shared" si="23"/>
        <v>0</v>
      </c>
      <c r="L712" s="13"/>
    </row>
    <row r="713" spans="1:12" x14ac:dyDescent="0.3">
      <c r="A713" s="7" t="s">
        <v>765</v>
      </c>
      <c r="B713" s="7" t="s">
        <v>0</v>
      </c>
      <c r="C713" s="7" cm="1">
        <f t="array" ref="C713">_xlfn.IFS(B713="25-50%",45,B713="50-75%",30,B713="last 25%",30,B713="Retire",0,B713="Top 25 %",60,B713="REST",30)</f>
        <v>30</v>
      </c>
      <c r="D713" s="13" cm="1">
        <f t="array" ref="D713">AVERAGE('SKU sales and Inventory'!D714:F714/30)</f>
        <v>0</v>
      </c>
      <c r="E713" s="13">
        <f t="shared" si="22"/>
        <v>0</v>
      </c>
      <c r="F713" s="7">
        <v>3</v>
      </c>
      <c r="G713" s="13">
        <f t="shared" si="23"/>
        <v>3</v>
      </c>
      <c r="L713" s="13"/>
    </row>
    <row r="714" spans="1:12" x14ac:dyDescent="0.3">
      <c r="A714" s="7" t="s">
        <v>766</v>
      </c>
      <c r="B714" s="7" t="s">
        <v>0</v>
      </c>
      <c r="C714" s="7" cm="1">
        <f t="array" ref="C714">_xlfn.IFS(B714="25-50%",45,B714="50-75%",30,B714="last 25%",30,B714="Retire",0,B714="Top 25 %",60,B714="REST",30)</f>
        <v>30</v>
      </c>
      <c r="D714" s="13" cm="1">
        <f t="array" ref="D714">AVERAGE('SKU sales and Inventory'!D715:F715/30)</f>
        <v>0</v>
      </c>
      <c r="E714" s="13">
        <f t="shared" si="22"/>
        <v>0</v>
      </c>
      <c r="F714" s="7">
        <v>0</v>
      </c>
      <c r="G714" s="13">
        <f t="shared" si="23"/>
        <v>0</v>
      </c>
      <c r="L714" s="13"/>
    </row>
    <row r="715" spans="1:12" x14ac:dyDescent="0.3">
      <c r="A715" s="7" t="s">
        <v>767</v>
      </c>
      <c r="B715" s="7" t="s">
        <v>0</v>
      </c>
      <c r="C715" s="7" cm="1">
        <f t="array" ref="C715">_xlfn.IFS(B715="25-50%",45,B715="50-75%",30,B715="last 25%",30,B715="Retire",0,B715="Top 25 %",60,B715="REST",30)</f>
        <v>30</v>
      </c>
      <c r="D715" s="13" cm="1">
        <f t="array" ref="D715">AVERAGE('SKU sales and Inventory'!D716:F716/30)</f>
        <v>0</v>
      </c>
      <c r="E715" s="13">
        <f t="shared" si="22"/>
        <v>0</v>
      </c>
      <c r="F715" s="7">
        <v>9</v>
      </c>
      <c r="G715" s="13">
        <f t="shared" si="23"/>
        <v>9</v>
      </c>
      <c r="L715" s="13"/>
    </row>
    <row r="716" spans="1:12" x14ac:dyDescent="0.3">
      <c r="A716" s="7" t="s">
        <v>768</v>
      </c>
      <c r="B716" s="7" t="s">
        <v>0</v>
      </c>
      <c r="C716" s="7" cm="1">
        <f t="array" ref="C716">_xlfn.IFS(B716="25-50%",45,B716="50-75%",30,B716="last 25%",30,B716="Retire",0,B716="Top 25 %",60,B716="REST",30)</f>
        <v>30</v>
      </c>
      <c r="D716" s="13" cm="1">
        <f t="array" ref="D716">AVERAGE('SKU sales and Inventory'!D717:F717/30)</f>
        <v>0</v>
      </c>
      <c r="E716" s="13">
        <f t="shared" si="22"/>
        <v>0</v>
      </c>
      <c r="F716" s="7">
        <v>9</v>
      </c>
      <c r="G716" s="13">
        <f t="shared" si="23"/>
        <v>9</v>
      </c>
      <c r="L716" s="13"/>
    </row>
    <row r="717" spans="1:12" x14ac:dyDescent="0.3">
      <c r="A717" s="7" t="s">
        <v>769</v>
      </c>
      <c r="B717" s="7" t="s">
        <v>0</v>
      </c>
      <c r="C717" s="7" cm="1">
        <f t="array" ref="C717">_xlfn.IFS(B717="25-50%",45,B717="50-75%",30,B717="last 25%",30,B717="Retire",0,B717="Top 25 %",60,B717="REST",30)</f>
        <v>30</v>
      </c>
      <c r="D717" s="13" cm="1">
        <f t="array" ref="D717">AVERAGE('SKU sales and Inventory'!D718:F718/30)</f>
        <v>0</v>
      </c>
      <c r="E717" s="13">
        <f t="shared" si="22"/>
        <v>0</v>
      </c>
      <c r="F717" s="7">
        <v>3</v>
      </c>
      <c r="G717" s="13">
        <f t="shared" si="23"/>
        <v>3</v>
      </c>
      <c r="L717" s="13"/>
    </row>
    <row r="718" spans="1:12" x14ac:dyDescent="0.3">
      <c r="A718" s="7" t="s">
        <v>770</v>
      </c>
      <c r="B718" s="7" t="s">
        <v>0</v>
      </c>
      <c r="C718" s="7" cm="1">
        <f t="array" ref="C718">_xlfn.IFS(B718="25-50%",45,B718="50-75%",30,B718="last 25%",30,B718="Retire",0,B718="Top 25 %",60,B718="REST",30)</f>
        <v>30</v>
      </c>
      <c r="D718" s="13" cm="1">
        <f t="array" ref="D718">AVERAGE('SKU sales and Inventory'!D719:F719/30)</f>
        <v>0</v>
      </c>
      <c r="E718" s="13">
        <f t="shared" si="22"/>
        <v>0</v>
      </c>
      <c r="F718" s="7">
        <v>0</v>
      </c>
      <c r="G718" s="13">
        <f t="shared" si="23"/>
        <v>0</v>
      </c>
      <c r="L718" s="13"/>
    </row>
    <row r="719" spans="1:12" x14ac:dyDescent="0.3">
      <c r="A719" s="7" t="s">
        <v>771</v>
      </c>
      <c r="B719" s="7" t="s">
        <v>0</v>
      </c>
      <c r="C719" s="7" cm="1">
        <f t="array" ref="C719">_xlfn.IFS(B719="25-50%",45,B719="50-75%",30,B719="last 25%",30,B719="Retire",0,B719="Top 25 %",60,B719="REST",30)</f>
        <v>30</v>
      </c>
      <c r="D719" s="13" cm="1">
        <f t="array" ref="D719">AVERAGE('SKU sales and Inventory'!D720:F720/30)</f>
        <v>6.6666666666666666E-2</v>
      </c>
      <c r="E719" s="13">
        <f t="shared" si="22"/>
        <v>2</v>
      </c>
      <c r="F719" s="7">
        <v>24</v>
      </c>
      <c r="G719" s="13">
        <f t="shared" si="23"/>
        <v>22</v>
      </c>
      <c r="L719" s="13"/>
    </row>
    <row r="720" spans="1:12" x14ac:dyDescent="0.3">
      <c r="A720" s="7" t="s">
        <v>772</v>
      </c>
      <c r="B720" s="7" t="s">
        <v>0</v>
      </c>
      <c r="C720" s="7" cm="1">
        <f t="array" ref="C720">_xlfn.IFS(B720="25-50%",45,B720="50-75%",30,B720="last 25%",30,B720="Retire",0,B720="Top 25 %",60,B720="REST",30)</f>
        <v>30</v>
      </c>
      <c r="D720" s="13" cm="1">
        <f t="array" ref="D720">AVERAGE('SKU sales and Inventory'!D721:F721/30)</f>
        <v>0</v>
      </c>
      <c r="E720" s="13">
        <f t="shared" si="22"/>
        <v>0</v>
      </c>
      <c r="F720" s="7">
        <v>117</v>
      </c>
      <c r="G720" s="13">
        <f t="shared" si="23"/>
        <v>117</v>
      </c>
      <c r="L720" s="13"/>
    </row>
    <row r="721" spans="1:12" x14ac:dyDescent="0.3">
      <c r="A721" s="7" t="s">
        <v>773</v>
      </c>
      <c r="B721" s="7" t="s">
        <v>0</v>
      </c>
      <c r="C721" s="7" cm="1">
        <f t="array" ref="C721">_xlfn.IFS(B721="25-50%",45,B721="50-75%",30,B721="last 25%",30,B721="Retire",0,B721="Top 25 %",60,B721="REST",30)</f>
        <v>30</v>
      </c>
      <c r="D721" s="13" cm="1">
        <f t="array" ref="D721">AVERAGE('SKU sales and Inventory'!D722:F722/30)</f>
        <v>0</v>
      </c>
      <c r="E721" s="13">
        <f t="shared" si="22"/>
        <v>0</v>
      </c>
      <c r="F721" s="7">
        <v>3</v>
      </c>
      <c r="G721" s="13">
        <f t="shared" si="23"/>
        <v>3</v>
      </c>
      <c r="L721" s="13"/>
    </row>
    <row r="722" spans="1:12" x14ac:dyDescent="0.3">
      <c r="A722" s="7" t="s">
        <v>774</v>
      </c>
      <c r="B722" s="7" t="s">
        <v>0</v>
      </c>
      <c r="C722" s="7" cm="1">
        <f t="array" ref="C722">_xlfn.IFS(B722="25-50%",45,B722="50-75%",30,B722="last 25%",30,B722="Retire",0,B722="Top 25 %",60,B722="REST",30)</f>
        <v>30</v>
      </c>
      <c r="D722" s="13" cm="1">
        <f t="array" ref="D722">AVERAGE('SKU sales and Inventory'!D723:F723/30)</f>
        <v>0</v>
      </c>
      <c r="E722" s="13">
        <f t="shared" si="22"/>
        <v>0</v>
      </c>
      <c r="F722" s="7">
        <v>3</v>
      </c>
      <c r="G722" s="13">
        <f t="shared" si="23"/>
        <v>3</v>
      </c>
      <c r="L722" s="13"/>
    </row>
    <row r="723" spans="1:12" x14ac:dyDescent="0.3">
      <c r="A723" s="7" t="s">
        <v>775</v>
      </c>
      <c r="B723" s="7" t="s">
        <v>0</v>
      </c>
      <c r="C723" s="7" cm="1">
        <f t="array" ref="C723">_xlfn.IFS(B723="25-50%",45,B723="50-75%",30,B723="last 25%",30,B723="Retire",0,B723="Top 25 %",60,B723="REST",30)</f>
        <v>30</v>
      </c>
      <c r="D723" s="13" cm="1">
        <f t="array" ref="D723">AVERAGE('SKU sales and Inventory'!D724:F724/30)</f>
        <v>0</v>
      </c>
      <c r="E723" s="13">
        <f t="shared" si="22"/>
        <v>0</v>
      </c>
      <c r="F723" s="7">
        <v>24</v>
      </c>
      <c r="G723" s="13">
        <f t="shared" si="23"/>
        <v>24</v>
      </c>
      <c r="L723" s="13"/>
    </row>
    <row r="724" spans="1:12" x14ac:dyDescent="0.3">
      <c r="A724" s="7" t="s">
        <v>776</v>
      </c>
      <c r="B724" s="7" t="s">
        <v>0</v>
      </c>
      <c r="C724" s="7" cm="1">
        <f t="array" ref="C724">_xlfn.IFS(B724="25-50%",45,B724="50-75%",30,B724="last 25%",30,B724="Retire",0,B724="Top 25 %",60,B724="REST",30)</f>
        <v>30</v>
      </c>
      <c r="D724" s="13" cm="1">
        <f t="array" ref="D724">AVERAGE('SKU sales and Inventory'!D725:F725/30)</f>
        <v>0</v>
      </c>
      <c r="E724" s="13">
        <f t="shared" si="22"/>
        <v>0</v>
      </c>
      <c r="F724" s="7">
        <v>0</v>
      </c>
      <c r="G724" s="13">
        <f t="shared" si="23"/>
        <v>0</v>
      </c>
      <c r="L724" s="13"/>
    </row>
    <row r="725" spans="1:12" x14ac:dyDescent="0.3">
      <c r="A725" s="7" t="s">
        <v>777</v>
      </c>
      <c r="B725" s="7" t="s">
        <v>0</v>
      </c>
      <c r="C725" s="7" cm="1">
        <f t="array" ref="C725">_xlfn.IFS(B725="25-50%",45,B725="50-75%",30,B725="last 25%",30,B725="Retire",0,B725="Top 25 %",60,B725="REST",30)</f>
        <v>30</v>
      </c>
      <c r="D725" s="13" cm="1">
        <f t="array" ref="D725">AVERAGE('SKU sales and Inventory'!D726:F726/30)</f>
        <v>0</v>
      </c>
      <c r="E725" s="13">
        <f t="shared" si="22"/>
        <v>0</v>
      </c>
      <c r="F725" s="7">
        <v>3</v>
      </c>
      <c r="G725" s="13">
        <f t="shared" si="23"/>
        <v>3</v>
      </c>
      <c r="L725" s="13"/>
    </row>
    <row r="726" spans="1:12" x14ac:dyDescent="0.3">
      <c r="A726" s="7" t="s">
        <v>778</v>
      </c>
      <c r="B726" s="7" t="s">
        <v>0</v>
      </c>
      <c r="C726" s="7" cm="1">
        <f t="array" ref="C726">_xlfn.IFS(B726="25-50%",45,B726="50-75%",30,B726="last 25%",30,B726="Retire",0,B726="Top 25 %",60,B726="REST",30)</f>
        <v>30</v>
      </c>
      <c r="D726" s="13" cm="1">
        <f t="array" ref="D726">AVERAGE('SKU sales and Inventory'!D727:F727/30)</f>
        <v>0</v>
      </c>
      <c r="E726" s="13">
        <f t="shared" si="22"/>
        <v>0</v>
      </c>
      <c r="F726" s="7">
        <v>3</v>
      </c>
      <c r="G726" s="13">
        <f t="shared" si="23"/>
        <v>3</v>
      </c>
      <c r="L726" s="13"/>
    </row>
    <row r="727" spans="1:12" x14ac:dyDescent="0.3">
      <c r="A727" s="7" t="s">
        <v>779</v>
      </c>
      <c r="B727" s="7" t="s">
        <v>0</v>
      </c>
      <c r="C727" s="7" cm="1">
        <f t="array" ref="C727">_xlfn.IFS(B727="25-50%",45,B727="50-75%",30,B727="last 25%",30,B727="Retire",0,B727="Top 25 %",60,B727="REST",30)</f>
        <v>30</v>
      </c>
      <c r="D727" s="13" cm="1">
        <f t="array" ref="D727">AVERAGE('SKU sales and Inventory'!D728:F728/30)</f>
        <v>0</v>
      </c>
      <c r="E727" s="13">
        <f t="shared" si="22"/>
        <v>0</v>
      </c>
      <c r="F727" s="7">
        <v>3</v>
      </c>
      <c r="G727" s="13">
        <f t="shared" si="23"/>
        <v>3</v>
      </c>
      <c r="L727" s="13"/>
    </row>
    <row r="728" spans="1:12" x14ac:dyDescent="0.3">
      <c r="A728" s="7" t="s">
        <v>780</v>
      </c>
      <c r="B728" s="7" t="s">
        <v>0</v>
      </c>
      <c r="C728" s="7" cm="1">
        <f t="array" ref="C728">_xlfn.IFS(B728="25-50%",45,B728="50-75%",30,B728="last 25%",30,B728="Retire",0,B728="Top 25 %",60,B728="REST",30)</f>
        <v>30</v>
      </c>
      <c r="D728" s="13" cm="1">
        <f t="array" ref="D728">AVERAGE('SKU sales and Inventory'!D729:F729/30)</f>
        <v>0</v>
      </c>
      <c r="E728" s="13">
        <f t="shared" si="22"/>
        <v>0</v>
      </c>
      <c r="F728" s="7">
        <v>0</v>
      </c>
      <c r="G728" s="13">
        <f t="shared" si="23"/>
        <v>0</v>
      </c>
      <c r="L728" s="13"/>
    </row>
    <row r="729" spans="1:12" x14ac:dyDescent="0.3">
      <c r="A729" s="7" t="s">
        <v>781</v>
      </c>
      <c r="B729" s="7" t="s">
        <v>0</v>
      </c>
      <c r="C729" s="7" cm="1">
        <f t="array" ref="C729">_xlfn.IFS(B729="25-50%",45,B729="50-75%",30,B729="last 25%",30,B729="Retire",0,B729="Top 25 %",60,B729="REST",30)</f>
        <v>30</v>
      </c>
      <c r="D729" s="13" cm="1">
        <f t="array" ref="D729">AVERAGE('SKU sales and Inventory'!D730:F730/30)</f>
        <v>6.6666666666666666E-2</v>
      </c>
      <c r="E729" s="13">
        <f t="shared" si="22"/>
        <v>2</v>
      </c>
      <c r="F729" s="7">
        <v>18</v>
      </c>
      <c r="G729" s="13">
        <f t="shared" si="23"/>
        <v>16</v>
      </c>
      <c r="L729" s="13"/>
    </row>
    <row r="730" spans="1:12" x14ac:dyDescent="0.3">
      <c r="A730" s="7" t="s">
        <v>782</v>
      </c>
      <c r="B730" s="7" t="s">
        <v>0</v>
      </c>
      <c r="C730" s="7" cm="1">
        <f t="array" ref="C730">_xlfn.IFS(B730="25-50%",45,B730="50-75%",30,B730="last 25%",30,B730="Retire",0,B730="Top 25 %",60,B730="REST",30)</f>
        <v>30</v>
      </c>
      <c r="D730" s="13" cm="1">
        <f t="array" ref="D730">AVERAGE('SKU sales and Inventory'!D731:F731/30)</f>
        <v>6.6666666666666666E-2</v>
      </c>
      <c r="E730" s="13">
        <f t="shared" si="22"/>
        <v>2</v>
      </c>
      <c r="F730" s="7">
        <v>21</v>
      </c>
      <c r="G730" s="13">
        <f t="shared" si="23"/>
        <v>19</v>
      </c>
      <c r="L730" s="13"/>
    </row>
    <row r="731" spans="1:12" x14ac:dyDescent="0.3">
      <c r="A731" s="7" t="s">
        <v>783</v>
      </c>
      <c r="B731" s="7" t="s">
        <v>0</v>
      </c>
      <c r="C731" s="7" cm="1">
        <f t="array" ref="C731">_xlfn.IFS(B731="25-50%",45,B731="50-75%",30,B731="last 25%",30,B731="Retire",0,B731="Top 25 %",60,B731="REST",30)</f>
        <v>30</v>
      </c>
      <c r="D731" s="13" cm="1">
        <f t="array" ref="D731">AVERAGE('SKU sales and Inventory'!D732:F732/30)</f>
        <v>6.6666666666666666E-2</v>
      </c>
      <c r="E731" s="13">
        <f t="shared" si="22"/>
        <v>2</v>
      </c>
      <c r="F731" s="7">
        <v>21</v>
      </c>
      <c r="G731" s="13">
        <f t="shared" si="23"/>
        <v>19</v>
      </c>
      <c r="L731" s="13"/>
    </row>
    <row r="732" spans="1:12" x14ac:dyDescent="0.3">
      <c r="A732" s="7" t="s">
        <v>784</v>
      </c>
      <c r="B732" s="7" t="s">
        <v>0</v>
      </c>
      <c r="C732" s="7" cm="1">
        <f t="array" ref="C732">_xlfn.IFS(B732="25-50%",45,B732="50-75%",30,B732="last 25%",30,B732="Retire",0,B732="Top 25 %",60,B732="REST",30)</f>
        <v>30</v>
      </c>
      <c r="D732" s="13" cm="1">
        <f t="array" ref="D732">AVERAGE('SKU sales and Inventory'!D733:F733/30)</f>
        <v>0</v>
      </c>
      <c r="E732" s="13">
        <f t="shared" si="22"/>
        <v>0</v>
      </c>
      <c r="F732" s="7">
        <v>0</v>
      </c>
      <c r="G732" s="13">
        <f t="shared" si="23"/>
        <v>0</v>
      </c>
      <c r="L732" s="13"/>
    </row>
    <row r="733" spans="1:12" x14ac:dyDescent="0.3">
      <c r="A733" s="7" t="s">
        <v>785</v>
      </c>
      <c r="B733" s="7" t="s">
        <v>0</v>
      </c>
      <c r="C733" s="7" cm="1">
        <f t="array" ref="C733">_xlfn.IFS(B733="25-50%",45,B733="50-75%",30,B733="last 25%",30,B733="Retire",0,B733="Top 25 %",60,B733="REST",30)</f>
        <v>30</v>
      </c>
      <c r="D733" s="13" cm="1">
        <f t="array" ref="D733">AVERAGE('SKU sales and Inventory'!D734:F734/30)</f>
        <v>0</v>
      </c>
      <c r="E733" s="13">
        <f t="shared" si="22"/>
        <v>0</v>
      </c>
      <c r="F733" s="7">
        <v>0</v>
      </c>
      <c r="G733" s="13">
        <f t="shared" si="23"/>
        <v>0</v>
      </c>
      <c r="L733" s="13"/>
    </row>
    <row r="734" spans="1:12" x14ac:dyDescent="0.3">
      <c r="A734" s="7" t="s">
        <v>786</v>
      </c>
      <c r="B734" s="7" t="s">
        <v>0</v>
      </c>
      <c r="C734" s="7" cm="1">
        <f t="array" ref="C734">_xlfn.IFS(B734="25-50%",45,B734="50-75%",30,B734="last 25%",30,B734="Retire",0,B734="Top 25 %",60,B734="REST",30)</f>
        <v>30</v>
      </c>
      <c r="D734" s="13" cm="1">
        <f t="array" ref="D734">AVERAGE('SKU sales and Inventory'!D735:F735/30)</f>
        <v>3.3333333333333333E-2</v>
      </c>
      <c r="E734" s="13">
        <f t="shared" si="22"/>
        <v>1</v>
      </c>
      <c r="F734" s="7">
        <v>15</v>
      </c>
      <c r="G734" s="13">
        <f t="shared" si="23"/>
        <v>14</v>
      </c>
      <c r="L734" s="13"/>
    </row>
    <row r="735" spans="1:12" x14ac:dyDescent="0.3">
      <c r="A735" s="7" t="s">
        <v>787</v>
      </c>
      <c r="B735" s="7" t="s">
        <v>0</v>
      </c>
      <c r="C735" s="7" cm="1">
        <f t="array" ref="C735">_xlfn.IFS(B735="25-50%",45,B735="50-75%",30,B735="last 25%",30,B735="Retire",0,B735="Top 25 %",60,B735="REST",30)</f>
        <v>30</v>
      </c>
      <c r="D735" s="13" cm="1">
        <f t="array" ref="D735">AVERAGE('SKU sales and Inventory'!D736:F736/30)</f>
        <v>0</v>
      </c>
      <c r="E735" s="13">
        <f t="shared" si="22"/>
        <v>0</v>
      </c>
      <c r="F735" s="7">
        <v>6</v>
      </c>
      <c r="G735" s="13">
        <f t="shared" si="23"/>
        <v>6</v>
      </c>
      <c r="L735" s="13"/>
    </row>
    <row r="736" spans="1:12" x14ac:dyDescent="0.3">
      <c r="A736" s="7" t="s">
        <v>788</v>
      </c>
      <c r="B736" s="7" t="s">
        <v>0</v>
      </c>
      <c r="C736" s="7" cm="1">
        <f t="array" ref="C736">_xlfn.IFS(B736="25-50%",45,B736="50-75%",30,B736="last 25%",30,B736="Retire",0,B736="Top 25 %",60,B736="REST",30)</f>
        <v>30</v>
      </c>
      <c r="D736" s="13" cm="1">
        <f t="array" ref="D736">AVERAGE('SKU sales and Inventory'!D737:F737/30)</f>
        <v>3.3333333333333333E-2</v>
      </c>
      <c r="E736" s="13">
        <f t="shared" si="22"/>
        <v>1</v>
      </c>
      <c r="F736" s="7">
        <v>6</v>
      </c>
      <c r="G736" s="13">
        <f t="shared" si="23"/>
        <v>5</v>
      </c>
      <c r="L736" s="13"/>
    </row>
    <row r="737" spans="1:12" x14ac:dyDescent="0.3">
      <c r="A737" s="7" t="s">
        <v>789</v>
      </c>
      <c r="B737" s="7" t="s">
        <v>0</v>
      </c>
      <c r="C737" s="7" cm="1">
        <f t="array" ref="C737">_xlfn.IFS(B737="25-50%",45,B737="50-75%",30,B737="last 25%",30,B737="Retire",0,B737="Top 25 %",60,B737="REST",30)</f>
        <v>30</v>
      </c>
      <c r="D737" s="13" cm="1">
        <f t="array" ref="D737">AVERAGE('SKU sales and Inventory'!D738:F738/30)</f>
        <v>0</v>
      </c>
      <c r="E737" s="13">
        <f t="shared" si="22"/>
        <v>0</v>
      </c>
      <c r="F737" s="7">
        <v>6</v>
      </c>
      <c r="G737" s="13">
        <f t="shared" si="23"/>
        <v>6</v>
      </c>
      <c r="L737" s="13"/>
    </row>
    <row r="738" spans="1:12" x14ac:dyDescent="0.3">
      <c r="A738" s="7" t="s">
        <v>790</v>
      </c>
      <c r="B738" s="7" t="s">
        <v>0</v>
      </c>
      <c r="C738" s="7" cm="1">
        <f t="array" ref="C738">_xlfn.IFS(B738="25-50%",45,B738="50-75%",30,B738="last 25%",30,B738="Retire",0,B738="Top 25 %",60,B738="REST",30)</f>
        <v>30</v>
      </c>
      <c r="D738" s="13" cm="1">
        <f t="array" ref="D738">AVERAGE('SKU sales and Inventory'!D739:F739/30)</f>
        <v>9.9999999999999992E-2</v>
      </c>
      <c r="E738" s="13">
        <f t="shared" si="22"/>
        <v>2.9999999999999996</v>
      </c>
      <c r="F738" s="7">
        <v>33</v>
      </c>
      <c r="G738" s="13">
        <f t="shared" si="23"/>
        <v>30</v>
      </c>
      <c r="L738" s="13"/>
    </row>
    <row r="739" spans="1:12" x14ac:dyDescent="0.3">
      <c r="A739" s="7" t="s">
        <v>791</v>
      </c>
      <c r="B739" s="7" t="s">
        <v>0</v>
      </c>
      <c r="C739" s="7" cm="1">
        <f t="array" ref="C739">_xlfn.IFS(B739="25-50%",45,B739="50-75%",30,B739="last 25%",30,B739="Retire",0,B739="Top 25 %",60,B739="REST",30)</f>
        <v>30</v>
      </c>
      <c r="D739" s="13" cm="1">
        <f t="array" ref="D739">AVERAGE('SKU sales and Inventory'!D740:F740/30)</f>
        <v>3.3333333333333333E-2</v>
      </c>
      <c r="E739" s="13">
        <f t="shared" si="22"/>
        <v>1</v>
      </c>
      <c r="F739" s="7">
        <v>24</v>
      </c>
      <c r="G739" s="13">
        <f t="shared" si="23"/>
        <v>23</v>
      </c>
      <c r="L739" s="13"/>
    </row>
    <row r="740" spans="1:12" x14ac:dyDescent="0.3">
      <c r="A740" s="7" t="s">
        <v>792</v>
      </c>
      <c r="B740" s="7" t="s">
        <v>0</v>
      </c>
      <c r="C740" s="7" cm="1">
        <f t="array" ref="C740">_xlfn.IFS(B740="25-50%",45,B740="50-75%",30,B740="last 25%",30,B740="Retire",0,B740="Top 25 %",60,B740="REST",30)</f>
        <v>30</v>
      </c>
      <c r="D740" s="13" cm="1">
        <f t="array" ref="D740">AVERAGE('SKU sales and Inventory'!D741:F741/30)</f>
        <v>0</v>
      </c>
      <c r="E740" s="13">
        <f t="shared" si="22"/>
        <v>0</v>
      </c>
      <c r="F740" s="7">
        <v>12</v>
      </c>
      <c r="G740" s="13">
        <f t="shared" si="23"/>
        <v>12</v>
      </c>
      <c r="L740" s="13"/>
    </row>
    <row r="741" spans="1:12" x14ac:dyDescent="0.3">
      <c r="A741" s="7" t="s">
        <v>793</v>
      </c>
      <c r="B741" s="7" t="s">
        <v>0</v>
      </c>
      <c r="C741" s="7" cm="1">
        <f t="array" ref="C741">_xlfn.IFS(B741="25-50%",45,B741="50-75%",30,B741="last 25%",30,B741="Retire",0,B741="Top 25 %",60,B741="REST",30)</f>
        <v>30</v>
      </c>
      <c r="D741" s="13" cm="1">
        <f t="array" ref="D741">AVERAGE('SKU sales and Inventory'!D742:F742/30)</f>
        <v>0</v>
      </c>
      <c r="E741" s="13">
        <f t="shared" si="22"/>
        <v>0</v>
      </c>
      <c r="F741" s="7">
        <v>15</v>
      </c>
      <c r="G741" s="13">
        <f t="shared" si="23"/>
        <v>15</v>
      </c>
      <c r="L741" s="13"/>
    </row>
    <row r="742" spans="1:12" x14ac:dyDescent="0.3">
      <c r="A742" s="7" t="s">
        <v>794</v>
      </c>
      <c r="B742" s="7" t="s">
        <v>0</v>
      </c>
      <c r="C742" s="7" cm="1">
        <f t="array" ref="C742">_xlfn.IFS(B742="25-50%",45,B742="50-75%",30,B742="last 25%",30,B742="Retire",0,B742="Top 25 %",60,B742="REST",30)</f>
        <v>30</v>
      </c>
      <c r="D742" s="13" cm="1">
        <f t="array" ref="D742">AVERAGE('SKU sales and Inventory'!D743:F743/30)</f>
        <v>0</v>
      </c>
      <c r="E742" s="13">
        <f t="shared" si="22"/>
        <v>0</v>
      </c>
      <c r="F742" s="7">
        <v>3</v>
      </c>
      <c r="G742" s="13">
        <f t="shared" si="23"/>
        <v>3</v>
      </c>
      <c r="L742" s="13"/>
    </row>
    <row r="743" spans="1:12" x14ac:dyDescent="0.3">
      <c r="A743" s="7" t="s">
        <v>795</v>
      </c>
      <c r="B743" s="7" t="s">
        <v>0</v>
      </c>
      <c r="C743" s="7" cm="1">
        <f t="array" ref="C743">_xlfn.IFS(B743="25-50%",45,B743="50-75%",30,B743="last 25%",30,B743="Retire",0,B743="Top 25 %",60,B743="REST",30)</f>
        <v>30</v>
      </c>
      <c r="D743" s="13" cm="1">
        <f t="array" ref="D743">AVERAGE('SKU sales and Inventory'!D744:F744/30)</f>
        <v>3.3333333333333333E-2</v>
      </c>
      <c r="E743" s="13">
        <f t="shared" si="22"/>
        <v>1</v>
      </c>
      <c r="F743" s="7">
        <v>6</v>
      </c>
      <c r="G743" s="13">
        <f t="shared" si="23"/>
        <v>5</v>
      </c>
      <c r="L743" s="13"/>
    </row>
    <row r="744" spans="1:12" x14ac:dyDescent="0.3">
      <c r="A744" s="7" t="s">
        <v>796</v>
      </c>
      <c r="B744" s="7" t="s">
        <v>0</v>
      </c>
      <c r="C744" s="7" cm="1">
        <f t="array" ref="C744">_xlfn.IFS(B744="25-50%",45,B744="50-75%",30,B744="last 25%",30,B744="Retire",0,B744="Top 25 %",60,B744="REST",30)</f>
        <v>30</v>
      </c>
      <c r="D744" s="13" cm="1">
        <f t="array" ref="D744">AVERAGE('SKU sales and Inventory'!D745:F745/30)</f>
        <v>0</v>
      </c>
      <c r="E744" s="13">
        <f t="shared" si="22"/>
        <v>0</v>
      </c>
      <c r="F744" s="7">
        <v>12</v>
      </c>
      <c r="G744" s="13">
        <f t="shared" si="23"/>
        <v>12</v>
      </c>
      <c r="L744" s="13"/>
    </row>
    <row r="745" spans="1:12" x14ac:dyDescent="0.3">
      <c r="A745" s="7" t="s">
        <v>797</v>
      </c>
      <c r="B745" s="7" t="s">
        <v>0</v>
      </c>
      <c r="C745" s="7" cm="1">
        <f t="array" ref="C745">_xlfn.IFS(B745="25-50%",45,B745="50-75%",30,B745="last 25%",30,B745="Retire",0,B745="Top 25 %",60,B745="REST",30)</f>
        <v>30</v>
      </c>
      <c r="D745" s="13" cm="1">
        <f t="array" ref="D745">AVERAGE('SKU sales and Inventory'!D746:F746/30)</f>
        <v>0</v>
      </c>
      <c r="E745" s="13">
        <f t="shared" si="22"/>
        <v>0</v>
      </c>
      <c r="F745" s="7">
        <v>3</v>
      </c>
      <c r="G745" s="13">
        <f t="shared" si="23"/>
        <v>3</v>
      </c>
      <c r="L745" s="13"/>
    </row>
    <row r="746" spans="1:12" x14ac:dyDescent="0.3">
      <c r="A746" s="7" t="s">
        <v>798</v>
      </c>
      <c r="B746" s="7" t="s">
        <v>0</v>
      </c>
      <c r="C746" s="7" cm="1">
        <f t="array" ref="C746">_xlfn.IFS(B746="25-50%",45,B746="50-75%",30,B746="last 25%",30,B746="Retire",0,B746="Top 25 %",60,B746="REST",30)</f>
        <v>30</v>
      </c>
      <c r="D746" s="13" cm="1">
        <f t="array" ref="D746">AVERAGE('SKU sales and Inventory'!D747:F747/30)</f>
        <v>0</v>
      </c>
      <c r="E746" s="13">
        <f t="shared" si="22"/>
        <v>0</v>
      </c>
      <c r="F746" s="7">
        <v>3</v>
      </c>
      <c r="G746" s="13">
        <f t="shared" si="23"/>
        <v>3</v>
      </c>
      <c r="L746" s="13"/>
    </row>
    <row r="747" spans="1:12" x14ac:dyDescent="0.3">
      <c r="A747" s="7" t="s">
        <v>799</v>
      </c>
      <c r="B747" s="7" t="s">
        <v>0</v>
      </c>
      <c r="C747" s="7" cm="1">
        <f t="array" ref="C747">_xlfn.IFS(B747="25-50%",45,B747="50-75%",30,B747="last 25%",30,B747="Retire",0,B747="Top 25 %",60,B747="REST",30)</f>
        <v>30</v>
      </c>
      <c r="D747" s="13" cm="1">
        <f t="array" ref="D747">AVERAGE('SKU sales and Inventory'!D748:F748/30)</f>
        <v>9.9999999999999992E-2</v>
      </c>
      <c r="E747" s="13">
        <f t="shared" si="22"/>
        <v>2.9999999999999996</v>
      </c>
      <c r="F747" s="7">
        <v>30</v>
      </c>
      <c r="G747" s="13">
        <f t="shared" si="23"/>
        <v>27</v>
      </c>
      <c r="L747" s="13"/>
    </row>
    <row r="748" spans="1:12" x14ac:dyDescent="0.3">
      <c r="A748" s="7" t="s">
        <v>800</v>
      </c>
      <c r="B748" s="7" t="s">
        <v>0</v>
      </c>
      <c r="C748" s="7" cm="1">
        <f t="array" ref="C748">_xlfn.IFS(B748="25-50%",45,B748="50-75%",30,B748="last 25%",30,B748="Retire",0,B748="Top 25 %",60,B748="REST",30)</f>
        <v>30</v>
      </c>
      <c r="D748" s="13" cm="1">
        <f t="array" ref="D748">AVERAGE('SKU sales and Inventory'!D749:F749/30)</f>
        <v>0</v>
      </c>
      <c r="E748" s="13">
        <f t="shared" si="22"/>
        <v>0</v>
      </c>
      <c r="F748" s="7">
        <v>21</v>
      </c>
      <c r="G748" s="13">
        <f t="shared" si="23"/>
        <v>21</v>
      </c>
      <c r="L748" s="13"/>
    </row>
    <row r="749" spans="1:12" x14ac:dyDescent="0.3">
      <c r="A749" s="7" t="s">
        <v>801</v>
      </c>
      <c r="B749" s="7" t="s">
        <v>0</v>
      </c>
      <c r="C749" s="7" cm="1">
        <f t="array" ref="C749">_xlfn.IFS(B749="25-50%",45,B749="50-75%",30,B749="last 25%",30,B749="Retire",0,B749="Top 25 %",60,B749="REST",30)</f>
        <v>30</v>
      </c>
      <c r="D749" s="13" cm="1">
        <f t="array" ref="D749">AVERAGE('SKU sales and Inventory'!D750:F750/30)</f>
        <v>6.6666666666666666E-2</v>
      </c>
      <c r="E749" s="13">
        <f t="shared" si="22"/>
        <v>2</v>
      </c>
      <c r="F749" s="7">
        <v>15</v>
      </c>
      <c r="G749" s="13">
        <f t="shared" si="23"/>
        <v>13</v>
      </c>
      <c r="L749" s="13"/>
    </row>
    <row r="750" spans="1:12" x14ac:dyDescent="0.3">
      <c r="A750" s="7" t="s">
        <v>802</v>
      </c>
      <c r="B750" s="7" t="s">
        <v>0</v>
      </c>
      <c r="C750" s="7" cm="1">
        <f t="array" ref="C750">_xlfn.IFS(B750="25-50%",45,B750="50-75%",30,B750="last 25%",30,B750="Retire",0,B750="Top 25 %",60,B750="REST",30)</f>
        <v>30</v>
      </c>
      <c r="D750" s="13" cm="1">
        <f t="array" ref="D750">AVERAGE('SKU sales and Inventory'!D751:F751/30)</f>
        <v>0</v>
      </c>
      <c r="E750" s="13">
        <f t="shared" si="22"/>
        <v>0</v>
      </c>
      <c r="F750" s="7">
        <v>0</v>
      </c>
      <c r="G750" s="13">
        <f t="shared" si="23"/>
        <v>0</v>
      </c>
      <c r="L750" s="13"/>
    </row>
    <row r="751" spans="1:12" x14ac:dyDescent="0.3">
      <c r="A751" s="7" t="s">
        <v>803</v>
      </c>
      <c r="B751" s="7" t="s">
        <v>0</v>
      </c>
      <c r="C751" s="7" cm="1">
        <f t="array" ref="C751">_xlfn.IFS(B751="25-50%",45,B751="50-75%",30,B751="last 25%",30,B751="Retire",0,B751="Top 25 %",60,B751="REST",30)</f>
        <v>30</v>
      </c>
      <c r="D751" s="13" cm="1">
        <f t="array" ref="D751">AVERAGE('SKU sales and Inventory'!D752:F752/30)</f>
        <v>0</v>
      </c>
      <c r="E751" s="13">
        <f t="shared" si="22"/>
        <v>0</v>
      </c>
      <c r="F751" s="7">
        <v>9</v>
      </c>
      <c r="G751" s="13">
        <f t="shared" si="23"/>
        <v>9</v>
      </c>
      <c r="L751" s="13"/>
    </row>
    <row r="752" spans="1:12" x14ac:dyDescent="0.3">
      <c r="A752" s="7" t="s">
        <v>804</v>
      </c>
      <c r="B752" s="7" t="s">
        <v>0</v>
      </c>
      <c r="C752" s="7" cm="1">
        <f t="array" ref="C752">_xlfn.IFS(B752="25-50%",45,B752="50-75%",30,B752="last 25%",30,B752="Retire",0,B752="Top 25 %",60,B752="REST",30)</f>
        <v>30</v>
      </c>
      <c r="D752" s="13" cm="1">
        <f t="array" ref="D752">AVERAGE('SKU sales and Inventory'!D753:F753/30)</f>
        <v>0</v>
      </c>
      <c r="E752" s="13">
        <f t="shared" si="22"/>
        <v>0</v>
      </c>
      <c r="F752" s="7">
        <v>0</v>
      </c>
      <c r="G752" s="13">
        <f t="shared" si="23"/>
        <v>0</v>
      </c>
      <c r="L752" s="13"/>
    </row>
    <row r="753" spans="1:12" x14ac:dyDescent="0.3">
      <c r="A753" s="7" t="s">
        <v>805</v>
      </c>
      <c r="B753" s="7" t="s">
        <v>0</v>
      </c>
      <c r="C753" s="7" cm="1">
        <f t="array" ref="C753">_xlfn.IFS(B753="25-50%",45,B753="50-75%",30,B753="last 25%",30,B753="Retire",0,B753="Top 25 %",60,B753="REST",30)</f>
        <v>30</v>
      </c>
      <c r="D753" s="13" cm="1">
        <f t="array" ref="D753">AVERAGE('SKU sales and Inventory'!D754:F754/30)</f>
        <v>0</v>
      </c>
      <c r="E753" s="13">
        <f t="shared" si="22"/>
        <v>0</v>
      </c>
      <c r="F753" s="7">
        <v>3</v>
      </c>
      <c r="G753" s="13">
        <f t="shared" si="23"/>
        <v>3</v>
      </c>
      <c r="L753" s="13"/>
    </row>
    <row r="754" spans="1:12" x14ac:dyDescent="0.3">
      <c r="A754" s="7" t="s">
        <v>806</v>
      </c>
      <c r="B754" s="7" t="s">
        <v>0</v>
      </c>
      <c r="C754" s="7" cm="1">
        <f t="array" ref="C754">_xlfn.IFS(B754="25-50%",45,B754="50-75%",30,B754="last 25%",30,B754="Retire",0,B754="Top 25 %",60,B754="REST",30)</f>
        <v>30</v>
      </c>
      <c r="D754" s="13" cm="1">
        <f t="array" ref="D754">AVERAGE('SKU sales and Inventory'!D755:F755/30)</f>
        <v>0</v>
      </c>
      <c r="E754" s="13">
        <f t="shared" si="22"/>
        <v>0</v>
      </c>
      <c r="F754" s="7">
        <v>0</v>
      </c>
      <c r="G754" s="13">
        <f t="shared" si="23"/>
        <v>0</v>
      </c>
      <c r="L754" s="13"/>
    </row>
    <row r="755" spans="1:12" x14ac:dyDescent="0.3">
      <c r="A755" s="7" t="s">
        <v>807</v>
      </c>
      <c r="B755" s="7" t="s">
        <v>0</v>
      </c>
      <c r="C755" s="7" cm="1">
        <f t="array" ref="C755">_xlfn.IFS(B755="25-50%",45,B755="50-75%",30,B755="last 25%",30,B755="Retire",0,B755="Top 25 %",60,B755="REST",30)</f>
        <v>30</v>
      </c>
      <c r="D755" s="13" cm="1">
        <f t="array" ref="D755">AVERAGE('SKU sales and Inventory'!D756:F756/30)</f>
        <v>0</v>
      </c>
      <c r="E755" s="13">
        <f t="shared" si="22"/>
        <v>0</v>
      </c>
      <c r="F755" s="7">
        <v>105</v>
      </c>
      <c r="G755" s="13">
        <f t="shared" si="23"/>
        <v>105</v>
      </c>
      <c r="L755" s="13"/>
    </row>
    <row r="756" spans="1:12" x14ac:dyDescent="0.3">
      <c r="A756" s="7" t="s">
        <v>808</v>
      </c>
      <c r="B756" s="7" t="s">
        <v>0</v>
      </c>
      <c r="C756" s="7" cm="1">
        <f t="array" ref="C756">_xlfn.IFS(B756="25-50%",45,B756="50-75%",30,B756="last 25%",30,B756="Retire",0,B756="Top 25 %",60,B756="REST",30)</f>
        <v>30</v>
      </c>
      <c r="D756" s="13" cm="1">
        <f t="array" ref="D756">AVERAGE('SKU sales and Inventory'!D757:F757/30)</f>
        <v>3.3333333333333333E-2</v>
      </c>
      <c r="E756" s="13">
        <f t="shared" si="22"/>
        <v>1</v>
      </c>
      <c r="F756" s="7">
        <v>21</v>
      </c>
      <c r="G756" s="13">
        <f t="shared" si="23"/>
        <v>20</v>
      </c>
      <c r="L756" s="13"/>
    </row>
    <row r="757" spans="1:12" x14ac:dyDescent="0.3">
      <c r="A757" s="7" t="s">
        <v>809</v>
      </c>
      <c r="B757" s="7" t="s">
        <v>0</v>
      </c>
      <c r="C757" s="7" cm="1">
        <f t="array" ref="C757">_xlfn.IFS(B757="25-50%",45,B757="50-75%",30,B757="last 25%",30,B757="Retire",0,B757="Top 25 %",60,B757="REST",30)</f>
        <v>30</v>
      </c>
      <c r="D757" s="13" cm="1">
        <f t="array" ref="D757">AVERAGE('SKU sales and Inventory'!D758:F758/30)</f>
        <v>0</v>
      </c>
      <c r="E757" s="13">
        <f t="shared" si="22"/>
        <v>0</v>
      </c>
      <c r="F757" s="7">
        <v>33</v>
      </c>
      <c r="G757" s="13">
        <f t="shared" si="23"/>
        <v>33</v>
      </c>
      <c r="L757" s="13"/>
    </row>
    <row r="758" spans="1:12" x14ac:dyDescent="0.3">
      <c r="A758" s="7" t="s">
        <v>810</v>
      </c>
      <c r="B758" s="7" t="s">
        <v>0</v>
      </c>
      <c r="C758" s="7" cm="1">
        <f t="array" ref="C758">_xlfn.IFS(B758="25-50%",45,B758="50-75%",30,B758="last 25%",30,B758="Retire",0,B758="Top 25 %",60,B758="REST",30)</f>
        <v>30</v>
      </c>
      <c r="D758" s="13" cm="1">
        <f t="array" ref="D758">AVERAGE('SKU sales and Inventory'!D759:F759/30)</f>
        <v>3.3333333333333333E-2</v>
      </c>
      <c r="E758" s="13">
        <f t="shared" si="22"/>
        <v>1</v>
      </c>
      <c r="F758" s="7">
        <v>90</v>
      </c>
      <c r="G758" s="13">
        <f t="shared" si="23"/>
        <v>89</v>
      </c>
      <c r="L758" s="13"/>
    </row>
    <row r="759" spans="1:12" x14ac:dyDescent="0.3">
      <c r="A759" s="7" t="s">
        <v>811</v>
      </c>
      <c r="B759" s="7" t="s">
        <v>0</v>
      </c>
      <c r="C759" s="7" cm="1">
        <f t="array" ref="C759">_xlfn.IFS(B759="25-50%",45,B759="50-75%",30,B759="last 25%",30,B759="Retire",0,B759="Top 25 %",60,B759="REST",30)</f>
        <v>30</v>
      </c>
      <c r="D759" s="13" cm="1">
        <f t="array" ref="D759">AVERAGE('SKU sales and Inventory'!D760:F760/30)</f>
        <v>9.9999999999999992E-2</v>
      </c>
      <c r="E759" s="13">
        <f t="shared" si="22"/>
        <v>2.9999999999999996</v>
      </c>
      <c r="F759" s="7">
        <v>354</v>
      </c>
      <c r="G759" s="13">
        <f t="shared" si="23"/>
        <v>351</v>
      </c>
      <c r="L759" s="13"/>
    </row>
    <row r="760" spans="1:12" x14ac:dyDescent="0.3">
      <c r="A760" s="7" t="s">
        <v>812</v>
      </c>
      <c r="B760" s="7" t="s">
        <v>0</v>
      </c>
      <c r="C760" s="7" cm="1">
        <f t="array" ref="C760">_xlfn.IFS(B760="25-50%",45,B760="50-75%",30,B760="last 25%",30,B760="Retire",0,B760="Top 25 %",60,B760="REST",30)</f>
        <v>30</v>
      </c>
      <c r="D760" s="13" cm="1">
        <f t="array" ref="D760">AVERAGE('SKU sales and Inventory'!D761:F761/30)</f>
        <v>0</v>
      </c>
      <c r="E760" s="13">
        <f t="shared" si="22"/>
        <v>0</v>
      </c>
      <c r="F760" s="7">
        <v>345</v>
      </c>
      <c r="G760" s="13">
        <f t="shared" si="23"/>
        <v>345</v>
      </c>
      <c r="L760" s="13"/>
    </row>
    <row r="761" spans="1:12" x14ac:dyDescent="0.3">
      <c r="A761" s="7" t="s">
        <v>813</v>
      </c>
      <c r="B761" s="7" t="s">
        <v>3</v>
      </c>
      <c r="C761" s="7" cm="1">
        <f t="array" ref="C761">_xlfn.IFS(B761="25-50%",45,B761="50-75%",30,B761="last 25%",30,B761="Retire",0,B761="Top 25 %",60,B761="REST",30)</f>
        <v>0</v>
      </c>
      <c r="D761" s="13" cm="1">
        <f t="array" ref="D761">AVERAGE('SKU sales and Inventory'!D762:F762/30)</f>
        <v>0.19999999999999998</v>
      </c>
      <c r="E761" s="13">
        <f t="shared" si="22"/>
        <v>0</v>
      </c>
      <c r="F761" s="7">
        <v>66</v>
      </c>
      <c r="G761" s="13">
        <f t="shared" si="23"/>
        <v>66</v>
      </c>
      <c r="L761" s="13"/>
    </row>
    <row r="762" spans="1:12" x14ac:dyDescent="0.3">
      <c r="A762" s="7" t="s">
        <v>814</v>
      </c>
      <c r="B762" s="7" t="s">
        <v>3</v>
      </c>
      <c r="C762" s="7" cm="1">
        <f t="array" ref="C762">_xlfn.IFS(B762="25-50%",45,B762="50-75%",30,B762="last 25%",30,B762="Retire",0,B762="Top 25 %",60,B762="REST",30)</f>
        <v>0</v>
      </c>
      <c r="D762" s="13" cm="1">
        <f t="array" ref="D762">AVERAGE('SKU sales and Inventory'!D763:F763/30)</f>
        <v>0</v>
      </c>
      <c r="E762" s="13">
        <f t="shared" si="22"/>
        <v>0</v>
      </c>
      <c r="F762" s="7">
        <v>93</v>
      </c>
      <c r="G762" s="13">
        <f t="shared" si="23"/>
        <v>93</v>
      </c>
      <c r="L762" s="13"/>
    </row>
    <row r="763" spans="1:12" x14ac:dyDescent="0.3">
      <c r="A763" s="7" t="s">
        <v>815</v>
      </c>
      <c r="B763" s="7" t="s">
        <v>3</v>
      </c>
      <c r="C763" s="7" cm="1">
        <f t="array" ref="C763">_xlfn.IFS(B763="25-50%",45,B763="50-75%",30,B763="last 25%",30,B763="Retire",0,B763="Top 25 %",60,B763="REST",30)</f>
        <v>0</v>
      </c>
      <c r="D763" s="13" cm="1">
        <f t="array" ref="D763">AVERAGE('SKU sales and Inventory'!D764:F764/30)</f>
        <v>3.3333333333333333E-2</v>
      </c>
      <c r="E763" s="13">
        <f t="shared" si="22"/>
        <v>0</v>
      </c>
      <c r="F763" s="7">
        <v>141</v>
      </c>
      <c r="G763" s="13">
        <f t="shared" si="23"/>
        <v>141</v>
      </c>
      <c r="L763" s="13"/>
    </row>
  </sheetData>
  <conditionalFormatting sqref="A2:A76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33C1-1447-4DC0-83C6-27D1B0AC335A}">
  <dimension ref="A1:L763"/>
  <sheetViews>
    <sheetView zoomScale="85" zoomScaleNormal="85" workbookViewId="0">
      <selection activeCell="G2" sqref="G2"/>
    </sheetView>
  </sheetViews>
  <sheetFormatPr defaultRowHeight="15.6" x14ac:dyDescent="0.3"/>
  <cols>
    <col min="1" max="1" width="14.09765625" bestFit="1" customWidth="1"/>
    <col min="2" max="2" width="7.59765625" bestFit="1" customWidth="1"/>
    <col min="3" max="3" width="9.09765625" bestFit="1" customWidth="1"/>
    <col min="4" max="4" width="8" bestFit="1" customWidth="1"/>
    <col min="5" max="5" width="21.796875" bestFit="1" customWidth="1"/>
    <col min="6" max="6" width="5.296875" bestFit="1" customWidth="1"/>
    <col min="7" max="7" width="15.19921875" bestFit="1" customWidth="1"/>
    <col min="8" max="8" width="9.8984375" bestFit="1" customWidth="1"/>
    <col min="9" max="9" width="57.59765625" bestFit="1" customWidth="1"/>
    <col min="10" max="10" width="12.59765625" bestFit="1" customWidth="1"/>
  </cols>
  <sheetData>
    <row r="1" spans="1:12" x14ac:dyDescent="0.3">
      <c r="A1" s="12" t="s">
        <v>816</v>
      </c>
      <c r="B1" s="12" t="s">
        <v>832</v>
      </c>
      <c r="C1" s="12" t="s">
        <v>833</v>
      </c>
      <c r="D1" s="12" t="s">
        <v>834</v>
      </c>
      <c r="E1" s="12" t="s">
        <v>835</v>
      </c>
      <c r="F1" s="12" t="s">
        <v>5</v>
      </c>
      <c r="G1" s="12" t="s">
        <v>836</v>
      </c>
      <c r="H1" s="12" t="s">
        <v>52</v>
      </c>
      <c r="I1" s="12" t="s">
        <v>844</v>
      </c>
      <c r="J1" s="12" t="s">
        <v>837</v>
      </c>
    </row>
    <row r="2" spans="1:12" x14ac:dyDescent="0.3">
      <c r="A2" s="7" t="s">
        <v>54</v>
      </c>
      <c r="B2" s="7" t="str">
        <f>_xlfn.XLOOKUP(A2,'Vendor code- SKU mapping'!$B$1:$B$806,'Vendor code- SKU mapping'!$A$1:$A$806)</f>
        <v>EGRS</v>
      </c>
      <c r="C2" s="7">
        <f>VLOOKUP(B2,'Vendor -MOQ- Lead time'!$A$2:$B$45,2,0)</f>
        <v>45</v>
      </c>
      <c r="D2" s="13">
        <f>ROUND(IF('Task 2'!G2&lt;0,ABS('Task 2'!G2),0),0)</f>
        <v>4835</v>
      </c>
      <c r="E2" s="7">
        <f>ROUND('Task 2'!D2*'Task 3'!C2,0)</f>
        <v>4937</v>
      </c>
      <c r="F2" s="7">
        <f>VLOOKUP(B2,'Vendor -MOQ- Lead time'!$A$2:$C$45,3,0)</f>
        <v>270</v>
      </c>
      <c r="G2" s="7">
        <f>CEILING(D2+E2,F2)</f>
        <v>9990</v>
      </c>
      <c r="H2" s="7" t="s">
        <v>2</v>
      </c>
      <c r="I2" s="7" cm="1">
        <f t="array" ref="I2">_xlfn.IFS(H2="25-50%",230,H2="Top  25 %",260,H2="50-75%",200,H2="Last 25%",170,H2="Retire",150)</f>
        <v>230</v>
      </c>
      <c r="J2" s="15">
        <f>G2*I2</f>
        <v>2297700</v>
      </c>
    </row>
    <row r="3" spans="1:12" x14ac:dyDescent="0.3">
      <c r="A3" s="7" t="s">
        <v>55</v>
      </c>
      <c r="B3" s="7" t="str">
        <f>_xlfn.XLOOKUP(A3,'Vendor code- SKU mapping'!$B$1:$B$806,'Vendor code- SKU mapping'!$A$1:$A$806)</f>
        <v>OPar</v>
      </c>
      <c r="C3" s="7">
        <f>VLOOKUP(B3,'Vendor -MOQ- Lead time'!$A$2:$B$45,2,0)</f>
        <v>30</v>
      </c>
      <c r="D3" s="13">
        <f>ROUND(IF('Task 2'!G3&lt;0,ABS('Task 2'!G3),0),0)</f>
        <v>3972</v>
      </c>
      <c r="E3" s="7">
        <f>ROUND('Task 2'!D3*'Task 3'!C3,0)</f>
        <v>5850</v>
      </c>
      <c r="F3" s="7">
        <f>VLOOKUP(B3,'Vendor -MOQ- Lead time'!$A$2:$C$45,3,0)</f>
        <v>180</v>
      </c>
      <c r="G3" s="7">
        <f t="shared" ref="G3:G66" si="0">CEILING(D3+E3,F3)</f>
        <v>9900</v>
      </c>
      <c r="H3" s="7" t="s">
        <v>2</v>
      </c>
      <c r="I3" s="7" cm="1">
        <f t="array" ref="I3">_xlfn.IFS(H3="25-50%",230,H3="Top  25 %",260,H3="50-75%",200,H3="Last 25%",170,H3="Retire",150)</f>
        <v>230</v>
      </c>
      <c r="J3" s="15">
        <f>G3*I3</f>
        <v>2277000</v>
      </c>
    </row>
    <row r="4" spans="1:12" x14ac:dyDescent="0.3">
      <c r="A4" s="7" t="s">
        <v>56</v>
      </c>
      <c r="B4" s="7" t="str">
        <f>_xlfn.XLOOKUP(A4,'Vendor code- SKU mapping'!$B$1:$B$806,'Vendor code- SKU mapping'!$A$1:$A$806)</f>
        <v>OMah</v>
      </c>
      <c r="C4" s="7">
        <f>VLOOKUP(B4,'Vendor -MOQ- Lead time'!$A$2:$B$45,2,0)</f>
        <v>45</v>
      </c>
      <c r="D4" s="13">
        <f>ROUND(IF('Task 2'!G4&lt;0,ABS('Task 2'!G4),0),0)</f>
        <v>4712</v>
      </c>
      <c r="E4" s="7">
        <f>ROUND('Task 2'!D4*'Task 3'!C4,0)</f>
        <v>5498</v>
      </c>
      <c r="F4" s="7">
        <f>VLOOKUP(B4,'Vendor -MOQ- Lead time'!$A$2:$C$45,3,0)</f>
        <v>270</v>
      </c>
      <c r="G4" s="7">
        <f t="shared" si="0"/>
        <v>10260</v>
      </c>
      <c r="H4" s="7" t="s">
        <v>2</v>
      </c>
      <c r="I4" s="7" cm="1">
        <f t="array" ref="I4">_xlfn.IFS(H4="25-50%",230,H4="Top  25 %",260,H4="50-75%",200,H4="Last 25%",170,H4="Retire",150)</f>
        <v>230</v>
      </c>
      <c r="J4" s="15">
        <f t="shared" ref="J4:J66" si="1">G4*I4</f>
        <v>2359800</v>
      </c>
      <c r="K4" s="9"/>
      <c r="L4" s="9"/>
    </row>
    <row r="5" spans="1:12" x14ac:dyDescent="0.3">
      <c r="A5" s="7" t="s">
        <v>57</v>
      </c>
      <c r="B5" s="7" t="str">
        <f>_xlfn.XLOOKUP(A5,'Vendor code- SKU mapping'!$B$1:$B$806,'Vendor code- SKU mapping'!$A$1:$A$806)</f>
        <v>EDaz</v>
      </c>
      <c r="C5" s="7">
        <f>VLOOKUP(B5,'Vendor -MOQ- Lead time'!$A$2:$B$45,2,0)</f>
        <v>30</v>
      </c>
      <c r="D5" s="13">
        <f>ROUND(IF('Task 2'!G5&lt;0,ABS('Task 2'!G5),0),0)</f>
        <v>5882</v>
      </c>
      <c r="E5" s="7">
        <f>ROUND('Task 2'!D5*'Task 3'!C5,0)</f>
        <v>4414</v>
      </c>
      <c r="F5" s="7">
        <f>VLOOKUP(B5,'Vendor -MOQ- Lead time'!$A$2:$C$45,3,0)</f>
        <v>180</v>
      </c>
      <c r="G5" s="7">
        <f t="shared" si="0"/>
        <v>10440</v>
      </c>
      <c r="H5" s="7" t="s">
        <v>4</v>
      </c>
      <c r="I5" s="7" cm="1">
        <f t="array" ref="I5">_xlfn.IFS(H5="25-50%",230,H5="Top 25 %",260,H5="50-75%",200,H5="Last 25%",170,H5="Retire",150)</f>
        <v>260</v>
      </c>
      <c r="J5" s="15">
        <f t="shared" si="1"/>
        <v>2714400</v>
      </c>
      <c r="K5" s="10"/>
      <c r="L5" s="11"/>
    </row>
    <row r="6" spans="1:12" x14ac:dyDescent="0.3">
      <c r="A6" s="7" t="s">
        <v>58</v>
      </c>
      <c r="B6" s="7" t="str">
        <f>_xlfn.XLOOKUP(A6,'Vendor code- SKU mapping'!$B$1:$B$806,'Vendor code- SKU mapping'!$A$1:$A$806)</f>
        <v>OSha</v>
      </c>
      <c r="C6" s="7">
        <f>VLOOKUP(B6,'Vendor -MOQ- Lead time'!$A$2:$B$45,2,0)</f>
        <v>45</v>
      </c>
      <c r="D6" s="13">
        <f>ROUND(IF('Task 2'!G6&lt;0,ABS('Task 2'!G6),0),0)</f>
        <v>2834</v>
      </c>
      <c r="E6" s="7">
        <f>ROUND('Task 2'!D6*'Task 3'!C6,0)</f>
        <v>4328</v>
      </c>
      <c r="F6" s="7">
        <f>VLOOKUP(B6,'Vendor -MOQ- Lead time'!$A$2:$C$45,3,0)</f>
        <v>270</v>
      </c>
      <c r="G6" s="7">
        <f t="shared" si="0"/>
        <v>7290</v>
      </c>
      <c r="H6" s="7" t="s">
        <v>0</v>
      </c>
      <c r="I6" s="7" cm="1">
        <f t="array" ref="I6">_xlfn.IFS(H6="25-50%",230,H6="Top 25 %",260,H6="50-75%",200,H6="Last 25%",170,H6="Retire",150)</f>
        <v>170</v>
      </c>
      <c r="J6" s="15">
        <f t="shared" si="1"/>
        <v>1239300</v>
      </c>
      <c r="K6" s="10"/>
      <c r="L6" s="11"/>
    </row>
    <row r="7" spans="1:12" x14ac:dyDescent="0.3">
      <c r="A7" s="7" t="s">
        <v>59</v>
      </c>
      <c r="B7" s="7" t="str">
        <f>_xlfn.XLOOKUP(A7,'Vendor code- SKU mapping'!$B$1:$B$806,'Vendor code- SKU mapping'!$A$1:$A$806)</f>
        <v>OMah</v>
      </c>
      <c r="C7" s="7">
        <f>VLOOKUP(B7,'Vendor -MOQ- Lead time'!$A$2:$B$45,2,0)</f>
        <v>45</v>
      </c>
      <c r="D7" s="13">
        <f>ROUND(IF('Task 2'!G7&lt;0,ABS('Task 2'!G7),0),0)</f>
        <v>616</v>
      </c>
      <c r="E7" s="7">
        <f>ROUND('Task 2'!D7*'Task 3'!C7,0)</f>
        <v>4206</v>
      </c>
      <c r="F7" s="7">
        <f>VLOOKUP(B7,'Vendor -MOQ- Lead time'!$A$2:$C$45,3,0)</f>
        <v>270</v>
      </c>
      <c r="G7" s="7">
        <f t="shared" si="0"/>
        <v>4860</v>
      </c>
      <c r="H7" s="7" t="s">
        <v>4</v>
      </c>
      <c r="I7" s="7" cm="1">
        <f t="array" ref="I7">_xlfn.IFS(H7="25-50%",230,H7="Top 25 %",260,H7="50-75%",200,H7="Last 25%",170,H7="Retire",150)</f>
        <v>260</v>
      </c>
      <c r="J7" s="15">
        <f t="shared" si="1"/>
        <v>1263600</v>
      </c>
      <c r="K7" s="10"/>
      <c r="L7" s="11"/>
    </row>
    <row r="8" spans="1:12" x14ac:dyDescent="0.3">
      <c r="A8" s="7" t="s">
        <v>60</v>
      </c>
      <c r="B8" s="7" t="str">
        <f>_xlfn.XLOOKUP(A8,'Vendor code- SKU mapping'!$B$1:$B$806,'Vendor code- SKU mapping'!$A$1:$A$806)</f>
        <v>ONex</v>
      </c>
      <c r="C8" s="7">
        <f>VLOOKUP(B8,'Vendor -MOQ- Lead time'!$A$2:$B$45,2,0)</f>
        <v>90</v>
      </c>
      <c r="D8" s="13">
        <f>ROUND(IF('Task 2'!G8&lt;0,ABS('Task 2'!G8),0),0)</f>
        <v>222</v>
      </c>
      <c r="E8" s="7">
        <f>ROUND('Task 2'!D8*'Task 3'!C8,0)</f>
        <v>5679</v>
      </c>
      <c r="F8" s="7">
        <f>VLOOKUP(B8,'Vendor -MOQ- Lead time'!$A$2:$C$45,3,0)</f>
        <v>1440</v>
      </c>
      <c r="G8" s="7">
        <f t="shared" si="0"/>
        <v>7200</v>
      </c>
      <c r="H8" s="7" t="s">
        <v>1</v>
      </c>
      <c r="I8" s="7" cm="1">
        <f t="array" ref="I8">_xlfn.IFS(H8="25-50%",230,H8="Top 25 %",260,H8="50-75%",200,H8="Last 25%",170,H8="Retire",150)</f>
        <v>200</v>
      </c>
      <c r="J8" s="15">
        <f t="shared" si="1"/>
        <v>1440000</v>
      </c>
      <c r="K8" s="10"/>
      <c r="L8" s="11"/>
    </row>
    <row r="9" spans="1:12" x14ac:dyDescent="0.3">
      <c r="A9" s="7" t="s">
        <v>61</v>
      </c>
      <c r="B9" s="7" t="str">
        <f>_xlfn.XLOOKUP(A9,'Vendor code- SKU mapping'!$B$1:$B$806,'Vendor code- SKU mapping'!$A$1:$A$806)</f>
        <v>OPar</v>
      </c>
      <c r="C9" s="7">
        <f>VLOOKUP(B9,'Vendor -MOQ- Lead time'!$A$2:$B$45,2,0)</f>
        <v>30</v>
      </c>
      <c r="D9" s="13">
        <f>ROUND(IF('Task 2'!G9&lt;0,ABS('Task 2'!G9),0),0)</f>
        <v>528</v>
      </c>
      <c r="E9" s="7">
        <f>ROUND('Task 2'!D9*'Task 3'!C9,0)</f>
        <v>4216</v>
      </c>
      <c r="F9" s="7">
        <f>VLOOKUP(B9,'Vendor -MOQ- Lead time'!$A$2:$C$45,3,0)</f>
        <v>180</v>
      </c>
      <c r="G9" s="7">
        <f t="shared" si="0"/>
        <v>4860</v>
      </c>
      <c r="H9" s="7" t="s">
        <v>2</v>
      </c>
      <c r="I9" s="7" cm="1">
        <f t="array" ref="I9">_xlfn.IFS(H9="25-50%",230,H9="Top 25 %",260,H9="50-75%",200,H9="Last 25%",170,H9="Retire",150)</f>
        <v>230</v>
      </c>
      <c r="J9" s="15">
        <f t="shared" si="1"/>
        <v>1117800</v>
      </c>
      <c r="K9" s="10"/>
      <c r="L9" s="11"/>
    </row>
    <row r="10" spans="1:12" x14ac:dyDescent="0.3">
      <c r="A10" s="7" t="s">
        <v>62</v>
      </c>
      <c r="B10" s="7" t="str">
        <f>_xlfn.XLOOKUP(A10,'Vendor code- SKU mapping'!$B$1:$B$806,'Vendor code- SKU mapping'!$A$1:$A$806)</f>
        <v>ONex</v>
      </c>
      <c r="C10" s="7">
        <f>VLOOKUP(B10,'Vendor -MOQ- Lead time'!$A$2:$B$45,2,0)</f>
        <v>90</v>
      </c>
      <c r="D10" s="13">
        <f>ROUND(IF('Task 2'!G10&lt;0,ABS('Task 2'!G10),0),0)</f>
        <v>874</v>
      </c>
      <c r="E10" s="7">
        <f>ROUND('Task 2'!D10*'Task 3'!C10,0)</f>
        <v>5412</v>
      </c>
      <c r="F10" s="7">
        <f>VLOOKUP(B10,'Vendor -MOQ- Lead time'!$A$2:$C$45,3,0)</f>
        <v>1440</v>
      </c>
      <c r="G10" s="7">
        <f t="shared" si="0"/>
        <v>7200</v>
      </c>
      <c r="H10" s="7" t="s">
        <v>1</v>
      </c>
      <c r="I10" s="7" cm="1">
        <f t="array" ref="I10">_xlfn.IFS(H10="25-50%",230,H10="Top 25 %",260,H10="50-75%",200,H10="Last 25%",170,H10="Retire",150)</f>
        <v>200</v>
      </c>
      <c r="J10" s="15">
        <f t="shared" si="1"/>
        <v>1440000</v>
      </c>
    </row>
    <row r="11" spans="1:12" x14ac:dyDescent="0.3">
      <c r="A11" s="7" t="s">
        <v>63</v>
      </c>
      <c r="B11" s="7" t="str">
        <f>_xlfn.XLOOKUP(A11,'Vendor code- SKU mapping'!$B$1:$B$806,'Vendor code- SKU mapping'!$A$1:$A$806)</f>
        <v>OPar</v>
      </c>
      <c r="C11" s="7">
        <f>VLOOKUP(B11,'Vendor -MOQ- Lead time'!$A$2:$B$45,2,0)</f>
        <v>30</v>
      </c>
      <c r="D11" s="13">
        <f>ROUND(IF('Task 2'!G11&lt;0,ABS('Task 2'!G11),0),0)</f>
        <v>0</v>
      </c>
      <c r="E11" s="7">
        <f>ROUND('Task 2'!D11*'Task 3'!C11,0)</f>
        <v>3629</v>
      </c>
      <c r="F11" s="7">
        <f>VLOOKUP(B11,'Vendor -MOQ- Lead time'!$A$2:$C$45,3,0)</f>
        <v>180</v>
      </c>
      <c r="G11" s="7">
        <f t="shared" si="0"/>
        <v>3780</v>
      </c>
      <c r="H11" s="7" t="s">
        <v>2</v>
      </c>
      <c r="I11" s="7" cm="1">
        <f t="array" ref="I11">_xlfn.IFS(H11="25-50%",230,H11="Top 25 %",260,H11="50-75%",200,H11="Last 25%",170,H11="Retire",150)</f>
        <v>230</v>
      </c>
      <c r="J11" s="15">
        <f t="shared" si="1"/>
        <v>869400</v>
      </c>
    </row>
    <row r="12" spans="1:12" x14ac:dyDescent="0.3">
      <c r="A12" s="7" t="s">
        <v>64</v>
      </c>
      <c r="B12" s="7" t="str">
        <f>_xlfn.XLOOKUP(A12,'Vendor code- SKU mapping'!$B$1:$B$806,'Vendor code- SKU mapping'!$A$1:$A$806)</f>
        <v>AAFC</v>
      </c>
      <c r="C12" s="7">
        <f>VLOOKUP(B12,'Vendor -MOQ- Lead time'!$A$2:$B$45,2,0)</f>
        <v>45</v>
      </c>
      <c r="D12" s="13">
        <f>ROUND(IF('Task 2'!G12&lt;0,ABS('Task 2'!G12),0),0)</f>
        <v>3672</v>
      </c>
      <c r="E12" s="7">
        <f>ROUND('Task 2'!D12*'Task 3'!C12,0)</f>
        <v>4370</v>
      </c>
      <c r="F12" s="7">
        <f>VLOOKUP(B12,'Vendor -MOQ- Lead time'!$A$2:$C$45,3,0)</f>
        <v>270</v>
      </c>
      <c r="G12" s="7">
        <f t="shared" si="0"/>
        <v>8100</v>
      </c>
      <c r="H12" s="7" t="s">
        <v>4</v>
      </c>
      <c r="I12" s="7" cm="1">
        <f t="array" ref="I12">_xlfn.IFS(H12="25-50%",230,H12="Top 25 %",260,H12="50-75%",200,H12="Last 25%",170,H12="Retire",150)</f>
        <v>260</v>
      </c>
      <c r="J12" s="15">
        <f t="shared" si="1"/>
        <v>2106000</v>
      </c>
    </row>
    <row r="13" spans="1:12" x14ac:dyDescent="0.3">
      <c r="A13" s="7" t="s">
        <v>65</v>
      </c>
      <c r="B13" s="7" t="str">
        <f>_xlfn.XLOOKUP(A13,'Vendor code- SKU mapping'!$B$1:$B$806,'Vendor code- SKU mapping'!$A$1:$A$806)</f>
        <v>OMah</v>
      </c>
      <c r="C13" s="7">
        <f>VLOOKUP(B13,'Vendor -MOQ- Lead time'!$A$2:$B$45,2,0)</f>
        <v>45</v>
      </c>
      <c r="D13" s="13">
        <f>ROUND(IF('Task 2'!G13&lt;0,ABS('Task 2'!G13),0),0)</f>
        <v>2993</v>
      </c>
      <c r="E13" s="7">
        <f>ROUND('Task 2'!D13*'Task 3'!C13,0)</f>
        <v>2544</v>
      </c>
      <c r="F13" s="7">
        <f>VLOOKUP(B13,'Vendor -MOQ- Lead time'!$A$2:$C$45,3,0)</f>
        <v>270</v>
      </c>
      <c r="G13" s="7">
        <f t="shared" si="0"/>
        <v>5670</v>
      </c>
      <c r="H13" s="7" t="s">
        <v>4</v>
      </c>
      <c r="I13" s="7" cm="1">
        <f t="array" ref="I13">_xlfn.IFS(H13="25-50%",230,H13="Top 25 %",260,H13="50-75%",200,H13="Last 25%",170,H13="Retire",150)</f>
        <v>260</v>
      </c>
      <c r="J13" s="15">
        <f t="shared" si="1"/>
        <v>1474200</v>
      </c>
    </row>
    <row r="14" spans="1:12" x14ac:dyDescent="0.3">
      <c r="A14" s="7" t="s">
        <v>66</v>
      </c>
      <c r="B14" s="7" t="str">
        <f>_xlfn.XLOOKUP(A14,'Vendor code- SKU mapping'!$B$1:$B$806,'Vendor code- SKU mapping'!$A$1:$A$806)</f>
        <v>AARH</v>
      </c>
      <c r="C14" s="7">
        <f>VLOOKUP(B14,'Vendor -MOQ- Lead time'!$A$2:$B$45,2,0)</f>
        <v>90</v>
      </c>
      <c r="D14" s="13">
        <f>ROUND(IF('Task 2'!G14&lt;0,ABS('Task 2'!G14),0),0)</f>
        <v>1331</v>
      </c>
      <c r="E14" s="7">
        <f>ROUND('Task 2'!D14*'Task 3'!C14,0)</f>
        <v>9639</v>
      </c>
      <c r="F14" s="7">
        <f>VLOOKUP(B14,'Vendor -MOQ- Lead time'!$A$2:$C$45,3,0)</f>
        <v>1080</v>
      </c>
      <c r="G14" s="7">
        <f t="shared" si="0"/>
        <v>11880</v>
      </c>
      <c r="H14" s="7" t="s">
        <v>2</v>
      </c>
      <c r="I14" s="7" cm="1">
        <f t="array" ref="I14">_xlfn.IFS(H14="25-50%",230,H14="Top 25 %",260,H14="50-75%",200,H14="Last 25%",170,H14="Retire",150)</f>
        <v>230</v>
      </c>
      <c r="J14" s="15">
        <f t="shared" si="1"/>
        <v>2732400</v>
      </c>
    </row>
    <row r="15" spans="1:12" x14ac:dyDescent="0.3">
      <c r="A15" s="7" t="s">
        <v>67</v>
      </c>
      <c r="B15" s="7" t="str">
        <f>_xlfn.XLOOKUP(A15,'Vendor code- SKU mapping'!$B$1:$B$806,'Vendor code- SKU mapping'!$A$1:$A$806)</f>
        <v>OMah</v>
      </c>
      <c r="C15" s="7">
        <f>VLOOKUP(B15,'Vendor -MOQ- Lead time'!$A$2:$B$45,2,0)</f>
        <v>45</v>
      </c>
      <c r="D15" s="13">
        <f>ROUND(IF('Task 2'!G15&lt;0,ABS('Task 2'!G15),0),0)</f>
        <v>1298</v>
      </c>
      <c r="E15" s="7">
        <f>ROUND('Task 2'!D15*'Task 3'!C15,0)</f>
        <v>2927</v>
      </c>
      <c r="F15" s="7">
        <f>VLOOKUP(B15,'Vendor -MOQ- Lead time'!$A$2:$C$45,3,0)</f>
        <v>270</v>
      </c>
      <c r="G15" s="7">
        <f t="shared" si="0"/>
        <v>4320</v>
      </c>
      <c r="H15" s="7" t="s">
        <v>2</v>
      </c>
      <c r="I15" s="7" cm="1">
        <f t="array" ref="I15">_xlfn.IFS(H15="25-50%",230,H15="Top 25 %",260,H15="50-75%",200,H15="Last 25%",170,H15="Retire",150)</f>
        <v>230</v>
      </c>
      <c r="J15" s="15">
        <f t="shared" si="1"/>
        <v>993600</v>
      </c>
    </row>
    <row r="16" spans="1:12" x14ac:dyDescent="0.3">
      <c r="A16" s="7" t="s">
        <v>68</v>
      </c>
      <c r="B16" s="7" t="str">
        <f>_xlfn.XLOOKUP(A16,'Vendor code- SKU mapping'!$B$1:$B$806,'Vendor code- SKU mapping'!$A$1:$A$806)</f>
        <v>OOne</v>
      </c>
      <c r="C16" s="7">
        <f>VLOOKUP(B16,'Vendor -MOQ- Lead time'!$A$2:$B$45,2,0)</f>
        <v>30</v>
      </c>
      <c r="D16" s="13">
        <f>ROUND(IF('Task 2'!G16&lt;0,ABS('Task 2'!G16),0),0)</f>
        <v>3682</v>
      </c>
      <c r="E16" s="7">
        <f>ROUND('Task 2'!D16*'Task 3'!C16,0)</f>
        <v>2519</v>
      </c>
      <c r="F16" s="7">
        <f>VLOOKUP(B16,'Vendor -MOQ- Lead time'!$A$2:$C$45,3,0)</f>
        <v>180</v>
      </c>
      <c r="G16" s="7">
        <f t="shared" si="0"/>
        <v>6300</v>
      </c>
      <c r="H16" s="7" t="s">
        <v>4</v>
      </c>
      <c r="I16" s="7" cm="1">
        <f t="array" ref="I16">_xlfn.IFS(H16="25-50%",230,H16="Top 25 %",260,H16="50-75%",200,H16="Last 25%",170,H16="Retire",150)</f>
        <v>260</v>
      </c>
      <c r="J16" s="15">
        <f t="shared" si="1"/>
        <v>1638000</v>
      </c>
    </row>
    <row r="17" spans="1:10" x14ac:dyDescent="0.3">
      <c r="A17" s="7" t="s">
        <v>69</v>
      </c>
      <c r="B17" s="7" t="str">
        <f>_xlfn.XLOOKUP(A17,'Vendor code- SKU mapping'!$B$1:$B$806,'Vendor code- SKU mapping'!$A$1:$A$806)</f>
        <v>OSha</v>
      </c>
      <c r="C17" s="7">
        <f>VLOOKUP(B17,'Vendor -MOQ- Lead time'!$A$2:$B$45,2,0)</f>
        <v>45</v>
      </c>
      <c r="D17" s="13">
        <f>ROUND(IF('Task 2'!G17&lt;0,ABS('Task 2'!G17),0),0)</f>
        <v>1263</v>
      </c>
      <c r="E17" s="7">
        <f>ROUND('Task 2'!D17*'Task 3'!C17,0)</f>
        <v>1989</v>
      </c>
      <c r="F17" s="7">
        <f>VLOOKUP(B17,'Vendor -MOQ- Lead time'!$A$2:$C$45,3,0)</f>
        <v>270</v>
      </c>
      <c r="G17" s="7">
        <f t="shared" si="0"/>
        <v>3510</v>
      </c>
      <c r="H17" s="7" t="s">
        <v>0</v>
      </c>
      <c r="I17" s="7" cm="1">
        <f t="array" ref="I17">_xlfn.IFS(H17="25-50%",230,H17="Top 25 %",260,H17="50-75%",200,H17="Last 25%",170,H17="Retire",150)</f>
        <v>170</v>
      </c>
      <c r="J17" s="15">
        <f t="shared" si="1"/>
        <v>596700</v>
      </c>
    </row>
    <row r="18" spans="1:10" x14ac:dyDescent="0.3">
      <c r="A18" s="7" t="s">
        <v>70</v>
      </c>
      <c r="B18" s="7" t="str">
        <f>_xlfn.XLOOKUP(A18,'Vendor code- SKU mapping'!$B$1:$B$806,'Vendor code- SKU mapping'!$A$1:$A$806)</f>
        <v>AAFC</v>
      </c>
      <c r="C18" s="7">
        <f>VLOOKUP(B18,'Vendor -MOQ- Lead time'!$A$2:$B$45,2,0)</f>
        <v>45</v>
      </c>
      <c r="D18" s="13">
        <f>ROUND(IF('Task 2'!G18&lt;0,ABS('Task 2'!G18),0),0)</f>
        <v>2861</v>
      </c>
      <c r="E18" s="7">
        <f>ROUND('Task 2'!D18*'Task 3'!C18,0)</f>
        <v>3062</v>
      </c>
      <c r="F18" s="7">
        <f>VLOOKUP(B18,'Vendor -MOQ- Lead time'!$A$2:$C$45,3,0)</f>
        <v>270</v>
      </c>
      <c r="G18" s="7">
        <f t="shared" si="0"/>
        <v>5940</v>
      </c>
      <c r="H18" s="7" t="s">
        <v>4</v>
      </c>
      <c r="I18" s="7" cm="1">
        <f t="array" ref="I18">_xlfn.IFS(H18="25-50%",230,H18="Top 25 %",260,H18="50-75%",200,H18="Last 25%",170,H18="Retire",150)</f>
        <v>260</v>
      </c>
      <c r="J18" s="15">
        <f t="shared" si="1"/>
        <v>1544400</v>
      </c>
    </row>
    <row r="19" spans="1:10" x14ac:dyDescent="0.3">
      <c r="A19" s="7" t="s">
        <v>71</v>
      </c>
      <c r="B19" s="7" t="str">
        <f>_xlfn.XLOOKUP(A19,'Vendor code- SKU mapping'!$B$1:$B$806,'Vendor code- SKU mapping'!$A$1:$A$806)</f>
        <v>OMah</v>
      </c>
      <c r="C19" s="7">
        <f>VLOOKUP(B19,'Vendor -MOQ- Lead time'!$A$2:$B$45,2,0)</f>
        <v>45</v>
      </c>
      <c r="D19" s="13">
        <f>ROUND(IF('Task 2'!G19&lt;0,ABS('Task 2'!G19),0),0)</f>
        <v>0</v>
      </c>
      <c r="E19" s="7">
        <f>ROUND('Task 2'!D19*'Task 3'!C19,0)</f>
        <v>2528</v>
      </c>
      <c r="F19" s="7">
        <f>VLOOKUP(B19,'Vendor -MOQ- Lead time'!$A$2:$C$45,3,0)</f>
        <v>270</v>
      </c>
      <c r="G19" s="7">
        <f t="shared" si="0"/>
        <v>2700</v>
      </c>
      <c r="H19" s="7" t="s">
        <v>2</v>
      </c>
      <c r="I19" s="7" cm="1">
        <f t="array" ref="I19">_xlfn.IFS(H19="25-50%",230,H19="Top 25 %",260,H19="50-75%",200,H19="Last 25%",170,H19="Retire",150)</f>
        <v>230</v>
      </c>
      <c r="J19" s="15">
        <f t="shared" si="1"/>
        <v>621000</v>
      </c>
    </row>
    <row r="20" spans="1:10" x14ac:dyDescent="0.3">
      <c r="A20" s="7" t="s">
        <v>72</v>
      </c>
      <c r="B20" s="7" t="str">
        <f>_xlfn.XLOOKUP(A20,'Vendor code- SKU mapping'!$B$1:$B$806,'Vendor code- SKU mapping'!$A$1:$A$806)</f>
        <v>OSha</v>
      </c>
      <c r="C20" s="7">
        <f>VLOOKUP(B20,'Vendor -MOQ- Lead time'!$A$2:$B$45,2,0)</f>
        <v>45</v>
      </c>
      <c r="D20" s="13">
        <f>ROUND(IF('Task 2'!G20&lt;0,ABS('Task 2'!G20),0),0)</f>
        <v>948</v>
      </c>
      <c r="E20" s="7">
        <f>ROUND('Task 2'!D20*'Task 3'!C20,0)</f>
        <v>3207</v>
      </c>
      <c r="F20" s="7">
        <f>VLOOKUP(B20,'Vendor -MOQ- Lead time'!$A$2:$C$45,3,0)</f>
        <v>270</v>
      </c>
      <c r="G20" s="7">
        <f t="shared" si="0"/>
        <v>4320</v>
      </c>
      <c r="H20" s="7" t="s">
        <v>2</v>
      </c>
      <c r="I20" s="7" cm="1">
        <f t="array" ref="I20">_xlfn.IFS(H20="25-50%",230,H20="Top 25 %",260,H20="50-75%",200,H20="Last 25%",170,H20="Retire",150)</f>
        <v>230</v>
      </c>
      <c r="J20" s="15">
        <f t="shared" si="1"/>
        <v>993600</v>
      </c>
    </row>
    <row r="21" spans="1:10" x14ac:dyDescent="0.3">
      <c r="A21" s="7" t="s">
        <v>73</v>
      </c>
      <c r="B21" s="7" t="str">
        <f>_xlfn.XLOOKUP(A21,'Vendor code- SKU mapping'!$B$1:$B$806,'Vendor code- SKU mapping'!$A$1:$A$806)</f>
        <v>EDaz</v>
      </c>
      <c r="C21" s="7">
        <f>VLOOKUP(B21,'Vendor -MOQ- Lead time'!$A$2:$B$45,2,0)</f>
        <v>30</v>
      </c>
      <c r="D21" s="13">
        <f>ROUND(IF('Task 2'!G21&lt;0,ABS('Task 2'!G21),0),0)</f>
        <v>1432</v>
      </c>
      <c r="E21" s="7">
        <f>ROUND('Task 2'!D21*'Task 3'!C21,0)</f>
        <v>1709</v>
      </c>
      <c r="F21" s="7">
        <f>VLOOKUP(B21,'Vendor -MOQ- Lead time'!$A$2:$C$45,3,0)</f>
        <v>180</v>
      </c>
      <c r="G21" s="7">
        <f t="shared" si="0"/>
        <v>3240</v>
      </c>
      <c r="H21" s="7" t="s">
        <v>4</v>
      </c>
      <c r="I21" s="7" cm="1">
        <f t="array" ref="I21">_xlfn.IFS(H21="25-50%",230,H21="Top 25 %",260,H21="50-75%",200,H21="Last 25%",170,H21="Retire",150)</f>
        <v>260</v>
      </c>
      <c r="J21" s="15">
        <f t="shared" si="1"/>
        <v>842400</v>
      </c>
    </row>
    <row r="22" spans="1:10" x14ac:dyDescent="0.3">
      <c r="A22" s="7" t="s">
        <v>74</v>
      </c>
      <c r="B22" s="7" t="str">
        <f>_xlfn.XLOOKUP(A22,'Vendor code- SKU mapping'!$B$1:$B$806,'Vendor code- SKU mapping'!$A$1:$A$806)</f>
        <v>ISte</v>
      </c>
      <c r="C22" s="7">
        <f>VLOOKUP(B22,'Vendor -MOQ- Lead time'!$A$2:$B$45,2,0)</f>
        <v>45</v>
      </c>
      <c r="D22" s="13">
        <f>ROUND(IF('Task 2'!G22&lt;0,ABS('Task 2'!G22),0),0)</f>
        <v>0</v>
      </c>
      <c r="E22" s="7">
        <f>ROUND('Task 2'!D22*'Task 3'!C22,0)</f>
        <v>1877</v>
      </c>
      <c r="F22" s="7">
        <f>VLOOKUP(B22,'Vendor -MOQ- Lead time'!$A$2:$C$45,3,0)</f>
        <v>270</v>
      </c>
      <c r="G22" s="7">
        <f t="shared" si="0"/>
        <v>1890</v>
      </c>
      <c r="H22" s="7" t="s">
        <v>4</v>
      </c>
      <c r="I22" s="7" cm="1">
        <f t="array" ref="I22">_xlfn.IFS(H22="25-50%",230,H22="Top 25 %",260,H22="50-75%",200,H22="Last 25%",170,H22="Retire",150)</f>
        <v>260</v>
      </c>
      <c r="J22" s="15">
        <f t="shared" si="1"/>
        <v>491400</v>
      </c>
    </row>
    <row r="23" spans="1:10" x14ac:dyDescent="0.3">
      <c r="A23" s="7" t="s">
        <v>75</v>
      </c>
      <c r="B23" s="7" t="str">
        <f>_xlfn.XLOOKUP(A23,'Vendor code- SKU mapping'!$B$1:$B$806,'Vendor code- SKU mapping'!$A$1:$A$806)</f>
        <v>OOne</v>
      </c>
      <c r="C23" s="7">
        <f>VLOOKUP(B23,'Vendor -MOQ- Lead time'!$A$2:$B$45,2,0)</f>
        <v>30</v>
      </c>
      <c r="D23" s="13">
        <f>ROUND(IF('Task 2'!G23&lt;0,ABS('Task 2'!G23),0),0)</f>
        <v>2566</v>
      </c>
      <c r="E23" s="7">
        <f>ROUND('Task 2'!D23*'Task 3'!C23,0)</f>
        <v>1874</v>
      </c>
      <c r="F23" s="7">
        <f>VLOOKUP(B23,'Vendor -MOQ- Lead time'!$A$2:$C$45,3,0)</f>
        <v>180</v>
      </c>
      <c r="G23" s="7">
        <f t="shared" si="0"/>
        <v>4500</v>
      </c>
      <c r="H23" s="7" t="s">
        <v>4</v>
      </c>
      <c r="I23" s="7" cm="1">
        <f t="array" ref="I23">_xlfn.IFS(H23="25-50%",230,H23="Top 25 %",260,H23="50-75%",200,H23="Last 25%",170,H23="Retire",150)</f>
        <v>260</v>
      </c>
      <c r="J23" s="15">
        <f t="shared" si="1"/>
        <v>1170000</v>
      </c>
    </row>
    <row r="24" spans="1:10" x14ac:dyDescent="0.3">
      <c r="A24" s="7" t="s">
        <v>76</v>
      </c>
      <c r="B24" s="7" t="str">
        <f>_xlfn.XLOOKUP(A24,'Vendor code- SKU mapping'!$B$1:$B$806,'Vendor code- SKU mapping'!$A$1:$A$806)</f>
        <v>OMug</v>
      </c>
      <c r="C24" s="7">
        <f>VLOOKUP(B24,'Vendor -MOQ- Lead time'!$A$2:$B$45,2,0)</f>
        <v>45</v>
      </c>
      <c r="D24" s="13">
        <f>ROUND(IF('Task 2'!G24&lt;0,ABS('Task 2'!G24),0),0)</f>
        <v>0</v>
      </c>
      <c r="E24" s="7">
        <f>ROUND('Task 2'!D24*'Task 3'!C24,0)</f>
        <v>3566</v>
      </c>
      <c r="F24" s="7">
        <f>VLOOKUP(B24,'Vendor -MOQ- Lead time'!$A$2:$C$45,3,0)</f>
        <v>270</v>
      </c>
      <c r="G24" s="7">
        <f t="shared" si="0"/>
        <v>3780</v>
      </c>
      <c r="H24" s="7" t="s">
        <v>1</v>
      </c>
      <c r="I24" s="7" cm="1">
        <f t="array" ref="I24">_xlfn.IFS(H24="25-50%",230,H24="Top 25 %",260,H24="50-75%",200,H24="Last 25%",170,H24="Retire",150)</f>
        <v>200</v>
      </c>
      <c r="J24" s="15">
        <f t="shared" si="1"/>
        <v>756000</v>
      </c>
    </row>
    <row r="25" spans="1:10" x14ac:dyDescent="0.3">
      <c r="A25" s="7" t="s">
        <v>77</v>
      </c>
      <c r="B25" s="7" t="str">
        <f>_xlfn.XLOOKUP(A25,'Vendor code- SKU mapping'!$B$1:$B$806,'Vendor code- SKU mapping'!$A$1:$A$806)</f>
        <v>AAre</v>
      </c>
      <c r="C25" s="7">
        <f>VLOOKUP(B25,'Vendor -MOQ- Lead time'!$A$2:$B$45,2,0)</f>
        <v>45</v>
      </c>
      <c r="D25" s="13">
        <f>ROUND(IF('Task 2'!G25&lt;0,ABS('Task 2'!G25),0),0)</f>
        <v>1643</v>
      </c>
      <c r="E25" s="7">
        <f>ROUND('Task 2'!D25*'Task 3'!C25,0)</f>
        <v>2616</v>
      </c>
      <c r="F25" s="7">
        <f>VLOOKUP(B25,'Vendor -MOQ- Lead time'!$A$2:$C$45,3,0)</f>
        <v>270</v>
      </c>
      <c r="G25" s="7">
        <f t="shared" si="0"/>
        <v>4320</v>
      </c>
      <c r="H25" s="7" t="s">
        <v>4</v>
      </c>
      <c r="I25" s="7" cm="1">
        <f t="array" ref="I25">_xlfn.IFS(H25="25-50%",230,H25="Top 25 %",260,H25="50-75%",200,H25="Last 25%",170,H25="Retire",150)</f>
        <v>260</v>
      </c>
      <c r="J25" s="15">
        <f t="shared" si="1"/>
        <v>1123200</v>
      </c>
    </row>
    <row r="26" spans="1:10" x14ac:dyDescent="0.3">
      <c r="A26" s="7" t="s">
        <v>78</v>
      </c>
      <c r="B26" s="7" t="str">
        <f>_xlfn.XLOOKUP(A26,'Vendor code- SKU mapping'!$B$1:$B$806,'Vendor code- SKU mapping'!$A$1:$A$806)</f>
        <v>OMah</v>
      </c>
      <c r="C26" s="7">
        <f>VLOOKUP(B26,'Vendor -MOQ- Lead time'!$A$2:$B$45,2,0)</f>
        <v>45</v>
      </c>
      <c r="D26" s="13">
        <f>ROUND(IF('Task 2'!G26&lt;0,ABS('Task 2'!G26),0),0)</f>
        <v>792</v>
      </c>
      <c r="E26" s="7">
        <f>ROUND('Task 2'!D26*'Task 3'!C26,0)</f>
        <v>1902</v>
      </c>
      <c r="F26" s="7">
        <f>VLOOKUP(B26,'Vendor -MOQ- Lead time'!$A$2:$C$45,3,0)</f>
        <v>270</v>
      </c>
      <c r="G26" s="7">
        <f t="shared" si="0"/>
        <v>2700</v>
      </c>
      <c r="H26" s="7" t="s">
        <v>2</v>
      </c>
      <c r="I26" s="7" cm="1">
        <f t="array" ref="I26">_xlfn.IFS(H26="25-50%",230,H26="Top 25 %",260,H26="50-75%",200,H26="Last 25%",170,H26="Retire",150)</f>
        <v>230</v>
      </c>
      <c r="J26" s="15">
        <f t="shared" si="1"/>
        <v>621000</v>
      </c>
    </row>
    <row r="27" spans="1:10" x14ac:dyDescent="0.3">
      <c r="A27" s="7" t="s">
        <v>79</v>
      </c>
      <c r="B27" s="7" t="str">
        <f>_xlfn.XLOOKUP(A27,'Vendor code- SKU mapping'!$B$1:$B$806,'Vendor code- SKU mapping'!$A$1:$A$806)</f>
        <v>OSha</v>
      </c>
      <c r="C27" s="7">
        <f>VLOOKUP(B27,'Vendor -MOQ- Lead time'!$A$2:$B$45,2,0)</f>
        <v>45</v>
      </c>
      <c r="D27" s="13">
        <f>ROUND(IF('Task 2'!G27&lt;0,ABS('Task 2'!G27),0),0)</f>
        <v>0</v>
      </c>
      <c r="E27" s="7">
        <f>ROUND('Task 2'!D27*'Task 3'!C27,0)</f>
        <v>2277</v>
      </c>
      <c r="F27" s="7">
        <f>VLOOKUP(B27,'Vendor -MOQ- Lead time'!$A$2:$C$45,3,0)</f>
        <v>270</v>
      </c>
      <c r="G27" s="7">
        <f t="shared" si="0"/>
        <v>2430</v>
      </c>
      <c r="H27" s="7" t="s">
        <v>2</v>
      </c>
      <c r="I27" s="7" cm="1">
        <f t="array" ref="I27">_xlfn.IFS(H27="25-50%",230,H27="Top 25 %",260,H27="50-75%",200,H27="Last 25%",170,H27="Retire",150)</f>
        <v>230</v>
      </c>
      <c r="J27" s="15">
        <f t="shared" si="1"/>
        <v>558900</v>
      </c>
    </row>
    <row r="28" spans="1:10" x14ac:dyDescent="0.3">
      <c r="A28" s="7" t="s">
        <v>80</v>
      </c>
      <c r="B28" s="7" t="str">
        <f>_xlfn.XLOOKUP(A28,'Vendor code- SKU mapping'!$B$1:$B$806,'Vendor code- SKU mapping'!$A$1:$A$806)</f>
        <v>ONex</v>
      </c>
      <c r="C28" s="7">
        <f>VLOOKUP(B28,'Vendor -MOQ- Lead time'!$A$2:$B$45,2,0)</f>
        <v>90</v>
      </c>
      <c r="D28" s="13">
        <f>ROUND(IF('Task 2'!G28&lt;0,ABS('Task 2'!G28),0),0)</f>
        <v>87</v>
      </c>
      <c r="E28" s="7">
        <f>ROUND('Task 2'!D28*'Task 3'!C28,0)</f>
        <v>3339</v>
      </c>
      <c r="F28" s="7">
        <f>VLOOKUP(B28,'Vendor -MOQ- Lead time'!$A$2:$C$45,3,0)</f>
        <v>1440</v>
      </c>
      <c r="G28" s="7">
        <f t="shared" si="0"/>
        <v>4320</v>
      </c>
      <c r="H28" s="7" t="s">
        <v>1</v>
      </c>
      <c r="I28" s="7" cm="1">
        <f t="array" ref="I28">_xlfn.IFS(H28="25-50%",230,H28="Top 25 %",260,H28="50-75%",200,H28="Last 25%",170,H28="Retire",150)</f>
        <v>200</v>
      </c>
      <c r="J28" s="15">
        <f t="shared" si="1"/>
        <v>864000</v>
      </c>
    </row>
    <row r="29" spans="1:10" x14ac:dyDescent="0.3">
      <c r="A29" s="7" t="s">
        <v>81</v>
      </c>
      <c r="B29" s="7" t="str">
        <f>_xlfn.XLOOKUP(A29,'Vendor code- SKU mapping'!$B$1:$B$806,'Vendor code- SKU mapping'!$A$1:$A$806)</f>
        <v>OMD</v>
      </c>
      <c r="C29" s="7">
        <f>VLOOKUP(B29,'Vendor -MOQ- Lead time'!$A$2:$B$45,2,0)</f>
        <v>30</v>
      </c>
      <c r="D29" s="13">
        <f>ROUND(IF('Task 2'!G29&lt;0,ABS('Task 2'!G29),0),0)</f>
        <v>225</v>
      </c>
      <c r="E29" s="7">
        <f>ROUND('Task 2'!D29*'Task 3'!C29,0)</f>
        <v>1635</v>
      </c>
      <c r="F29" s="7">
        <f>VLOOKUP(B29,'Vendor -MOQ- Lead time'!$A$2:$C$45,3,0)</f>
        <v>180</v>
      </c>
      <c r="G29" s="7">
        <f t="shared" si="0"/>
        <v>1980</v>
      </c>
      <c r="H29" s="7" t="s">
        <v>0</v>
      </c>
      <c r="I29" s="7" cm="1">
        <f t="array" ref="I29">_xlfn.IFS(H29="25-50%",230,H29="Top 25 %",260,H29="50-75%",200,H29="Last 25%",170,H29="Retire",150)</f>
        <v>170</v>
      </c>
      <c r="J29" s="15">
        <f t="shared" si="1"/>
        <v>336600</v>
      </c>
    </row>
    <row r="30" spans="1:10" x14ac:dyDescent="0.3">
      <c r="A30" s="7" t="s">
        <v>82</v>
      </c>
      <c r="B30" s="7" t="str">
        <f>_xlfn.XLOOKUP(A30,'Vendor code- SKU mapping'!$B$1:$B$806,'Vendor code- SKU mapping'!$A$1:$A$806)</f>
        <v>EDaz</v>
      </c>
      <c r="C30" s="7">
        <f>VLOOKUP(B30,'Vendor -MOQ- Lead time'!$A$2:$B$45,2,0)</f>
        <v>30</v>
      </c>
      <c r="D30" s="13">
        <f>ROUND(IF('Task 2'!G30&lt;0,ABS('Task 2'!G30),0),0)</f>
        <v>1419</v>
      </c>
      <c r="E30" s="7">
        <f>ROUND('Task 2'!D30*'Task 3'!C30,0)</f>
        <v>1377</v>
      </c>
      <c r="F30" s="7">
        <f>VLOOKUP(B30,'Vendor -MOQ- Lead time'!$A$2:$C$45,3,0)</f>
        <v>180</v>
      </c>
      <c r="G30" s="7">
        <f t="shared" si="0"/>
        <v>2880</v>
      </c>
      <c r="H30" s="7" t="s">
        <v>4</v>
      </c>
      <c r="I30" s="7" cm="1">
        <f t="array" ref="I30">_xlfn.IFS(H30="25-50%",230,H30="Top 25 %",260,H30="50-75%",200,H30="Last 25%",170,H30="Retire",150)</f>
        <v>260</v>
      </c>
      <c r="J30" s="15">
        <f t="shared" si="1"/>
        <v>748800</v>
      </c>
    </row>
    <row r="31" spans="1:10" x14ac:dyDescent="0.3">
      <c r="A31" s="7" t="s">
        <v>83</v>
      </c>
      <c r="B31" s="7" t="str">
        <f>_xlfn.XLOOKUP(A31,'Vendor code- SKU mapping'!$B$1:$B$806,'Vendor code- SKU mapping'!$A$1:$A$806)</f>
        <v>ORoy</v>
      </c>
      <c r="C31" s="7">
        <f>VLOOKUP(B31,'Vendor -MOQ- Lead time'!$A$2:$B$45,2,0)</f>
        <v>45</v>
      </c>
      <c r="D31" s="13">
        <f>ROUND(IF('Task 2'!G31&lt;0,ABS('Task 2'!G31),0),0)</f>
        <v>0</v>
      </c>
      <c r="E31" s="7">
        <f>ROUND('Task 2'!D31*'Task 3'!C31,0)</f>
        <v>783</v>
      </c>
      <c r="F31" s="7">
        <f>VLOOKUP(B31,'Vendor -MOQ- Lead time'!$A$2:$C$45,3,0)</f>
        <v>270</v>
      </c>
      <c r="G31" s="7">
        <f t="shared" si="0"/>
        <v>810</v>
      </c>
      <c r="H31" s="7" t="s">
        <v>0</v>
      </c>
      <c r="I31" s="7" cm="1">
        <f t="array" ref="I31">_xlfn.IFS(H31="25-50%",230,H31="Top 25 %",260,H31="50-75%",200,H31="Last 25%",170,H31="Retire",150)</f>
        <v>170</v>
      </c>
      <c r="J31" s="15">
        <f t="shared" si="1"/>
        <v>137700</v>
      </c>
    </row>
    <row r="32" spans="1:10" x14ac:dyDescent="0.3">
      <c r="A32" s="7" t="s">
        <v>84</v>
      </c>
      <c r="B32" s="7" t="str">
        <f>_xlfn.XLOOKUP(A32,'Vendor code- SKU mapping'!$B$1:$B$806,'Vendor code- SKU mapping'!$A$1:$A$806)</f>
        <v>OOne</v>
      </c>
      <c r="C32" s="7">
        <f>VLOOKUP(B32,'Vendor -MOQ- Lead time'!$A$2:$B$45,2,0)</f>
        <v>30</v>
      </c>
      <c r="D32" s="13">
        <f>ROUND(IF('Task 2'!G32&lt;0,ABS('Task 2'!G32),0),0)</f>
        <v>2036</v>
      </c>
      <c r="E32" s="7">
        <f>ROUND('Task 2'!D32*'Task 3'!C32,0)</f>
        <v>1513</v>
      </c>
      <c r="F32" s="7">
        <f>VLOOKUP(B32,'Vendor -MOQ- Lead time'!$A$2:$C$45,3,0)</f>
        <v>180</v>
      </c>
      <c r="G32" s="7">
        <f t="shared" si="0"/>
        <v>3600</v>
      </c>
      <c r="H32" s="7" t="s">
        <v>4</v>
      </c>
      <c r="I32" s="7" cm="1">
        <f t="array" ref="I32">_xlfn.IFS(H32="25-50%",230,H32="Top 25 %",260,H32="50-75%",200,H32="Last 25%",170,H32="Retire",150)</f>
        <v>260</v>
      </c>
      <c r="J32" s="15">
        <f t="shared" si="1"/>
        <v>936000</v>
      </c>
    </row>
    <row r="33" spans="1:10" x14ac:dyDescent="0.3">
      <c r="A33" s="7" t="s">
        <v>85</v>
      </c>
      <c r="B33" s="7" t="str">
        <f>_xlfn.XLOOKUP(A33,'Vendor code- SKU mapping'!$B$1:$B$806,'Vendor code- SKU mapping'!$A$1:$A$806)</f>
        <v>OMD</v>
      </c>
      <c r="C33" s="7">
        <f>VLOOKUP(B33,'Vendor -MOQ- Lead time'!$A$2:$B$45,2,0)</f>
        <v>30</v>
      </c>
      <c r="D33" s="13">
        <f>ROUND(IF('Task 2'!G33&lt;0,ABS('Task 2'!G33),0),0)</f>
        <v>0</v>
      </c>
      <c r="E33" s="7">
        <f>ROUND('Task 2'!D33*'Task 3'!C33,0)</f>
        <v>1844</v>
      </c>
      <c r="F33" s="7">
        <f>VLOOKUP(B33,'Vendor -MOQ- Lead time'!$A$2:$C$45,3,0)</f>
        <v>180</v>
      </c>
      <c r="G33" s="7">
        <f t="shared" si="0"/>
        <v>1980</v>
      </c>
      <c r="H33" s="7" t="s">
        <v>0</v>
      </c>
      <c r="I33" s="7" cm="1">
        <f t="array" ref="I33">_xlfn.IFS(H33="25-50%",230,H33="Top 25 %",260,H33="50-75%",200,H33="Last 25%",170,H33="Retire",150)</f>
        <v>170</v>
      </c>
      <c r="J33" s="15">
        <f t="shared" si="1"/>
        <v>336600</v>
      </c>
    </row>
    <row r="34" spans="1:10" x14ac:dyDescent="0.3">
      <c r="A34" s="7" t="s">
        <v>86</v>
      </c>
      <c r="B34" s="7" t="str">
        <f>_xlfn.XLOOKUP(A34,'Vendor code- SKU mapping'!$B$1:$B$806,'Vendor code- SKU mapping'!$A$1:$A$806)</f>
        <v>EDaz</v>
      </c>
      <c r="C34" s="7">
        <f>VLOOKUP(B34,'Vendor -MOQ- Lead time'!$A$2:$B$45,2,0)</f>
        <v>30</v>
      </c>
      <c r="D34" s="13">
        <f>ROUND(IF('Task 2'!G34&lt;0,ABS('Task 2'!G34),0),0)</f>
        <v>1500</v>
      </c>
      <c r="E34" s="7">
        <f>ROUND('Task 2'!D34*'Task 3'!C34,0)</f>
        <v>1335</v>
      </c>
      <c r="F34" s="7">
        <f>VLOOKUP(B34,'Vendor -MOQ- Lead time'!$A$2:$C$45,3,0)</f>
        <v>180</v>
      </c>
      <c r="G34" s="7">
        <f t="shared" si="0"/>
        <v>2880</v>
      </c>
      <c r="H34" s="7" t="s">
        <v>4</v>
      </c>
      <c r="I34" s="7" cm="1">
        <f t="array" ref="I34">_xlfn.IFS(H34="25-50%",230,H34="Top 25 %",260,H34="50-75%",200,H34="Last 25%",170,H34="Retire",150)</f>
        <v>260</v>
      </c>
      <c r="J34" s="15">
        <f t="shared" si="1"/>
        <v>748800</v>
      </c>
    </row>
    <row r="35" spans="1:10" x14ac:dyDescent="0.3">
      <c r="A35" s="7" t="s">
        <v>87</v>
      </c>
      <c r="B35" s="7" t="str">
        <f>_xlfn.XLOOKUP(A35,'Vendor code- SKU mapping'!$B$1:$B$806,'Vendor code- SKU mapping'!$A$1:$A$806)</f>
        <v>ONex</v>
      </c>
      <c r="C35" s="7">
        <f>VLOOKUP(B35,'Vendor -MOQ- Lead time'!$A$2:$B$45,2,0)</f>
        <v>90</v>
      </c>
      <c r="D35" s="13">
        <f>ROUND(IF('Task 2'!G35&lt;0,ABS('Task 2'!G35),0),0)</f>
        <v>0</v>
      </c>
      <c r="E35" s="7">
        <f>ROUND('Task 2'!D35*'Task 3'!C35,0)</f>
        <v>3183</v>
      </c>
      <c r="F35" s="7">
        <f>VLOOKUP(B35,'Vendor -MOQ- Lead time'!$A$2:$C$45,3,0)</f>
        <v>1440</v>
      </c>
      <c r="G35" s="7">
        <f t="shared" si="0"/>
        <v>4320</v>
      </c>
      <c r="H35" s="7" t="s">
        <v>1</v>
      </c>
      <c r="I35" s="7" cm="1">
        <f t="array" ref="I35">_xlfn.IFS(H35="25-50%",230,H35="Top 25 %",260,H35="50-75%",200,H35="Last 25%",170,H35="Retire",150)</f>
        <v>200</v>
      </c>
      <c r="J35" s="15">
        <f t="shared" si="1"/>
        <v>864000</v>
      </c>
    </row>
    <row r="36" spans="1:10" x14ac:dyDescent="0.3">
      <c r="A36" s="7" t="s">
        <v>88</v>
      </c>
      <c r="B36" s="7" t="str">
        <f>_xlfn.XLOOKUP(A36,'Vendor code- SKU mapping'!$B$1:$B$806,'Vendor code- SKU mapping'!$A$1:$A$806)</f>
        <v>OMug</v>
      </c>
      <c r="C36" s="7">
        <f>VLOOKUP(B36,'Vendor -MOQ- Lead time'!$A$2:$B$45,2,0)</f>
        <v>45</v>
      </c>
      <c r="D36" s="13">
        <f>ROUND(IF('Task 2'!G36&lt;0,ABS('Task 2'!G36),0),0)</f>
        <v>820</v>
      </c>
      <c r="E36" s="7">
        <f>ROUND('Task 2'!D36*'Task 3'!C36,0)</f>
        <v>2207</v>
      </c>
      <c r="F36" s="7">
        <f>VLOOKUP(B36,'Vendor -MOQ- Lead time'!$A$2:$C$45,3,0)</f>
        <v>270</v>
      </c>
      <c r="G36" s="7">
        <f t="shared" si="0"/>
        <v>3240</v>
      </c>
      <c r="H36" s="7" t="s">
        <v>1</v>
      </c>
      <c r="I36" s="7" cm="1">
        <f t="array" ref="I36">_xlfn.IFS(H36="25-50%",230,H36="Top 25 %",260,H36="50-75%",200,H36="Last 25%",170,H36="Retire",150)</f>
        <v>200</v>
      </c>
      <c r="J36" s="15">
        <f t="shared" si="1"/>
        <v>648000</v>
      </c>
    </row>
    <row r="37" spans="1:10" x14ac:dyDescent="0.3">
      <c r="A37" s="7" t="s">
        <v>89</v>
      </c>
      <c r="B37" s="7" t="str">
        <f>_xlfn.XLOOKUP(A37,'Vendor code- SKU mapping'!$B$1:$B$806,'Vendor code- SKU mapping'!$A$1:$A$806)</f>
        <v>ISte</v>
      </c>
      <c r="C37" s="7">
        <f>VLOOKUP(B37,'Vendor -MOQ- Lead time'!$A$2:$B$45,2,0)</f>
        <v>45</v>
      </c>
      <c r="D37" s="13">
        <f>ROUND(IF('Task 2'!G37&lt;0,ABS('Task 2'!G37),0),0)</f>
        <v>0</v>
      </c>
      <c r="E37" s="7">
        <f>ROUND('Task 2'!D37*'Task 3'!C37,0)</f>
        <v>1830</v>
      </c>
      <c r="F37" s="7">
        <f>VLOOKUP(B37,'Vendor -MOQ- Lead time'!$A$2:$C$45,3,0)</f>
        <v>270</v>
      </c>
      <c r="G37" s="7">
        <f t="shared" si="0"/>
        <v>1890</v>
      </c>
      <c r="H37" s="7" t="s">
        <v>4</v>
      </c>
      <c r="I37" s="7" cm="1">
        <f t="array" ref="I37">_xlfn.IFS(H37="25-50%",230,H37="Top 25 %",260,H37="50-75%",200,H37="Last 25%",170,H37="Retire",150)</f>
        <v>260</v>
      </c>
      <c r="J37" s="15">
        <f t="shared" si="1"/>
        <v>491400</v>
      </c>
    </row>
    <row r="38" spans="1:10" x14ac:dyDescent="0.3">
      <c r="A38" s="7" t="s">
        <v>90</v>
      </c>
      <c r="B38" s="7" t="str">
        <f>_xlfn.XLOOKUP(A38,'Vendor code- SKU mapping'!$B$1:$B$806,'Vendor code- SKU mapping'!$A$1:$A$806)</f>
        <v>EGRS</v>
      </c>
      <c r="C38" s="7">
        <f>VLOOKUP(B38,'Vendor -MOQ- Lead time'!$A$2:$B$45,2,0)</f>
        <v>45</v>
      </c>
      <c r="D38" s="13">
        <f>ROUND(IF('Task 2'!G38&lt;0,ABS('Task 2'!G38),0),0)</f>
        <v>1434</v>
      </c>
      <c r="E38" s="7">
        <f>ROUND('Task 2'!D38*'Task 3'!C38,0)</f>
        <v>1452</v>
      </c>
      <c r="F38" s="7">
        <f>VLOOKUP(B38,'Vendor -MOQ- Lead time'!$A$2:$C$45,3,0)</f>
        <v>270</v>
      </c>
      <c r="G38" s="7">
        <f t="shared" si="0"/>
        <v>2970</v>
      </c>
      <c r="H38" s="7" t="s">
        <v>2</v>
      </c>
      <c r="I38" s="7" cm="1">
        <f t="array" ref="I38">_xlfn.IFS(H38="25-50%",230,H38="Top 25 %",260,H38="50-75%",200,H38="Last 25%",170,H38="Retire",150)</f>
        <v>230</v>
      </c>
      <c r="J38" s="15">
        <f t="shared" si="1"/>
        <v>683100</v>
      </c>
    </row>
    <row r="39" spans="1:10" x14ac:dyDescent="0.3">
      <c r="A39" s="7" t="s">
        <v>91</v>
      </c>
      <c r="B39" s="7" t="str">
        <f>_xlfn.XLOOKUP(A39,'Vendor code- SKU mapping'!$B$1:$B$806,'Vendor code- SKU mapping'!$A$1:$A$806)</f>
        <v>OMD</v>
      </c>
      <c r="C39" s="7">
        <f>VLOOKUP(B39,'Vendor -MOQ- Lead time'!$A$2:$B$45,2,0)</f>
        <v>30</v>
      </c>
      <c r="D39" s="13">
        <f>ROUND(IF('Task 2'!G39&lt;0,ABS('Task 2'!G39),0),0)</f>
        <v>342</v>
      </c>
      <c r="E39" s="7">
        <f>ROUND('Task 2'!D39*'Task 3'!C39,0)</f>
        <v>1110</v>
      </c>
      <c r="F39" s="7">
        <f>VLOOKUP(B39,'Vendor -MOQ- Lead time'!$A$2:$C$45,3,0)</f>
        <v>180</v>
      </c>
      <c r="G39" s="7">
        <f t="shared" si="0"/>
        <v>1620</v>
      </c>
      <c r="H39" s="7" t="s">
        <v>0</v>
      </c>
      <c r="I39" s="7" cm="1">
        <f t="array" ref="I39">_xlfn.IFS(H39="25-50%",230,H39="Top 25 %",260,H39="50-75%",200,H39="Last 25%",170,H39="Retire",150)</f>
        <v>170</v>
      </c>
      <c r="J39" s="15">
        <f t="shared" si="1"/>
        <v>275400</v>
      </c>
    </row>
    <row r="40" spans="1:10" x14ac:dyDescent="0.3">
      <c r="A40" s="7" t="s">
        <v>92</v>
      </c>
      <c r="B40" s="7" t="str">
        <f>_xlfn.XLOOKUP(A40,'Vendor code- SKU mapping'!$B$1:$B$806,'Vendor code- SKU mapping'!$A$1:$A$806)</f>
        <v>OMug</v>
      </c>
      <c r="C40" s="7">
        <f>VLOOKUP(B40,'Vendor -MOQ- Lead time'!$A$2:$B$45,2,0)</f>
        <v>45</v>
      </c>
      <c r="D40" s="13">
        <f>ROUND(IF('Task 2'!G40&lt;0,ABS('Task 2'!G40),0),0)</f>
        <v>0</v>
      </c>
      <c r="E40" s="7">
        <f>ROUND('Task 2'!D40*'Task 3'!C40,0)</f>
        <v>1847</v>
      </c>
      <c r="F40" s="7">
        <f>VLOOKUP(B40,'Vendor -MOQ- Lead time'!$A$2:$C$45,3,0)</f>
        <v>270</v>
      </c>
      <c r="G40" s="7">
        <f t="shared" si="0"/>
        <v>1890</v>
      </c>
      <c r="H40" s="7" t="s">
        <v>0</v>
      </c>
      <c r="I40" s="7" cm="1">
        <f t="array" ref="I40">_xlfn.IFS(H40="25-50%",230,H40="Top 25 %",260,H40="50-75%",200,H40="Last 25%",170,H40="Retire",150)</f>
        <v>170</v>
      </c>
      <c r="J40" s="15">
        <f t="shared" si="1"/>
        <v>321300</v>
      </c>
    </row>
    <row r="41" spans="1:10" x14ac:dyDescent="0.3">
      <c r="A41" s="7" t="s">
        <v>93</v>
      </c>
      <c r="B41" s="7" t="str">
        <f>_xlfn.XLOOKUP(A41,'Vendor code- SKU mapping'!$B$1:$B$806,'Vendor code- SKU mapping'!$A$1:$A$806)</f>
        <v>AAre</v>
      </c>
      <c r="C41" s="7">
        <f>VLOOKUP(B41,'Vendor -MOQ- Lead time'!$A$2:$B$45,2,0)</f>
        <v>45</v>
      </c>
      <c r="D41" s="13">
        <f>ROUND(IF('Task 2'!G41&lt;0,ABS('Task 2'!G41),0),0)</f>
        <v>0</v>
      </c>
      <c r="E41" s="7">
        <f>ROUND('Task 2'!D41*'Task 3'!C41,0)</f>
        <v>2115</v>
      </c>
      <c r="F41" s="7">
        <f>VLOOKUP(B41,'Vendor -MOQ- Lead time'!$A$2:$C$45,3,0)</f>
        <v>270</v>
      </c>
      <c r="G41" s="7">
        <f t="shared" si="0"/>
        <v>2160</v>
      </c>
      <c r="H41" s="7" t="s">
        <v>2</v>
      </c>
      <c r="I41" s="7" cm="1">
        <f t="array" ref="I41">_xlfn.IFS(H41="25-50%",230,H41="Top 25 %",260,H41="50-75%",200,H41="Last 25%",170,H41="Retire",150)</f>
        <v>230</v>
      </c>
      <c r="J41" s="15">
        <f t="shared" si="1"/>
        <v>496800</v>
      </c>
    </row>
    <row r="42" spans="1:10" x14ac:dyDescent="0.3">
      <c r="A42" s="7" t="s">
        <v>94</v>
      </c>
      <c r="B42" s="7" t="str">
        <f>_xlfn.XLOOKUP(A42,'Vendor code- SKU mapping'!$B$1:$B$806,'Vendor code- SKU mapping'!$A$1:$A$806)</f>
        <v>AAre</v>
      </c>
      <c r="C42" s="7">
        <f>VLOOKUP(B42,'Vendor -MOQ- Lead time'!$A$2:$B$45,2,0)</f>
        <v>45</v>
      </c>
      <c r="D42" s="13">
        <f>ROUND(IF('Task 2'!G42&lt;0,ABS('Task 2'!G42),0),0)</f>
        <v>1397</v>
      </c>
      <c r="E42" s="7">
        <f>ROUND('Task 2'!D42*'Task 3'!C42,0)</f>
        <v>2027</v>
      </c>
      <c r="F42" s="7">
        <f>VLOOKUP(B42,'Vendor -MOQ- Lead time'!$A$2:$C$45,3,0)</f>
        <v>270</v>
      </c>
      <c r="G42" s="7">
        <f t="shared" si="0"/>
        <v>3510</v>
      </c>
      <c r="H42" s="7" t="s">
        <v>4</v>
      </c>
      <c r="I42" s="7" cm="1">
        <f t="array" ref="I42">_xlfn.IFS(H42="25-50%",230,H42="Top 25 %",260,H42="50-75%",200,H42="Last 25%",170,H42="Retire",150)</f>
        <v>260</v>
      </c>
      <c r="J42" s="15">
        <f t="shared" si="1"/>
        <v>912600</v>
      </c>
    </row>
    <row r="43" spans="1:10" x14ac:dyDescent="0.3">
      <c r="A43" s="7" t="s">
        <v>95</v>
      </c>
      <c r="B43" s="7" t="str">
        <f>_xlfn.XLOOKUP(A43,'Vendor code- SKU mapping'!$B$1:$B$806,'Vendor code- SKU mapping'!$A$1:$A$806)</f>
        <v>EDaz</v>
      </c>
      <c r="C43" s="7">
        <f>VLOOKUP(B43,'Vendor -MOQ- Lead time'!$A$2:$B$45,2,0)</f>
        <v>30</v>
      </c>
      <c r="D43" s="13">
        <f>ROUND(IF('Task 2'!G43&lt;0,ABS('Task 2'!G43),0),0)</f>
        <v>2235</v>
      </c>
      <c r="E43" s="7">
        <f>ROUND('Task 2'!D43*'Task 3'!C43,0)</f>
        <v>1329</v>
      </c>
      <c r="F43" s="7">
        <f>VLOOKUP(B43,'Vendor -MOQ- Lead time'!$A$2:$C$45,3,0)</f>
        <v>180</v>
      </c>
      <c r="G43" s="7">
        <f t="shared" si="0"/>
        <v>3600</v>
      </c>
      <c r="H43" s="7" t="s">
        <v>4</v>
      </c>
      <c r="I43" s="7" cm="1">
        <f t="array" ref="I43">_xlfn.IFS(H43="25-50%",230,H43="Top 25 %",260,H43="50-75%",200,H43="Last 25%",170,H43="Retire",150)</f>
        <v>260</v>
      </c>
      <c r="J43" s="15">
        <f t="shared" si="1"/>
        <v>936000</v>
      </c>
    </row>
    <row r="44" spans="1:10" x14ac:dyDescent="0.3">
      <c r="A44" s="7" t="s">
        <v>96</v>
      </c>
      <c r="B44" s="7" t="str">
        <f>_xlfn.XLOOKUP(A44,'Vendor code- SKU mapping'!$B$1:$B$806,'Vendor code- SKU mapping'!$A$1:$A$806)</f>
        <v>OSon</v>
      </c>
      <c r="C44" s="7">
        <f>VLOOKUP(B44,'Vendor -MOQ- Lead time'!$A$2:$B$45,2,0)</f>
        <v>30</v>
      </c>
      <c r="D44" s="13">
        <f>ROUND(IF('Task 2'!G44&lt;0,ABS('Task 2'!G44),0),0)</f>
        <v>229</v>
      </c>
      <c r="E44" s="7">
        <f>ROUND('Task 2'!D44*'Task 3'!C44,0)</f>
        <v>601</v>
      </c>
      <c r="F44" s="7">
        <f>VLOOKUP(B44,'Vendor -MOQ- Lead time'!$A$2:$C$45,3,0)</f>
        <v>180</v>
      </c>
      <c r="G44" s="7">
        <f t="shared" si="0"/>
        <v>900</v>
      </c>
      <c r="H44" s="7" t="s">
        <v>0</v>
      </c>
      <c r="I44" s="7" cm="1">
        <f t="array" ref="I44">_xlfn.IFS(H44="25-50%",230,H44="Top 25 %",260,H44="50-75%",200,H44="Last 25%",170,H44="Retire",150)</f>
        <v>170</v>
      </c>
      <c r="J44" s="15">
        <f t="shared" si="1"/>
        <v>153000</v>
      </c>
    </row>
    <row r="45" spans="1:10" x14ac:dyDescent="0.3">
      <c r="A45" s="7" t="s">
        <v>97</v>
      </c>
      <c r="B45" s="7" t="str">
        <f>_xlfn.XLOOKUP(A45,'Vendor code- SKU mapping'!$B$1:$B$806,'Vendor code- SKU mapping'!$A$1:$A$806)</f>
        <v>OMah</v>
      </c>
      <c r="C45" s="7">
        <f>VLOOKUP(B45,'Vendor -MOQ- Lead time'!$A$2:$B$45,2,0)</f>
        <v>45</v>
      </c>
      <c r="D45" s="13">
        <f>ROUND(IF('Task 2'!G45&lt;0,ABS('Task 2'!G45),0),0)</f>
        <v>1044</v>
      </c>
      <c r="E45" s="7">
        <f>ROUND('Task 2'!D45*'Task 3'!C45,0)</f>
        <v>1980</v>
      </c>
      <c r="F45" s="7">
        <f>VLOOKUP(B45,'Vendor -MOQ- Lead time'!$A$2:$C$45,3,0)</f>
        <v>270</v>
      </c>
      <c r="G45" s="7">
        <f t="shared" si="0"/>
        <v>3240</v>
      </c>
      <c r="H45" s="7" t="s">
        <v>1</v>
      </c>
      <c r="I45" s="7" cm="1">
        <f t="array" ref="I45">_xlfn.IFS(H45="25-50%",230,H45="Top 25 %",260,H45="50-75%",200,H45="Last 25%",170,H45="Retire",150)</f>
        <v>200</v>
      </c>
      <c r="J45" s="15">
        <f t="shared" si="1"/>
        <v>648000</v>
      </c>
    </row>
    <row r="46" spans="1:10" x14ac:dyDescent="0.3">
      <c r="A46" s="7" t="s">
        <v>98</v>
      </c>
      <c r="B46" s="7" t="str">
        <f>_xlfn.XLOOKUP(A46,'Vendor code- SKU mapping'!$B$1:$B$806,'Vendor code- SKU mapping'!$A$1:$A$806)</f>
        <v>OSon</v>
      </c>
      <c r="C46" s="7">
        <f>VLOOKUP(B46,'Vendor -MOQ- Lead time'!$A$2:$B$45,2,0)</f>
        <v>30</v>
      </c>
      <c r="D46" s="13">
        <f>ROUND(IF('Task 2'!G46&lt;0,ABS('Task 2'!G46),0),0)</f>
        <v>305</v>
      </c>
      <c r="E46" s="7">
        <f>ROUND('Task 2'!D46*'Task 3'!C46,0)</f>
        <v>563</v>
      </c>
      <c r="F46" s="7">
        <f>VLOOKUP(B46,'Vendor -MOQ- Lead time'!$A$2:$C$45,3,0)</f>
        <v>180</v>
      </c>
      <c r="G46" s="7">
        <f t="shared" si="0"/>
        <v>900</v>
      </c>
      <c r="H46" s="7" t="s">
        <v>0</v>
      </c>
      <c r="I46" s="7" cm="1">
        <f t="array" ref="I46">_xlfn.IFS(H46="25-50%",230,H46="Top 25 %",260,H46="50-75%",200,H46="Last 25%",170,H46="Retire",150)</f>
        <v>170</v>
      </c>
      <c r="J46" s="15">
        <f t="shared" si="1"/>
        <v>153000</v>
      </c>
    </row>
    <row r="47" spans="1:10" x14ac:dyDescent="0.3">
      <c r="A47" s="7" t="s">
        <v>99</v>
      </c>
      <c r="B47" s="7" t="str">
        <f>_xlfn.XLOOKUP(A47,'Vendor code- SKU mapping'!$B$1:$B$806,'Vendor code- SKU mapping'!$A$1:$A$806)</f>
        <v>OOne</v>
      </c>
      <c r="C47" s="7">
        <f>VLOOKUP(B47,'Vendor -MOQ- Lead time'!$A$2:$B$45,2,0)</f>
        <v>30</v>
      </c>
      <c r="D47" s="13">
        <f>ROUND(IF('Task 2'!G47&lt;0,ABS('Task 2'!G47),0),0)</f>
        <v>113</v>
      </c>
      <c r="E47" s="7">
        <f>ROUND('Task 2'!D47*'Task 3'!C47,0)</f>
        <v>1013</v>
      </c>
      <c r="F47" s="7">
        <f>VLOOKUP(B47,'Vendor -MOQ- Lead time'!$A$2:$C$45,3,0)</f>
        <v>180</v>
      </c>
      <c r="G47" s="7">
        <f t="shared" si="0"/>
        <v>1260</v>
      </c>
      <c r="H47" s="7" t="s">
        <v>2</v>
      </c>
      <c r="I47" s="7" cm="1">
        <f t="array" ref="I47">_xlfn.IFS(H47="25-50%",230,H47="Top 25 %",260,H47="50-75%",200,H47="Last 25%",170,H47="Retire",150)</f>
        <v>230</v>
      </c>
      <c r="J47" s="15">
        <f t="shared" si="1"/>
        <v>289800</v>
      </c>
    </row>
    <row r="48" spans="1:10" x14ac:dyDescent="0.3">
      <c r="A48" s="7" t="s">
        <v>100</v>
      </c>
      <c r="B48" s="7" t="str">
        <f>_xlfn.XLOOKUP(A48,'Vendor code- SKU mapping'!$B$1:$B$806,'Vendor code- SKU mapping'!$A$1:$A$806)</f>
        <v>IStu</v>
      </c>
      <c r="C48" s="7">
        <f>VLOOKUP(B48,'Vendor -MOQ- Lead time'!$A$2:$B$45,2,0)</f>
        <v>30</v>
      </c>
      <c r="D48" s="13">
        <f>ROUND(IF('Task 2'!G48&lt;0,ABS('Task 2'!G48),0),0)</f>
        <v>0</v>
      </c>
      <c r="E48" s="7">
        <f>ROUND('Task 2'!D48*'Task 3'!C48,0)</f>
        <v>804</v>
      </c>
      <c r="F48" s="7">
        <f>VLOOKUP(B48,'Vendor -MOQ- Lead time'!$A$2:$C$45,3,0)</f>
        <v>180</v>
      </c>
      <c r="G48" s="7">
        <f t="shared" si="0"/>
        <v>900</v>
      </c>
      <c r="H48" s="7" t="s">
        <v>0</v>
      </c>
      <c r="I48" s="7" cm="1">
        <f t="array" ref="I48">_xlfn.IFS(H48="25-50%",230,H48="Top 25 %",260,H48="50-75%",200,H48="Last 25%",170,H48="Retire",150)</f>
        <v>170</v>
      </c>
      <c r="J48" s="15">
        <f t="shared" si="1"/>
        <v>153000</v>
      </c>
    </row>
    <row r="49" spans="1:10" x14ac:dyDescent="0.3">
      <c r="A49" s="7" t="s">
        <v>101</v>
      </c>
      <c r="B49" s="7" t="str">
        <f>_xlfn.XLOOKUP(A49,'Vendor code- SKU mapping'!$B$1:$B$806,'Vendor code- SKU mapping'!$A$1:$A$806)</f>
        <v>AAre</v>
      </c>
      <c r="C49" s="7">
        <f>VLOOKUP(B49,'Vendor -MOQ- Lead time'!$A$2:$B$45,2,0)</f>
        <v>45</v>
      </c>
      <c r="D49" s="13">
        <f>ROUND(IF('Task 2'!G49&lt;0,ABS('Task 2'!G49),0),0)</f>
        <v>0</v>
      </c>
      <c r="E49" s="7">
        <f>ROUND('Task 2'!D49*'Task 3'!C49,0)</f>
        <v>2013</v>
      </c>
      <c r="F49" s="7">
        <f>VLOOKUP(B49,'Vendor -MOQ- Lead time'!$A$2:$C$45,3,0)</f>
        <v>270</v>
      </c>
      <c r="G49" s="7">
        <f t="shared" si="0"/>
        <v>2160</v>
      </c>
      <c r="H49" s="7" t="s">
        <v>2</v>
      </c>
      <c r="I49" s="7" cm="1">
        <f t="array" ref="I49">_xlfn.IFS(H49="25-50%",230,H49="Top 25 %",260,H49="50-75%",200,H49="Last 25%",170,H49="Retire",150)</f>
        <v>230</v>
      </c>
      <c r="J49" s="15">
        <f t="shared" si="1"/>
        <v>496800</v>
      </c>
    </row>
    <row r="50" spans="1:10" x14ac:dyDescent="0.3">
      <c r="A50" s="7" t="s">
        <v>102</v>
      </c>
      <c r="B50" s="7" t="str">
        <f>_xlfn.XLOOKUP(A50,'Vendor code- SKU mapping'!$B$1:$B$806,'Vendor code- SKU mapping'!$A$1:$A$806)</f>
        <v>OMah</v>
      </c>
      <c r="C50" s="7">
        <f>VLOOKUP(B50,'Vendor -MOQ- Lead time'!$A$2:$B$45,2,0)</f>
        <v>45</v>
      </c>
      <c r="D50" s="13">
        <f>ROUND(IF('Task 2'!G50&lt;0,ABS('Task 2'!G50),0),0)</f>
        <v>614</v>
      </c>
      <c r="E50" s="7">
        <f>ROUND('Task 2'!D50*'Task 3'!C50,0)</f>
        <v>1529</v>
      </c>
      <c r="F50" s="7">
        <f>VLOOKUP(B50,'Vendor -MOQ- Lead time'!$A$2:$C$45,3,0)</f>
        <v>270</v>
      </c>
      <c r="G50" s="7">
        <f t="shared" si="0"/>
        <v>2160</v>
      </c>
      <c r="H50" s="7" t="s">
        <v>2</v>
      </c>
      <c r="I50" s="7" cm="1">
        <f t="array" ref="I50">_xlfn.IFS(H50="25-50%",230,H50="Top 25 %",260,H50="50-75%",200,H50="Last 25%",170,H50="Retire",150)</f>
        <v>230</v>
      </c>
      <c r="J50" s="15">
        <f t="shared" si="1"/>
        <v>496800</v>
      </c>
    </row>
    <row r="51" spans="1:10" x14ac:dyDescent="0.3">
      <c r="A51" s="7" t="s">
        <v>103</v>
      </c>
      <c r="B51" s="7" t="str">
        <f>_xlfn.XLOOKUP(A51,'Vendor code- SKU mapping'!$B$1:$B$806,'Vendor code- SKU mapping'!$A$1:$A$806)</f>
        <v>OSha</v>
      </c>
      <c r="C51" s="7">
        <f>VLOOKUP(B51,'Vendor -MOQ- Lead time'!$A$2:$B$45,2,0)</f>
        <v>45</v>
      </c>
      <c r="D51" s="13">
        <f>ROUND(IF('Task 2'!G51&lt;0,ABS('Task 2'!G51),0),0)</f>
        <v>0</v>
      </c>
      <c r="E51" s="7">
        <f>ROUND('Task 2'!D51*'Task 3'!C51,0)</f>
        <v>1725</v>
      </c>
      <c r="F51" s="7">
        <f>VLOOKUP(B51,'Vendor -MOQ- Lead time'!$A$2:$C$45,3,0)</f>
        <v>270</v>
      </c>
      <c r="G51" s="7">
        <f t="shared" si="0"/>
        <v>1890</v>
      </c>
      <c r="H51" s="7" t="s">
        <v>2</v>
      </c>
      <c r="I51" s="7" cm="1">
        <f t="array" ref="I51">_xlfn.IFS(H51="25-50%",230,H51="Top 25 %",260,H51="50-75%",200,H51="Last 25%",170,H51="Retire",150)</f>
        <v>230</v>
      </c>
      <c r="J51" s="15">
        <f t="shared" si="1"/>
        <v>434700</v>
      </c>
    </row>
    <row r="52" spans="1:10" x14ac:dyDescent="0.3">
      <c r="A52" s="7" t="s">
        <v>104</v>
      </c>
      <c r="B52" s="7" t="str">
        <f>_xlfn.XLOOKUP(A52,'Vendor code- SKU mapping'!$B$1:$B$806,'Vendor code- SKU mapping'!$A$1:$A$806)</f>
        <v>AAre</v>
      </c>
      <c r="C52" s="7">
        <f>VLOOKUP(B52,'Vendor -MOQ- Lead time'!$A$2:$B$45,2,0)</f>
        <v>45</v>
      </c>
      <c r="D52" s="13">
        <f>ROUND(IF('Task 2'!G52&lt;0,ABS('Task 2'!G52),0),0)</f>
        <v>1684</v>
      </c>
      <c r="E52" s="7">
        <f>ROUND('Task 2'!D52*'Task 3'!C52,0)</f>
        <v>1776</v>
      </c>
      <c r="F52" s="7">
        <f>VLOOKUP(B52,'Vendor -MOQ- Lead time'!$A$2:$C$45,3,0)</f>
        <v>270</v>
      </c>
      <c r="G52" s="7">
        <f t="shared" si="0"/>
        <v>3510</v>
      </c>
      <c r="H52" s="7" t="s">
        <v>4</v>
      </c>
      <c r="I52" s="7" cm="1">
        <f t="array" ref="I52">_xlfn.IFS(H52="25-50%",230,H52="Top 25 %",260,H52="50-75%",200,H52="Last 25%",170,H52="Retire",150)</f>
        <v>260</v>
      </c>
      <c r="J52" s="15">
        <f t="shared" si="1"/>
        <v>912600</v>
      </c>
    </row>
    <row r="53" spans="1:10" x14ac:dyDescent="0.3">
      <c r="A53" s="7" t="s">
        <v>105</v>
      </c>
      <c r="B53" s="7" t="str">
        <f>_xlfn.XLOOKUP(A53,'Vendor code- SKU mapping'!$B$1:$B$806,'Vendor code- SKU mapping'!$A$1:$A$806)</f>
        <v>AARH</v>
      </c>
      <c r="C53" s="7">
        <f>VLOOKUP(B53,'Vendor -MOQ- Lead time'!$A$2:$B$45,2,0)</f>
        <v>90</v>
      </c>
      <c r="D53" s="13">
        <f>ROUND(IF('Task 2'!G53&lt;0,ABS('Task 2'!G53),0),0)</f>
        <v>0</v>
      </c>
      <c r="E53" s="7">
        <f>ROUND('Task 2'!D53*'Task 3'!C53,0)</f>
        <v>3786</v>
      </c>
      <c r="F53" s="7">
        <f>VLOOKUP(B53,'Vendor -MOQ- Lead time'!$A$2:$C$45,3,0)</f>
        <v>1080</v>
      </c>
      <c r="G53" s="7">
        <f t="shared" si="0"/>
        <v>4320</v>
      </c>
      <c r="H53" s="7" t="s">
        <v>2</v>
      </c>
      <c r="I53" s="7" cm="1">
        <f t="array" ref="I53">_xlfn.IFS(H53="25-50%",230,H53="Top 25 %",260,H53="50-75%",200,H53="Last 25%",170,H53="Retire",150)</f>
        <v>230</v>
      </c>
      <c r="J53" s="15">
        <f t="shared" si="1"/>
        <v>993600</v>
      </c>
    </row>
    <row r="54" spans="1:10" x14ac:dyDescent="0.3">
      <c r="A54" s="7" t="s">
        <v>106</v>
      </c>
      <c r="B54" s="7" t="str">
        <f>_xlfn.XLOOKUP(A54,'Vendor code- SKU mapping'!$B$1:$B$806,'Vendor code- SKU mapping'!$A$1:$A$806)</f>
        <v>ONex</v>
      </c>
      <c r="C54" s="7">
        <f>VLOOKUP(B54,'Vendor -MOQ- Lead time'!$A$2:$B$45,2,0)</f>
        <v>90</v>
      </c>
      <c r="D54" s="13">
        <f>ROUND(IF('Task 2'!G54&lt;0,ABS('Task 2'!G54),0),0)</f>
        <v>316</v>
      </c>
      <c r="E54" s="7">
        <f>ROUND('Task 2'!D54*'Task 3'!C54,0)</f>
        <v>1587</v>
      </c>
      <c r="F54" s="7">
        <f>VLOOKUP(B54,'Vendor -MOQ- Lead time'!$A$2:$C$45,3,0)</f>
        <v>1440</v>
      </c>
      <c r="G54" s="7">
        <f t="shared" si="0"/>
        <v>2880</v>
      </c>
      <c r="H54" s="7" t="s">
        <v>1</v>
      </c>
      <c r="I54" s="7" cm="1">
        <f t="array" ref="I54">_xlfn.IFS(H54="25-50%",230,H54="Top 25 %",260,H54="50-75%",200,H54="Last 25%",170,H54="Retire",150)</f>
        <v>200</v>
      </c>
      <c r="J54" s="15">
        <f t="shared" si="1"/>
        <v>576000</v>
      </c>
    </row>
    <row r="55" spans="1:10" x14ac:dyDescent="0.3">
      <c r="A55" s="7" t="s">
        <v>107</v>
      </c>
      <c r="B55" s="7" t="str">
        <f>_xlfn.XLOOKUP(A55,'Vendor code- SKU mapping'!$B$1:$B$806,'Vendor code- SKU mapping'!$A$1:$A$806)</f>
        <v>AAFC</v>
      </c>
      <c r="C55" s="7">
        <f>VLOOKUP(B55,'Vendor -MOQ- Lead time'!$A$2:$B$45,2,0)</f>
        <v>45</v>
      </c>
      <c r="D55" s="13">
        <f>ROUND(IF('Task 2'!G55&lt;0,ABS('Task 2'!G55),0),0)</f>
        <v>324</v>
      </c>
      <c r="E55" s="7">
        <f>ROUND('Task 2'!D55*'Task 3'!C55,0)</f>
        <v>1584</v>
      </c>
      <c r="F55" s="7">
        <f>VLOOKUP(B55,'Vendor -MOQ- Lead time'!$A$2:$C$45,3,0)</f>
        <v>270</v>
      </c>
      <c r="G55" s="7">
        <f t="shared" si="0"/>
        <v>2160</v>
      </c>
      <c r="H55" s="7" t="s">
        <v>4</v>
      </c>
      <c r="I55" s="7" cm="1">
        <f t="array" ref="I55">_xlfn.IFS(H55="25-50%",230,H55="Top 25 %",260,H55="50-75%",200,H55="Last 25%",170,H55="Retire",150)</f>
        <v>260</v>
      </c>
      <c r="J55" s="15">
        <f t="shared" si="1"/>
        <v>561600</v>
      </c>
    </row>
    <row r="56" spans="1:10" x14ac:dyDescent="0.3">
      <c r="A56" s="7" t="s">
        <v>108</v>
      </c>
      <c r="B56" s="7" t="str">
        <f>_xlfn.XLOOKUP(A56,'Vendor code- SKU mapping'!$B$1:$B$806,'Vendor code- SKU mapping'!$A$1:$A$806)</f>
        <v>ORoy</v>
      </c>
      <c r="C56" s="7">
        <f>VLOOKUP(B56,'Vendor -MOQ- Lead time'!$A$2:$B$45,2,0)</f>
        <v>45</v>
      </c>
      <c r="D56" s="13">
        <f>ROUND(IF('Task 2'!G56&lt;0,ABS('Task 2'!G56),0),0)</f>
        <v>260</v>
      </c>
      <c r="E56" s="7">
        <f>ROUND('Task 2'!D56*'Task 3'!C56,0)</f>
        <v>777</v>
      </c>
      <c r="F56" s="7">
        <f>VLOOKUP(B56,'Vendor -MOQ- Lead time'!$A$2:$C$45,3,0)</f>
        <v>270</v>
      </c>
      <c r="G56" s="7">
        <f t="shared" si="0"/>
        <v>1080</v>
      </c>
      <c r="H56" s="7" t="s">
        <v>0</v>
      </c>
      <c r="I56" s="7" cm="1">
        <f t="array" ref="I56">_xlfn.IFS(H56="25-50%",230,H56="Top 25 %",260,H56="50-75%",200,H56="Last 25%",170,H56="Retire",150)</f>
        <v>170</v>
      </c>
      <c r="J56" s="15">
        <f t="shared" si="1"/>
        <v>183600</v>
      </c>
    </row>
    <row r="57" spans="1:10" x14ac:dyDescent="0.3">
      <c r="A57" s="7" t="s">
        <v>109</v>
      </c>
      <c r="B57" s="7" t="str">
        <f>_xlfn.XLOOKUP(A57,'Vendor code- SKU mapping'!$B$1:$B$806,'Vendor code- SKU mapping'!$A$1:$A$806)</f>
        <v>OOne</v>
      </c>
      <c r="C57" s="7">
        <f>VLOOKUP(B57,'Vendor -MOQ- Lead time'!$A$2:$B$45,2,0)</f>
        <v>30</v>
      </c>
      <c r="D57" s="13">
        <f>ROUND(IF('Task 2'!G57&lt;0,ABS('Task 2'!G57),0),0)</f>
        <v>1511</v>
      </c>
      <c r="E57" s="7">
        <f>ROUND('Task 2'!D57*'Task 3'!C57,0)</f>
        <v>1081</v>
      </c>
      <c r="F57" s="7">
        <f>VLOOKUP(B57,'Vendor -MOQ- Lead time'!$A$2:$C$45,3,0)</f>
        <v>180</v>
      </c>
      <c r="G57" s="7">
        <f t="shared" si="0"/>
        <v>2700</v>
      </c>
      <c r="H57" s="7" t="s">
        <v>4</v>
      </c>
      <c r="I57" s="7" cm="1">
        <f t="array" ref="I57">_xlfn.IFS(H57="25-50%",230,H57="Top 25 %",260,H57="50-75%",200,H57="Last 25%",170,H57="Retire",150)</f>
        <v>260</v>
      </c>
      <c r="J57" s="15">
        <f t="shared" si="1"/>
        <v>702000</v>
      </c>
    </row>
    <row r="58" spans="1:10" x14ac:dyDescent="0.3">
      <c r="A58" s="7" t="s">
        <v>110</v>
      </c>
      <c r="B58" s="7" t="str">
        <f>_xlfn.XLOOKUP(A58,'Vendor code- SKU mapping'!$B$1:$B$806,'Vendor code- SKU mapping'!$A$1:$A$806)</f>
        <v>ONex</v>
      </c>
      <c r="C58" s="7">
        <f>VLOOKUP(B58,'Vendor -MOQ- Lead time'!$A$2:$B$45,2,0)</f>
        <v>90</v>
      </c>
      <c r="D58" s="13">
        <f>ROUND(IF('Task 2'!G58&lt;0,ABS('Task 2'!G58),0),0)</f>
        <v>226</v>
      </c>
      <c r="E58" s="7">
        <f>ROUND('Task 2'!D58*'Task 3'!C58,0)</f>
        <v>1326</v>
      </c>
      <c r="F58" s="7">
        <f>VLOOKUP(B58,'Vendor -MOQ- Lead time'!$A$2:$C$45,3,0)</f>
        <v>1440</v>
      </c>
      <c r="G58" s="7">
        <f t="shared" si="0"/>
        <v>2880</v>
      </c>
      <c r="H58" s="7" t="s">
        <v>0</v>
      </c>
      <c r="I58" s="7" cm="1">
        <f t="array" ref="I58">_xlfn.IFS(H58="25-50%",230,H58="Top 25 %",260,H58="50-75%",200,H58="Last 25%",170,H58="Retire",150)</f>
        <v>170</v>
      </c>
      <c r="J58" s="15">
        <f t="shared" si="1"/>
        <v>489600</v>
      </c>
    </row>
    <row r="59" spans="1:10" x14ac:dyDescent="0.3">
      <c r="A59" s="7" t="s">
        <v>111</v>
      </c>
      <c r="B59" s="7" t="str">
        <f>_xlfn.XLOOKUP(A59,'Vendor code- SKU mapping'!$B$1:$B$806,'Vendor code- SKU mapping'!$A$1:$A$806)</f>
        <v>ISte</v>
      </c>
      <c r="C59" s="7">
        <f>VLOOKUP(B59,'Vendor -MOQ- Lead time'!$A$2:$B$45,2,0)</f>
        <v>45</v>
      </c>
      <c r="D59" s="13">
        <f>ROUND(IF('Task 2'!G59&lt;0,ABS('Task 2'!G59),0),0)</f>
        <v>261</v>
      </c>
      <c r="E59" s="7">
        <f>ROUND('Task 2'!D59*'Task 3'!C59,0)</f>
        <v>1611</v>
      </c>
      <c r="F59" s="7">
        <f>VLOOKUP(B59,'Vendor -MOQ- Lead time'!$A$2:$C$45,3,0)</f>
        <v>270</v>
      </c>
      <c r="G59" s="7">
        <f t="shared" si="0"/>
        <v>1890</v>
      </c>
      <c r="H59" s="7" t="s">
        <v>0</v>
      </c>
      <c r="I59" s="7" cm="1">
        <f t="array" ref="I59">_xlfn.IFS(H59="25-50%",230,H59="Top 25 %",260,H59="50-75%",200,H59="Last 25%",170,H59="Retire",150)</f>
        <v>170</v>
      </c>
      <c r="J59" s="15">
        <f t="shared" si="1"/>
        <v>321300</v>
      </c>
    </row>
    <row r="60" spans="1:10" x14ac:dyDescent="0.3">
      <c r="A60" s="7" t="s">
        <v>112</v>
      </c>
      <c r="B60" s="7" t="str">
        <f>_xlfn.XLOOKUP(A60,'Vendor code- SKU mapping'!$B$1:$B$806,'Vendor code- SKU mapping'!$A$1:$A$806)</f>
        <v>OMD</v>
      </c>
      <c r="C60" s="7">
        <f>VLOOKUP(B60,'Vendor -MOQ- Lead time'!$A$2:$B$45,2,0)</f>
        <v>30</v>
      </c>
      <c r="D60" s="13">
        <f>ROUND(IF('Task 2'!G60&lt;0,ABS('Task 2'!G60),0),0)</f>
        <v>0</v>
      </c>
      <c r="E60" s="7">
        <f>ROUND('Task 2'!D60*'Task 3'!C60,0)</f>
        <v>1194</v>
      </c>
      <c r="F60" s="7">
        <f>VLOOKUP(B60,'Vendor -MOQ- Lead time'!$A$2:$C$45,3,0)</f>
        <v>180</v>
      </c>
      <c r="G60" s="7">
        <f t="shared" si="0"/>
        <v>1260</v>
      </c>
      <c r="H60" s="7" t="s">
        <v>0</v>
      </c>
      <c r="I60" s="7" cm="1">
        <f t="array" ref="I60">_xlfn.IFS(H60="25-50%",230,H60="Top 25 %",260,H60="50-75%",200,H60="Last 25%",170,H60="Retire",150)</f>
        <v>170</v>
      </c>
      <c r="J60" s="15">
        <f t="shared" si="1"/>
        <v>214200</v>
      </c>
    </row>
    <row r="61" spans="1:10" x14ac:dyDescent="0.3">
      <c r="A61" s="7" t="s">
        <v>113</v>
      </c>
      <c r="B61" s="7" t="str">
        <f>_xlfn.XLOOKUP(A61,'Vendor code- SKU mapping'!$B$1:$B$806,'Vendor code- SKU mapping'!$A$1:$A$806)</f>
        <v>EDaz</v>
      </c>
      <c r="C61" s="7">
        <f>VLOOKUP(B61,'Vendor -MOQ- Lead time'!$A$2:$B$45,2,0)</f>
        <v>30</v>
      </c>
      <c r="D61" s="13">
        <f>ROUND(IF('Task 2'!G61&lt;0,ABS('Task 2'!G61),0),0)</f>
        <v>1995</v>
      </c>
      <c r="E61" s="7">
        <f>ROUND('Task 2'!D61*'Task 3'!C61,0)</f>
        <v>1335</v>
      </c>
      <c r="F61" s="7">
        <f>VLOOKUP(B61,'Vendor -MOQ- Lead time'!$A$2:$C$45,3,0)</f>
        <v>180</v>
      </c>
      <c r="G61" s="7">
        <f t="shared" si="0"/>
        <v>3420</v>
      </c>
      <c r="H61" s="7" t="s">
        <v>4</v>
      </c>
      <c r="I61" s="7" cm="1">
        <f t="array" ref="I61">_xlfn.IFS(H61="25-50%",230,H61="Top 25 %",260,H61="50-75%",200,H61="Last 25%",170,H61="Retire",150)</f>
        <v>260</v>
      </c>
      <c r="J61" s="15">
        <f t="shared" si="1"/>
        <v>889200</v>
      </c>
    </row>
    <row r="62" spans="1:10" x14ac:dyDescent="0.3">
      <c r="A62" s="7" t="s">
        <v>114</v>
      </c>
      <c r="B62" s="7" t="str">
        <f>_xlfn.XLOOKUP(A62,'Vendor code- SKU mapping'!$B$1:$B$806,'Vendor code- SKU mapping'!$A$1:$A$806)</f>
        <v>IVS</v>
      </c>
      <c r="C62" s="7">
        <f>VLOOKUP(B62,'Vendor -MOQ- Lead time'!$A$2:$B$45,2,0)</f>
        <v>30</v>
      </c>
      <c r="D62" s="13">
        <f>ROUND(IF('Task 2'!G62&lt;0,ABS('Task 2'!G62),0),0)</f>
        <v>588</v>
      </c>
      <c r="E62" s="7">
        <f>ROUND('Task 2'!D62*'Task 3'!C62,0)</f>
        <v>1418</v>
      </c>
      <c r="F62" s="7">
        <f>VLOOKUP(B62,'Vendor -MOQ- Lead time'!$A$2:$C$45,3,0)</f>
        <v>180</v>
      </c>
      <c r="G62" s="7">
        <f t="shared" si="0"/>
        <v>2160</v>
      </c>
      <c r="H62" s="7" t="s">
        <v>2</v>
      </c>
      <c r="I62" s="7" cm="1">
        <f t="array" ref="I62">_xlfn.IFS(H62="25-50%",230,H62="Top 25 %",260,H62="50-75%",200,H62="Last 25%",170,H62="Retire",150)</f>
        <v>230</v>
      </c>
      <c r="J62" s="15">
        <f t="shared" si="1"/>
        <v>496800</v>
      </c>
    </row>
    <row r="63" spans="1:10" x14ac:dyDescent="0.3">
      <c r="A63" s="7" t="s">
        <v>115</v>
      </c>
      <c r="B63" s="7" t="str">
        <f>_xlfn.XLOOKUP(A63,'Vendor code- SKU mapping'!$B$1:$B$806,'Vendor code- SKU mapping'!$A$1:$A$806)</f>
        <v>EDaz</v>
      </c>
      <c r="C63" s="7">
        <f>VLOOKUP(B63,'Vendor -MOQ- Lead time'!$A$2:$B$45,2,0)</f>
        <v>30</v>
      </c>
      <c r="D63" s="13">
        <f>ROUND(IF('Task 2'!G63&lt;0,ABS('Task 2'!G63),0),0)</f>
        <v>1559</v>
      </c>
      <c r="E63" s="7">
        <f>ROUND('Task 2'!D63*'Task 3'!C63,0)</f>
        <v>1174</v>
      </c>
      <c r="F63" s="7">
        <f>VLOOKUP(B63,'Vendor -MOQ- Lead time'!$A$2:$C$45,3,0)</f>
        <v>180</v>
      </c>
      <c r="G63" s="7">
        <f t="shared" si="0"/>
        <v>2880</v>
      </c>
      <c r="H63" s="7" t="s">
        <v>4</v>
      </c>
      <c r="I63" s="7" cm="1">
        <f t="array" ref="I63">_xlfn.IFS(H63="25-50%",230,H63="Top 25 %",260,H63="50-75%",200,H63="Last 25%",170,H63="Retire",150)</f>
        <v>260</v>
      </c>
      <c r="J63" s="15">
        <f t="shared" si="1"/>
        <v>748800</v>
      </c>
    </row>
    <row r="64" spans="1:10" x14ac:dyDescent="0.3">
      <c r="A64" s="7" t="s">
        <v>116</v>
      </c>
      <c r="B64" s="7" t="str">
        <f>_xlfn.XLOOKUP(A64,'Vendor code- SKU mapping'!$B$1:$B$806,'Vendor code- SKU mapping'!$A$1:$A$806)</f>
        <v>EFai</v>
      </c>
      <c r="C64" s="7">
        <f>VLOOKUP(B64,'Vendor -MOQ- Lead time'!$A$2:$B$45,2,0)</f>
        <v>60</v>
      </c>
      <c r="D64" s="13">
        <f>ROUND(IF('Task 2'!G64&lt;0,ABS('Task 2'!G64),0),0)</f>
        <v>61</v>
      </c>
      <c r="E64" s="7">
        <f>ROUND('Task 2'!D64*'Task 3'!C64,0)</f>
        <v>1232</v>
      </c>
      <c r="F64" s="7">
        <f>VLOOKUP(B64,'Vendor -MOQ- Lead time'!$A$2:$C$45,3,0)</f>
        <v>1080</v>
      </c>
      <c r="G64" s="7">
        <f t="shared" si="0"/>
        <v>2160</v>
      </c>
      <c r="H64" s="7" t="s">
        <v>0</v>
      </c>
      <c r="I64" s="7" cm="1">
        <f t="array" ref="I64">_xlfn.IFS(H64="25-50%",230,H64="Top 25 %",260,H64="50-75%",200,H64="Last 25%",170,H64="Retire",150)</f>
        <v>170</v>
      </c>
      <c r="J64" s="15">
        <f t="shared" si="1"/>
        <v>367200</v>
      </c>
    </row>
    <row r="65" spans="1:10" x14ac:dyDescent="0.3">
      <c r="A65" s="7" t="s">
        <v>117</v>
      </c>
      <c r="B65" s="7" t="str">
        <f>_xlfn.XLOOKUP(A65,'Vendor code- SKU mapping'!$B$1:$B$806,'Vendor code- SKU mapping'!$A$1:$A$806)</f>
        <v>ISte</v>
      </c>
      <c r="C65" s="7">
        <f>VLOOKUP(B65,'Vendor -MOQ- Lead time'!$A$2:$B$45,2,0)</f>
        <v>45</v>
      </c>
      <c r="D65" s="13">
        <f>ROUND(IF('Task 2'!G65&lt;0,ABS('Task 2'!G65),0),0)</f>
        <v>943</v>
      </c>
      <c r="E65" s="7">
        <f>ROUND('Task 2'!D65*'Task 3'!C65,0)</f>
        <v>1833</v>
      </c>
      <c r="F65" s="7">
        <f>VLOOKUP(B65,'Vendor -MOQ- Lead time'!$A$2:$C$45,3,0)</f>
        <v>270</v>
      </c>
      <c r="G65" s="7">
        <f t="shared" si="0"/>
        <v>2970</v>
      </c>
      <c r="H65" s="7" t="s">
        <v>1</v>
      </c>
      <c r="I65" s="7" cm="1">
        <f t="array" ref="I65">_xlfn.IFS(H65="25-50%",230,H65="Top 25 %",260,H65="50-75%",200,H65="Last 25%",170,H65="Retire",150)</f>
        <v>200</v>
      </c>
      <c r="J65" s="15">
        <f t="shared" si="1"/>
        <v>594000</v>
      </c>
    </row>
    <row r="66" spans="1:10" x14ac:dyDescent="0.3">
      <c r="A66" s="7" t="s">
        <v>118</v>
      </c>
      <c r="B66" s="7" t="str">
        <f>_xlfn.XLOOKUP(A66,'Vendor code- SKU mapping'!$B$1:$B$806,'Vendor code- SKU mapping'!$A$1:$A$806)</f>
        <v>IVS</v>
      </c>
      <c r="C66" s="7">
        <f>VLOOKUP(B66,'Vendor -MOQ- Lead time'!$A$2:$B$45,2,0)</f>
        <v>30</v>
      </c>
      <c r="D66" s="13">
        <f>ROUND(IF('Task 2'!G66&lt;0,ABS('Task 2'!G66),0),0)</f>
        <v>0</v>
      </c>
      <c r="E66" s="7">
        <f>ROUND('Task 2'!D66*'Task 3'!C66,0)</f>
        <v>1298</v>
      </c>
      <c r="F66" s="7">
        <f>VLOOKUP(B66,'Vendor -MOQ- Lead time'!$A$2:$C$45,3,0)</f>
        <v>180</v>
      </c>
      <c r="G66" s="7">
        <f t="shared" si="0"/>
        <v>1440</v>
      </c>
      <c r="H66" s="7" t="s">
        <v>2</v>
      </c>
      <c r="I66" s="7" cm="1">
        <f t="array" ref="I66">_xlfn.IFS(H66="25-50%",230,H66="Top 25 %",260,H66="50-75%",200,H66="Last 25%",170,H66="Retire",150)</f>
        <v>230</v>
      </c>
      <c r="J66" s="15">
        <f t="shared" si="1"/>
        <v>331200</v>
      </c>
    </row>
    <row r="67" spans="1:10" x14ac:dyDescent="0.3">
      <c r="A67" s="7" t="s">
        <v>119</v>
      </c>
      <c r="B67" s="7" t="str">
        <f>_xlfn.XLOOKUP(A67,'Vendor code- SKU mapping'!$B$1:$B$806,'Vendor code- SKU mapping'!$A$1:$A$806)</f>
        <v>EDaz</v>
      </c>
      <c r="C67" s="7">
        <f>VLOOKUP(B67,'Vendor -MOQ- Lead time'!$A$2:$B$45,2,0)</f>
        <v>30</v>
      </c>
      <c r="D67" s="13">
        <f>ROUND(IF('Task 2'!G67&lt;0,ABS('Task 2'!G67),0),0)</f>
        <v>366</v>
      </c>
      <c r="E67" s="7">
        <f>ROUND('Task 2'!D67*'Task 3'!C67,0)</f>
        <v>1164</v>
      </c>
      <c r="F67" s="7">
        <f>VLOOKUP(B67,'Vendor -MOQ- Lead time'!$A$2:$C$45,3,0)</f>
        <v>180</v>
      </c>
      <c r="G67" s="7">
        <f t="shared" ref="G67:G130" si="2">CEILING(D67+E67,F67)</f>
        <v>1620</v>
      </c>
      <c r="H67" s="7" t="s">
        <v>2</v>
      </c>
      <c r="I67" s="7" cm="1">
        <f t="array" ref="I67">_xlfn.IFS(H67="25-50%",230,H67="Top 25 %",260,H67="50-75%",200,H67="Last 25%",170,H67="Retire",150)</f>
        <v>230</v>
      </c>
      <c r="J67" s="15">
        <f t="shared" ref="J67:J130" si="3">G67*I67</f>
        <v>372600</v>
      </c>
    </row>
    <row r="68" spans="1:10" x14ac:dyDescent="0.3">
      <c r="A68" s="7" t="s">
        <v>120</v>
      </c>
      <c r="B68" s="7" t="str">
        <f>_xlfn.XLOOKUP(A68,'Vendor code- SKU mapping'!$B$1:$B$806,'Vendor code- SKU mapping'!$A$1:$A$806)</f>
        <v>OOne</v>
      </c>
      <c r="C68" s="7">
        <f>VLOOKUP(B68,'Vendor -MOQ- Lead time'!$A$2:$B$45,2,0)</f>
        <v>30</v>
      </c>
      <c r="D68" s="13">
        <f>ROUND(IF('Task 2'!G68&lt;0,ABS('Task 2'!G68),0),0)</f>
        <v>0</v>
      </c>
      <c r="E68" s="7">
        <f>ROUND('Task 2'!D68*'Task 3'!C68,0)</f>
        <v>926</v>
      </c>
      <c r="F68" s="7">
        <f>VLOOKUP(B68,'Vendor -MOQ- Lead time'!$A$2:$C$45,3,0)</f>
        <v>180</v>
      </c>
      <c r="G68" s="7">
        <f t="shared" si="2"/>
        <v>1080</v>
      </c>
      <c r="H68" s="7" t="s">
        <v>2</v>
      </c>
      <c r="I68" s="7" cm="1">
        <f t="array" ref="I68">_xlfn.IFS(H68="25-50%",230,H68="Top 25 %",260,H68="50-75%",200,H68="Last 25%",170,H68="Retire",150)</f>
        <v>230</v>
      </c>
      <c r="J68" s="15">
        <f t="shared" si="3"/>
        <v>248400</v>
      </c>
    </row>
    <row r="69" spans="1:10" x14ac:dyDescent="0.3">
      <c r="A69" s="7" t="s">
        <v>121</v>
      </c>
      <c r="B69" s="7" t="str">
        <f>_xlfn.XLOOKUP(A69,'Vendor code- SKU mapping'!$B$1:$B$806,'Vendor code- SKU mapping'!$A$1:$A$806)</f>
        <v>OShe</v>
      </c>
      <c r="C69" s="7">
        <f>VLOOKUP(B69,'Vendor -MOQ- Lead time'!$A$2:$B$45,2,0)</f>
        <v>30</v>
      </c>
      <c r="D69" s="13">
        <f>ROUND(IF('Task 2'!G69&lt;0,ABS('Task 2'!G69),0),0)</f>
        <v>0</v>
      </c>
      <c r="E69" s="7">
        <f>ROUND('Task 2'!D69*'Task 3'!C69,0)</f>
        <v>885</v>
      </c>
      <c r="F69" s="7">
        <f>VLOOKUP(B69,'Vendor -MOQ- Lead time'!$A$2:$C$45,3,0)</f>
        <v>180</v>
      </c>
      <c r="G69" s="7">
        <f t="shared" si="2"/>
        <v>900</v>
      </c>
      <c r="H69" s="7" t="s">
        <v>1</v>
      </c>
      <c r="I69" s="7" cm="1">
        <f t="array" ref="I69">_xlfn.IFS(H69="25-50%",230,H69="Top 25 %",260,H69="50-75%",200,H69="Last 25%",170,H69="Retire",150)</f>
        <v>200</v>
      </c>
      <c r="J69" s="15">
        <f t="shared" si="3"/>
        <v>180000</v>
      </c>
    </row>
    <row r="70" spans="1:10" x14ac:dyDescent="0.3">
      <c r="A70" s="7" t="s">
        <v>122</v>
      </c>
      <c r="B70" s="7" t="str">
        <f>_xlfn.XLOOKUP(A70,'Vendor code- SKU mapping'!$B$1:$B$806,'Vendor code- SKU mapping'!$A$1:$A$806)</f>
        <v>OMug</v>
      </c>
      <c r="C70" s="7">
        <f>VLOOKUP(B70,'Vendor -MOQ- Lead time'!$A$2:$B$45,2,0)</f>
        <v>45</v>
      </c>
      <c r="D70" s="13">
        <f>ROUND(IF('Task 2'!G70&lt;0,ABS('Task 2'!G70),0),0)</f>
        <v>0</v>
      </c>
      <c r="E70" s="7">
        <f>ROUND('Task 2'!D70*'Task 3'!C70,0)</f>
        <v>2013</v>
      </c>
      <c r="F70" s="7">
        <f>VLOOKUP(B70,'Vendor -MOQ- Lead time'!$A$2:$C$45,3,0)</f>
        <v>270</v>
      </c>
      <c r="G70" s="7">
        <f t="shared" si="2"/>
        <v>2160</v>
      </c>
      <c r="H70" s="7" t="s">
        <v>1</v>
      </c>
      <c r="I70" s="7" cm="1">
        <f t="array" ref="I70">_xlfn.IFS(H70="25-50%",230,H70="Top 25 %",260,H70="50-75%",200,H70="Last 25%",170,H70="Retire",150)</f>
        <v>200</v>
      </c>
      <c r="J70" s="15">
        <f t="shared" si="3"/>
        <v>432000</v>
      </c>
    </row>
    <row r="71" spans="1:10" x14ac:dyDescent="0.3">
      <c r="A71" s="7" t="s">
        <v>123</v>
      </c>
      <c r="B71" s="7" t="str">
        <f>_xlfn.XLOOKUP(A71,'Vendor code- SKU mapping'!$B$1:$B$806,'Vendor code- SKU mapping'!$A$1:$A$806)</f>
        <v>OSha</v>
      </c>
      <c r="C71" s="7">
        <f>VLOOKUP(B71,'Vendor -MOQ- Lead time'!$A$2:$B$45,2,0)</f>
        <v>45</v>
      </c>
      <c r="D71" s="13">
        <f>ROUND(IF('Task 2'!G71&lt;0,ABS('Task 2'!G71),0),0)</f>
        <v>530</v>
      </c>
      <c r="E71" s="7">
        <f>ROUND('Task 2'!D71*'Task 3'!C71,0)</f>
        <v>984</v>
      </c>
      <c r="F71" s="7">
        <f>VLOOKUP(B71,'Vendor -MOQ- Lead time'!$A$2:$C$45,3,0)</f>
        <v>270</v>
      </c>
      <c r="G71" s="7">
        <f t="shared" si="2"/>
        <v>1620</v>
      </c>
      <c r="H71" s="7" t="s">
        <v>0</v>
      </c>
      <c r="I71" s="7" cm="1">
        <f t="array" ref="I71">_xlfn.IFS(H71="25-50%",230,H71="Top 25 %",260,H71="50-75%",200,H71="Last 25%",170,H71="Retire",150)</f>
        <v>170</v>
      </c>
      <c r="J71" s="15">
        <f t="shared" si="3"/>
        <v>275400</v>
      </c>
    </row>
    <row r="72" spans="1:10" x14ac:dyDescent="0.3">
      <c r="A72" s="7" t="s">
        <v>124</v>
      </c>
      <c r="B72" s="7" t="str">
        <f>_xlfn.XLOOKUP(A72,'Vendor code- SKU mapping'!$B$1:$B$806,'Vendor code- SKU mapping'!$A$1:$A$806)</f>
        <v>ISte</v>
      </c>
      <c r="C72" s="7">
        <f>VLOOKUP(B72,'Vendor -MOQ- Lead time'!$A$2:$B$45,2,0)</f>
        <v>45</v>
      </c>
      <c r="D72" s="13">
        <f>ROUND(IF('Task 2'!G72&lt;0,ABS('Task 2'!G72),0),0)</f>
        <v>130</v>
      </c>
      <c r="E72" s="7">
        <f>ROUND('Task 2'!D72*'Task 3'!C72,0)</f>
        <v>1257</v>
      </c>
      <c r="F72" s="7">
        <f>VLOOKUP(B72,'Vendor -MOQ- Lead time'!$A$2:$C$45,3,0)</f>
        <v>270</v>
      </c>
      <c r="G72" s="7">
        <f t="shared" si="2"/>
        <v>1620</v>
      </c>
      <c r="H72" s="7" t="s">
        <v>0</v>
      </c>
      <c r="I72" s="7" cm="1">
        <f t="array" ref="I72">_xlfn.IFS(H72="25-50%",230,H72="Top 25 %",260,H72="50-75%",200,H72="Last 25%",170,H72="Retire",150)</f>
        <v>170</v>
      </c>
      <c r="J72" s="15">
        <f t="shared" si="3"/>
        <v>275400</v>
      </c>
    </row>
    <row r="73" spans="1:10" x14ac:dyDescent="0.3">
      <c r="A73" s="7" t="s">
        <v>125</v>
      </c>
      <c r="B73" s="7" t="str">
        <f>_xlfn.XLOOKUP(A73,'Vendor code- SKU mapping'!$B$1:$B$806,'Vendor code- SKU mapping'!$A$1:$A$806)</f>
        <v>OOne</v>
      </c>
      <c r="C73" s="7">
        <f>VLOOKUP(B73,'Vendor -MOQ- Lead time'!$A$2:$B$45,2,0)</f>
        <v>30</v>
      </c>
      <c r="D73" s="13">
        <f>ROUND(IF('Task 2'!G73&lt;0,ABS('Task 2'!G73),0),0)</f>
        <v>165</v>
      </c>
      <c r="E73" s="7">
        <f>ROUND('Task 2'!D73*'Task 3'!C73,0)</f>
        <v>792</v>
      </c>
      <c r="F73" s="7">
        <f>VLOOKUP(B73,'Vendor -MOQ- Lead time'!$A$2:$C$45,3,0)</f>
        <v>180</v>
      </c>
      <c r="G73" s="7">
        <f t="shared" si="2"/>
        <v>1080</v>
      </c>
      <c r="H73" s="7" t="s">
        <v>2</v>
      </c>
      <c r="I73" s="7" cm="1">
        <f t="array" ref="I73">_xlfn.IFS(H73="25-50%",230,H73="Top 25 %",260,H73="50-75%",200,H73="Last 25%",170,H73="Retire",150)</f>
        <v>230</v>
      </c>
      <c r="J73" s="15">
        <f t="shared" si="3"/>
        <v>248400</v>
      </c>
    </row>
    <row r="74" spans="1:10" x14ac:dyDescent="0.3">
      <c r="A74" s="7" t="s">
        <v>126</v>
      </c>
      <c r="B74" s="7" t="str">
        <f>_xlfn.XLOOKUP(A74,'Vendor code- SKU mapping'!$B$1:$B$806,'Vendor code- SKU mapping'!$A$1:$A$806)</f>
        <v>OMah</v>
      </c>
      <c r="C74" s="7">
        <f>VLOOKUP(B74,'Vendor -MOQ- Lead time'!$A$2:$B$45,2,0)</f>
        <v>45</v>
      </c>
      <c r="D74" s="13">
        <f>ROUND(IF('Task 2'!G74&lt;0,ABS('Task 2'!G74),0),0)</f>
        <v>1338</v>
      </c>
      <c r="E74" s="7">
        <f>ROUND('Task 2'!D74*'Task 3'!C74,0)</f>
        <v>1458</v>
      </c>
      <c r="F74" s="7">
        <f>VLOOKUP(B74,'Vendor -MOQ- Lead time'!$A$2:$C$45,3,0)</f>
        <v>270</v>
      </c>
      <c r="G74" s="7">
        <f t="shared" si="2"/>
        <v>2970</v>
      </c>
      <c r="H74" s="7" t="s">
        <v>4</v>
      </c>
      <c r="I74" s="7" cm="1">
        <f t="array" ref="I74">_xlfn.IFS(H74="25-50%",230,H74="Top 25 %",260,H74="50-75%",200,H74="Last 25%",170,H74="Retire",150)</f>
        <v>260</v>
      </c>
      <c r="J74" s="15">
        <f t="shared" si="3"/>
        <v>772200</v>
      </c>
    </row>
    <row r="75" spans="1:10" x14ac:dyDescent="0.3">
      <c r="A75" s="7" t="s">
        <v>127</v>
      </c>
      <c r="B75" s="7" t="str">
        <f>_xlfn.XLOOKUP(A75,'Vendor code- SKU mapping'!$B$1:$B$806,'Vendor code- SKU mapping'!$A$1:$A$806)</f>
        <v>EFai</v>
      </c>
      <c r="C75" s="7">
        <f>VLOOKUP(B75,'Vendor -MOQ- Lead time'!$A$2:$B$45,2,0)</f>
        <v>60</v>
      </c>
      <c r="D75" s="13">
        <f>ROUND(IF('Task 2'!G75&lt;0,ABS('Task 2'!G75),0),0)</f>
        <v>74</v>
      </c>
      <c r="E75" s="7">
        <f>ROUND('Task 2'!D75*'Task 3'!C75,0)</f>
        <v>1258</v>
      </c>
      <c r="F75" s="7">
        <f>VLOOKUP(B75,'Vendor -MOQ- Lead time'!$A$2:$C$45,3,0)</f>
        <v>1080</v>
      </c>
      <c r="G75" s="7">
        <f t="shared" si="2"/>
        <v>2160</v>
      </c>
      <c r="H75" s="7" t="s">
        <v>0</v>
      </c>
      <c r="I75" s="7" cm="1">
        <f t="array" ref="I75">_xlfn.IFS(H75="25-50%",230,H75="Top 25 %",260,H75="50-75%",200,H75="Last 25%",170,H75="Retire",150)</f>
        <v>170</v>
      </c>
      <c r="J75" s="15">
        <f t="shared" si="3"/>
        <v>367200</v>
      </c>
    </row>
    <row r="76" spans="1:10" x14ac:dyDescent="0.3">
      <c r="A76" s="7" t="s">
        <v>128</v>
      </c>
      <c r="B76" s="7" t="str">
        <f>_xlfn.XLOOKUP(A76,'Vendor code- SKU mapping'!$B$1:$B$806,'Vendor code- SKU mapping'!$A$1:$A$806)</f>
        <v>OMug</v>
      </c>
      <c r="C76" s="7">
        <f>VLOOKUP(B76,'Vendor -MOQ- Lead time'!$A$2:$B$45,2,0)</f>
        <v>45</v>
      </c>
      <c r="D76" s="13">
        <f>ROUND(IF('Task 2'!G76&lt;0,ABS('Task 2'!G76),0),0)</f>
        <v>0</v>
      </c>
      <c r="E76" s="7">
        <f>ROUND('Task 2'!D76*'Task 3'!C76,0)</f>
        <v>1071</v>
      </c>
      <c r="F76" s="7">
        <f>VLOOKUP(B76,'Vendor -MOQ- Lead time'!$A$2:$C$45,3,0)</f>
        <v>270</v>
      </c>
      <c r="G76" s="7">
        <f t="shared" si="2"/>
        <v>1080</v>
      </c>
      <c r="H76" s="7" t="s">
        <v>1</v>
      </c>
      <c r="I76" s="7" cm="1">
        <f t="array" ref="I76">_xlfn.IFS(H76="25-50%",230,H76="Top 25 %",260,H76="50-75%",200,H76="Last 25%",170,H76="Retire",150)</f>
        <v>200</v>
      </c>
      <c r="J76" s="15">
        <f t="shared" si="3"/>
        <v>216000</v>
      </c>
    </row>
    <row r="77" spans="1:10" x14ac:dyDescent="0.3">
      <c r="A77" s="7" t="s">
        <v>129</v>
      </c>
      <c r="B77" s="7" t="str">
        <f>_xlfn.XLOOKUP(A77,'Vendor code- SKU mapping'!$B$1:$B$806,'Vendor code- SKU mapping'!$A$1:$A$806)</f>
        <v>ISte</v>
      </c>
      <c r="C77" s="7">
        <f>VLOOKUP(B77,'Vendor -MOQ- Lead time'!$A$2:$B$45,2,0)</f>
        <v>45</v>
      </c>
      <c r="D77" s="13">
        <f>ROUND(IF('Task 2'!G77&lt;0,ABS('Task 2'!G77),0),0)</f>
        <v>0</v>
      </c>
      <c r="E77" s="7">
        <f>ROUND('Task 2'!D77*'Task 3'!C77,0)</f>
        <v>1028</v>
      </c>
      <c r="F77" s="7">
        <f>VLOOKUP(B77,'Vendor -MOQ- Lead time'!$A$2:$C$45,3,0)</f>
        <v>270</v>
      </c>
      <c r="G77" s="7">
        <f t="shared" si="2"/>
        <v>1080</v>
      </c>
      <c r="H77" s="7" t="s">
        <v>0</v>
      </c>
      <c r="I77" s="7" cm="1">
        <f t="array" ref="I77">_xlfn.IFS(H77="25-50%",230,H77="Top 25 %",260,H77="50-75%",200,H77="Last 25%",170,H77="Retire",150)</f>
        <v>170</v>
      </c>
      <c r="J77" s="15">
        <f t="shared" si="3"/>
        <v>183600</v>
      </c>
    </row>
    <row r="78" spans="1:10" x14ac:dyDescent="0.3">
      <c r="A78" s="7" t="s">
        <v>130</v>
      </c>
      <c r="B78" s="7" t="str">
        <f>_xlfn.XLOOKUP(A78,'Vendor code- SKU mapping'!$B$1:$B$806,'Vendor code- SKU mapping'!$A$1:$A$806)</f>
        <v>ISte</v>
      </c>
      <c r="C78" s="7">
        <f>VLOOKUP(B78,'Vendor -MOQ- Lead time'!$A$2:$B$45,2,0)</f>
        <v>45</v>
      </c>
      <c r="D78" s="13">
        <f>ROUND(IF('Task 2'!G78&lt;0,ABS('Task 2'!G78),0),0)</f>
        <v>460</v>
      </c>
      <c r="E78" s="7">
        <f>ROUND('Task 2'!D78*'Task 3'!C78,0)</f>
        <v>1050</v>
      </c>
      <c r="F78" s="7">
        <f>VLOOKUP(B78,'Vendor -MOQ- Lead time'!$A$2:$C$45,3,0)</f>
        <v>270</v>
      </c>
      <c r="G78" s="7">
        <f t="shared" si="2"/>
        <v>1620</v>
      </c>
      <c r="H78" s="7" t="s">
        <v>1</v>
      </c>
      <c r="I78" s="7" cm="1">
        <f t="array" ref="I78">_xlfn.IFS(H78="25-50%",230,H78="Top 25 %",260,H78="50-75%",200,H78="Last 25%",170,H78="Retire",150)</f>
        <v>200</v>
      </c>
      <c r="J78" s="15">
        <f t="shared" si="3"/>
        <v>324000</v>
      </c>
    </row>
    <row r="79" spans="1:10" x14ac:dyDescent="0.3">
      <c r="A79" s="7" t="s">
        <v>131</v>
      </c>
      <c r="B79" s="7" t="str">
        <f>_xlfn.XLOOKUP(A79,'Vendor code- SKU mapping'!$B$1:$B$806,'Vendor code- SKU mapping'!$A$1:$A$806)</f>
        <v>IZoo</v>
      </c>
      <c r="C79" s="7">
        <f>VLOOKUP(B79,'Vendor -MOQ- Lead time'!$A$2:$B$45,2,0)</f>
        <v>90</v>
      </c>
      <c r="D79" s="13">
        <f>ROUND(IF('Task 2'!G79&lt;0,ABS('Task 2'!G79),0),0)</f>
        <v>0</v>
      </c>
      <c r="E79" s="7">
        <f>ROUND('Task 2'!D79*'Task 3'!C79,0)</f>
        <v>1278</v>
      </c>
      <c r="F79" s="7">
        <f>VLOOKUP(B79,'Vendor -MOQ- Lead time'!$A$2:$C$45,3,0)</f>
        <v>2880</v>
      </c>
      <c r="G79" s="7">
        <f t="shared" si="2"/>
        <v>2880</v>
      </c>
      <c r="H79" s="7" t="s">
        <v>1</v>
      </c>
      <c r="I79" s="7" cm="1">
        <f t="array" ref="I79">_xlfn.IFS(H79="25-50%",230,H79="Top 25 %",260,H79="50-75%",200,H79="Last 25%",170,H79="Retire",150)</f>
        <v>200</v>
      </c>
      <c r="J79" s="15">
        <f t="shared" si="3"/>
        <v>576000</v>
      </c>
    </row>
    <row r="80" spans="1:10" x14ac:dyDescent="0.3">
      <c r="A80" s="7" t="s">
        <v>132</v>
      </c>
      <c r="B80" s="7" t="str">
        <f>_xlfn.XLOOKUP(A80,'Vendor code- SKU mapping'!$B$1:$B$806,'Vendor code- SKU mapping'!$A$1:$A$806)</f>
        <v>OMah</v>
      </c>
      <c r="C80" s="7">
        <f>VLOOKUP(B80,'Vendor -MOQ- Lead time'!$A$2:$B$45,2,0)</f>
        <v>45</v>
      </c>
      <c r="D80" s="13">
        <f>ROUND(IF('Task 2'!G80&lt;0,ABS('Task 2'!G80),0),0)</f>
        <v>690</v>
      </c>
      <c r="E80" s="7">
        <f>ROUND('Task 2'!D80*'Task 3'!C80,0)</f>
        <v>1269</v>
      </c>
      <c r="F80" s="7">
        <f>VLOOKUP(B80,'Vendor -MOQ- Lead time'!$A$2:$C$45,3,0)</f>
        <v>270</v>
      </c>
      <c r="G80" s="7">
        <f t="shared" si="2"/>
        <v>2160</v>
      </c>
      <c r="H80" s="7" t="s">
        <v>2</v>
      </c>
      <c r="I80" s="7" cm="1">
        <f t="array" ref="I80">_xlfn.IFS(H80="25-50%",230,H80="Top 25 %",260,H80="50-75%",200,H80="Last 25%",170,H80="Retire",150)</f>
        <v>230</v>
      </c>
      <c r="J80" s="15">
        <f t="shared" si="3"/>
        <v>496800</v>
      </c>
    </row>
    <row r="81" spans="1:10" x14ac:dyDescent="0.3">
      <c r="A81" s="7" t="s">
        <v>133</v>
      </c>
      <c r="B81" s="7" t="str">
        <f>_xlfn.XLOOKUP(A81,'Vendor code- SKU mapping'!$B$1:$B$806,'Vendor code- SKU mapping'!$A$1:$A$806)</f>
        <v>ORoy</v>
      </c>
      <c r="C81" s="7">
        <f>VLOOKUP(B81,'Vendor -MOQ- Lead time'!$A$2:$B$45,2,0)</f>
        <v>45</v>
      </c>
      <c r="D81" s="13">
        <f>ROUND(IF('Task 2'!G81&lt;0,ABS('Task 2'!G81),0),0)</f>
        <v>380</v>
      </c>
      <c r="E81" s="7">
        <f>ROUND('Task 2'!D81*'Task 3'!C81,0)</f>
        <v>935</v>
      </c>
      <c r="F81" s="7">
        <f>VLOOKUP(B81,'Vendor -MOQ- Lead time'!$A$2:$C$45,3,0)</f>
        <v>270</v>
      </c>
      <c r="G81" s="7">
        <f t="shared" si="2"/>
        <v>1350</v>
      </c>
      <c r="H81" s="7" t="s">
        <v>0</v>
      </c>
      <c r="I81" s="7" cm="1">
        <f t="array" ref="I81">_xlfn.IFS(H81="25-50%",230,H81="Top 25 %",260,H81="50-75%",200,H81="Last 25%",170,H81="Retire",150)</f>
        <v>170</v>
      </c>
      <c r="J81" s="15">
        <f t="shared" si="3"/>
        <v>229500</v>
      </c>
    </row>
    <row r="82" spans="1:10" x14ac:dyDescent="0.3">
      <c r="A82" s="7" t="s">
        <v>134</v>
      </c>
      <c r="B82" s="7" t="str">
        <f>_xlfn.XLOOKUP(A82,'Vendor code- SKU mapping'!$B$1:$B$806,'Vendor code- SKU mapping'!$A$1:$A$806)</f>
        <v>IStu</v>
      </c>
      <c r="C82" s="7">
        <f>VLOOKUP(B82,'Vendor -MOQ- Lead time'!$A$2:$B$45,2,0)</f>
        <v>30</v>
      </c>
      <c r="D82" s="13">
        <f>ROUND(IF('Task 2'!G82&lt;0,ABS('Task 2'!G82),0),0)</f>
        <v>0</v>
      </c>
      <c r="E82" s="7">
        <f>ROUND('Task 2'!D82*'Task 3'!C82,0)</f>
        <v>445</v>
      </c>
      <c r="F82" s="7">
        <f>VLOOKUP(B82,'Vendor -MOQ- Lead time'!$A$2:$C$45,3,0)</f>
        <v>180</v>
      </c>
      <c r="G82" s="7">
        <f t="shared" si="2"/>
        <v>540</v>
      </c>
      <c r="H82" s="7" t="s">
        <v>0</v>
      </c>
      <c r="I82" s="7" cm="1">
        <f t="array" ref="I82">_xlfn.IFS(H82="25-50%",230,H82="Top 25 %",260,H82="50-75%",200,H82="Last 25%",170,H82="Retire",150)</f>
        <v>170</v>
      </c>
      <c r="J82" s="15">
        <f t="shared" si="3"/>
        <v>91800</v>
      </c>
    </row>
    <row r="83" spans="1:10" x14ac:dyDescent="0.3">
      <c r="A83" s="7" t="s">
        <v>135</v>
      </c>
      <c r="B83" s="7" t="str">
        <f>_xlfn.XLOOKUP(A83,'Vendor code- SKU mapping'!$B$1:$B$806,'Vendor code- SKU mapping'!$A$1:$A$806)</f>
        <v>IStu</v>
      </c>
      <c r="C83" s="7">
        <f>VLOOKUP(B83,'Vendor -MOQ- Lead time'!$A$2:$B$45,2,0)</f>
        <v>30</v>
      </c>
      <c r="D83" s="13">
        <f>ROUND(IF('Task 2'!G83&lt;0,ABS('Task 2'!G83),0),0)</f>
        <v>0</v>
      </c>
      <c r="E83" s="7">
        <f>ROUND('Task 2'!D83*'Task 3'!C83,0)</f>
        <v>492</v>
      </c>
      <c r="F83" s="7">
        <f>VLOOKUP(B83,'Vendor -MOQ- Lead time'!$A$2:$C$45,3,0)</f>
        <v>180</v>
      </c>
      <c r="G83" s="7">
        <f t="shared" si="2"/>
        <v>540</v>
      </c>
      <c r="H83" s="7" t="s">
        <v>0</v>
      </c>
      <c r="I83" s="7" cm="1">
        <f t="array" ref="I83">_xlfn.IFS(H83="25-50%",230,H83="Top 25 %",260,H83="50-75%",200,H83="Last 25%",170,H83="Retire",150)</f>
        <v>170</v>
      </c>
      <c r="J83" s="15">
        <f t="shared" si="3"/>
        <v>91800</v>
      </c>
    </row>
    <row r="84" spans="1:10" x14ac:dyDescent="0.3">
      <c r="A84" s="7" t="s">
        <v>136</v>
      </c>
      <c r="B84" s="7" t="str">
        <f>_xlfn.XLOOKUP(A84,'Vendor code- SKU mapping'!$B$1:$B$806,'Vendor code- SKU mapping'!$A$1:$A$806)</f>
        <v>IZoo</v>
      </c>
      <c r="C84" s="7">
        <f>VLOOKUP(B84,'Vendor -MOQ- Lead time'!$A$2:$B$45,2,0)</f>
        <v>90</v>
      </c>
      <c r="D84" s="13">
        <f>ROUND(IF('Task 2'!G84&lt;0,ABS('Task 2'!G84),0),0)</f>
        <v>0</v>
      </c>
      <c r="E84" s="7">
        <f>ROUND('Task 2'!D84*'Task 3'!C84,0)</f>
        <v>1713</v>
      </c>
      <c r="F84" s="7">
        <f>VLOOKUP(B84,'Vendor -MOQ- Lead time'!$A$2:$C$45,3,0)</f>
        <v>2880</v>
      </c>
      <c r="G84" s="7">
        <f t="shared" si="2"/>
        <v>2880</v>
      </c>
      <c r="H84" s="7" t="s">
        <v>1</v>
      </c>
      <c r="I84" s="7" cm="1">
        <f t="array" ref="I84">_xlfn.IFS(H84="25-50%",230,H84="Top 25 %",260,H84="50-75%",200,H84="Last 25%",170,H84="Retire",150)</f>
        <v>200</v>
      </c>
      <c r="J84" s="15">
        <f t="shared" si="3"/>
        <v>576000</v>
      </c>
    </row>
    <row r="85" spans="1:10" x14ac:dyDescent="0.3">
      <c r="A85" s="7" t="s">
        <v>137</v>
      </c>
      <c r="B85" s="7" t="str">
        <f>_xlfn.XLOOKUP(A85,'Vendor code- SKU mapping'!$B$1:$B$806,'Vendor code- SKU mapping'!$A$1:$A$806)</f>
        <v>ISte</v>
      </c>
      <c r="C85" s="7">
        <f>VLOOKUP(B85,'Vendor -MOQ- Lead time'!$A$2:$B$45,2,0)</f>
        <v>45</v>
      </c>
      <c r="D85" s="13">
        <f>ROUND(IF('Task 2'!G85&lt;0,ABS('Task 2'!G85),0),0)</f>
        <v>14</v>
      </c>
      <c r="E85" s="7">
        <f>ROUND('Task 2'!D85*'Task 3'!C85,0)</f>
        <v>1200</v>
      </c>
      <c r="F85" s="7">
        <f>VLOOKUP(B85,'Vendor -MOQ- Lead time'!$A$2:$C$45,3,0)</f>
        <v>270</v>
      </c>
      <c r="G85" s="7">
        <f t="shared" si="2"/>
        <v>1350</v>
      </c>
      <c r="H85" s="7" t="s">
        <v>1</v>
      </c>
      <c r="I85" s="7" cm="1">
        <f t="array" ref="I85">_xlfn.IFS(H85="25-50%",230,H85="Top 25 %",260,H85="50-75%",200,H85="Last 25%",170,H85="Retire",150)</f>
        <v>200</v>
      </c>
      <c r="J85" s="15">
        <f t="shared" si="3"/>
        <v>270000</v>
      </c>
    </row>
    <row r="86" spans="1:10" x14ac:dyDescent="0.3">
      <c r="A86" s="7" t="s">
        <v>138</v>
      </c>
      <c r="B86" s="7" t="str">
        <f>_xlfn.XLOOKUP(A86,'Vendor code- SKU mapping'!$B$1:$B$806,'Vendor code- SKU mapping'!$A$1:$A$806)</f>
        <v>OLux</v>
      </c>
      <c r="C86" s="7">
        <f>VLOOKUP(B86,'Vendor -MOQ- Lead time'!$A$2:$B$45,2,0)</f>
        <v>30</v>
      </c>
      <c r="D86" s="13">
        <f>ROUND(IF('Task 2'!G86&lt;0,ABS('Task 2'!G86),0),0)</f>
        <v>71</v>
      </c>
      <c r="E86" s="7">
        <f>ROUND('Task 2'!D86*'Task 3'!C86,0)</f>
        <v>593</v>
      </c>
      <c r="F86" s="7">
        <f>VLOOKUP(B86,'Vendor -MOQ- Lead time'!$A$2:$C$45,3,0)</f>
        <v>180</v>
      </c>
      <c r="G86" s="7">
        <f t="shared" si="2"/>
        <v>720</v>
      </c>
      <c r="H86" s="7" t="s">
        <v>0</v>
      </c>
      <c r="I86" s="7" cm="1">
        <f t="array" ref="I86">_xlfn.IFS(H86="25-50%",230,H86="Top 25 %",260,H86="50-75%",200,H86="Last 25%",170,H86="Retire",150)</f>
        <v>170</v>
      </c>
      <c r="J86" s="15">
        <f t="shared" si="3"/>
        <v>122400</v>
      </c>
    </row>
    <row r="87" spans="1:10" x14ac:dyDescent="0.3">
      <c r="A87" s="7" t="s">
        <v>139</v>
      </c>
      <c r="B87" s="7" t="str">
        <f>_xlfn.XLOOKUP(A87,'Vendor code- SKU mapping'!$B$1:$B$806,'Vendor code- SKU mapping'!$A$1:$A$806)</f>
        <v>AAB</v>
      </c>
      <c r="C87" s="7">
        <f>VLOOKUP(B87,'Vendor -MOQ- Lead time'!$A$2:$B$45,2,0)</f>
        <v>45</v>
      </c>
      <c r="D87" s="13">
        <f>ROUND(IF('Task 2'!G87&lt;0,ABS('Task 2'!G87),0),0)</f>
        <v>0</v>
      </c>
      <c r="E87" s="7">
        <f>ROUND('Task 2'!D87*'Task 3'!C87,0)</f>
        <v>549</v>
      </c>
      <c r="F87" s="7">
        <f>VLOOKUP(B87,'Vendor -MOQ- Lead time'!$A$2:$C$45,3,0)</f>
        <v>270</v>
      </c>
      <c r="G87" s="7">
        <f t="shared" si="2"/>
        <v>810</v>
      </c>
      <c r="H87" s="7" t="s">
        <v>0</v>
      </c>
      <c r="I87" s="7" cm="1">
        <f t="array" ref="I87">_xlfn.IFS(H87="25-50%",230,H87="Top 25 %",260,H87="50-75%",200,H87="Last 25%",170,H87="Retire",150)</f>
        <v>170</v>
      </c>
      <c r="J87" s="15">
        <f t="shared" si="3"/>
        <v>137700</v>
      </c>
    </row>
    <row r="88" spans="1:10" x14ac:dyDescent="0.3">
      <c r="A88" s="7" t="s">
        <v>140</v>
      </c>
      <c r="B88" s="7" t="str">
        <f>_xlfn.XLOOKUP(A88,'Vendor code- SKU mapping'!$B$1:$B$806,'Vendor code- SKU mapping'!$A$1:$A$806)</f>
        <v>IVS</v>
      </c>
      <c r="C88" s="7">
        <f>VLOOKUP(B88,'Vendor -MOQ- Lead time'!$A$2:$B$45,2,0)</f>
        <v>30</v>
      </c>
      <c r="D88" s="13">
        <f>ROUND(IF('Task 2'!G88&lt;0,ABS('Task 2'!G88),0),0)</f>
        <v>0</v>
      </c>
      <c r="E88" s="7">
        <f>ROUND('Task 2'!D88*'Task 3'!C88,0)</f>
        <v>831</v>
      </c>
      <c r="F88" s="7">
        <f>VLOOKUP(B88,'Vendor -MOQ- Lead time'!$A$2:$C$45,3,0)</f>
        <v>180</v>
      </c>
      <c r="G88" s="7">
        <f t="shared" si="2"/>
        <v>900</v>
      </c>
      <c r="H88" s="7" t="s">
        <v>2</v>
      </c>
      <c r="I88" s="7" cm="1">
        <f t="array" ref="I88">_xlfn.IFS(H88="25-50%",230,H88="Top 25 %",260,H88="50-75%",200,H88="Last 25%",170,H88="Retire",150)</f>
        <v>230</v>
      </c>
      <c r="J88" s="15">
        <f t="shared" si="3"/>
        <v>207000</v>
      </c>
    </row>
    <row r="89" spans="1:10" x14ac:dyDescent="0.3">
      <c r="A89" s="7" t="s">
        <v>141</v>
      </c>
      <c r="B89" s="7" t="str">
        <f>_xlfn.XLOOKUP(A89,'Vendor code- SKU mapping'!$B$1:$B$806,'Vendor code- SKU mapping'!$A$1:$A$806)</f>
        <v>OSha</v>
      </c>
      <c r="C89" s="7">
        <f>VLOOKUP(B89,'Vendor -MOQ- Lead time'!$A$2:$B$45,2,0)</f>
        <v>45</v>
      </c>
      <c r="D89" s="13">
        <f>ROUND(IF('Task 2'!G89&lt;0,ABS('Task 2'!G89),0),0)</f>
        <v>654</v>
      </c>
      <c r="E89" s="7">
        <f>ROUND('Task 2'!D89*'Task 3'!C89,0)</f>
        <v>1049</v>
      </c>
      <c r="F89" s="7">
        <f>VLOOKUP(B89,'Vendor -MOQ- Lead time'!$A$2:$C$45,3,0)</f>
        <v>270</v>
      </c>
      <c r="G89" s="7">
        <f t="shared" si="2"/>
        <v>1890</v>
      </c>
      <c r="H89" s="7" t="s">
        <v>0</v>
      </c>
      <c r="I89" s="7" cm="1">
        <f t="array" ref="I89">_xlfn.IFS(H89="25-50%",230,H89="Top 25 %",260,H89="50-75%",200,H89="Last 25%",170,H89="Retire",150)</f>
        <v>170</v>
      </c>
      <c r="J89" s="15">
        <f t="shared" si="3"/>
        <v>321300</v>
      </c>
    </row>
    <row r="90" spans="1:10" x14ac:dyDescent="0.3">
      <c r="A90" s="7" t="s">
        <v>142</v>
      </c>
      <c r="B90" s="7" t="str">
        <f>_xlfn.XLOOKUP(A90,'Vendor code- SKU mapping'!$B$1:$B$806,'Vendor code- SKU mapping'!$A$1:$A$806)</f>
        <v>ONex</v>
      </c>
      <c r="C90" s="7">
        <f>VLOOKUP(B90,'Vendor -MOQ- Lead time'!$A$2:$B$45,2,0)</f>
        <v>90</v>
      </c>
      <c r="D90" s="13">
        <f>ROUND(IF('Task 2'!G90&lt;0,ABS('Task 2'!G90),0),0)</f>
        <v>0</v>
      </c>
      <c r="E90" s="7">
        <f>ROUND('Task 2'!D90*'Task 3'!C90,0)</f>
        <v>543</v>
      </c>
      <c r="F90" s="7">
        <f>VLOOKUP(B90,'Vendor -MOQ- Lead time'!$A$2:$C$45,3,0)</f>
        <v>1440</v>
      </c>
      <c r="G90" s="7">
        <f t="shared" si="2"/>
        <v>1440</v>
      </c>
      <c r="H90" s="7" t="s">
        <v>0</v>
      </c>
      <c r="I90" s="7" cm="1">
        <f t="array" ref="I90">_xlfn.IFS(H90="25-50%",230,H90="Top 25 %",260,H90="50-75%",200,H90="Last 25%",170,H90="Retire",150)</f>
        <v>170</v>
      </c>
      <c r="J90" s="15">
        <f t="shared" si="3"/>
        <v>244800</v>
      </c>
    </row>
    <row r="91" spans="1:10" x14ac:dyDescent="0.3">
      <c r="A91" s="7" t="s">
        <v>143</v>
      </c>
      <c r="B91" s="7" t="str">
        <f>_xlfn.XLOOKUP(A91,'Vendor code- SKU mapping'!$B$1:$B$806,'Vendor code- SKU mapping'!$A$1:$A$806)</f>
        <v>OMah</v>
      </c>
      <c r="C91" s="7">
        <f>VLOOKUP(B91,'Vendor -MOQ- Lead time'!$A$2:$B$45,2,0)</f>
        <v>45</v>
      </c>
      <c r="D91" s="13">
        <f>ROUND(IF('Task 2'!G91&lt;0,ABS('Task 2'!G91),0),0)</f>
        <v>437</v>
      </c>
      <c r="E91" s="7">
        <f>ROUND('Task 2'!D91*'Task 3'!C91,0)</f>
        <v>681</v>
      </c>
      <c r="F91" s="7">
        <f>VLOOKUP(B91,'Vendor -MOQ- Lead time'!$A$2:$C$45,3,0)</f>
        <v>270</v>
      </c>
      <c r="G91" s="7">
        <f t="shared" si="2"/>
        <v>1350</v>
      </c>
      <c r="H91" s="7" t="s">
        <v>4</v>
      </c>
      <c r="I91" s="7" cm="1">
        <f t="array" ref="I91">_xlfn.IFS(H91="25-50%",230,H91="Top 25 %",260,H91="50-75%",200,H91="Last 25%",170,H91="Retire",150)</f>
        <v>260</v>
      </c>
      <c r="J91" s="15">
        <f t="shared" si="3"/>
        <v>351000</v>
      </c>
    </row>
    <row r="92" spans="1:10" x14ac:dyDescent="0.3">
      <c r="A92" s="7" t="s">
        <v>144</v>
      </c>
      <c r="B92" s="7" t="str">
        <f>_xlfn.XLOOKUP(A92,'Vendor code- SKU mapping'!$B$1:$B$806,'Vendor code- SKU mapping'!$A$1:$A$806)</f>
        <v>AARH</v>
      </c>
      <c r="C92" s="7">
        <f>VLOOKUP(B92,'Vendor -MOQ- Lead time'!$A$2:$B$45,2,0)</f>
        <v>90</v>
      </c>
      <c r="D92" s="13">
        <f>ROUND(IF('Task 2'!G92&lt;0,ABS('Task 2'!G92),0),0)</f>
        <v>770</v>
      </c>
      <c r="E92" s="7">
        <f>ROUND('Task 2'!D92*'Task 3'!C92,0)</f>
        <v>2799</v>
      </c>
      <c r="F92" s="7">
        <f>VLOOKUP(B92,'Vendor -MOQ- Lead time'!$A$2:$C$45,3,0)</f>
        <v>1080</v>
      </c>
      <c r="G92" s="7">
        <f t="shared" si="2"/>
        <v>4320</v>
      </c>
      <c r="H92" s="7" t="s">
        <v>2</v>
      </c>
      <c r="I92" s="7" cm="1">
        <f t="array" ref="I92">_xlfn.IFS(H92="25-50%",230,H92="Top 25 %",260,H92="50-75%",200,H92="Last 25%",170,H92="Retire",150)</f>
        <v>230</v>
      </c>
      <c r="J92" s="15">
        <f t="shared" si="3"/>
        <v>993600</v>
      </c>
    </row>
    <row r="93" spans="1:10" x14ac:dyDescent="0.3">
      <c r="A93" s="7" t="s">
        <v>145</v>
      </c>
      <c r="B93" s="7" t="str">
        <f>_xlfn.XLOOKUP(A93,'Vendor code- SKU mapping'!$B$1:$B$806,'Vendor code- SKU mapping'!$A$1:$A$806)</f>
        <v>AAre</v>
      </c>
      <c r="C93" s="7">
        <f>VLOOKUP(B93,'Vendor -MOQ- Lead time'!$A$2:$B$45,2,0)</f>
        <v>45</v>
      </c>
      <c r="D93" s="13">
        <f>ROUND(IF('Task 2'!G93&lt;0,ABS('Task 2'!G93),0),0)</f>
        <v>0</v>
      </c>
      <c r="E93" s="7">
        <f>ROUND('Task 2'!D93*'Task 3'!C93,0)</f>
        <v>1082</v>
      </c>
      <c r="F93" s="7">
        <f>VLOOKUP(B93,'Vendor -MOQ- Lead time'!$A$2:$C$45,3,0)</f>
        <v>270</v>
      </c>
      <c r="G93" s="7">
        <f t="shared" si="2"/>
        <v>1350</v>
      </c>
      <c r="H93" s="7" t="s">
        <v>2</v>
      </c>
      <c r="I93" s="7" cm="1">
        <f t="array" ref="I93">_xlfn.IFS(H93="25-50%",230,H93="Top 25 %",260,H93="50-75%",200,H93="Last 25%",170,H93="Retire",150)</f>
        <v>230</v>
      </c>
      <c r="J93" s="15">
        <f t="shared" si="3"/>
        <v>310500</v>
      </c>
    </row>
    <row r="94" spans="1:10" x14ac:dyDescent="0.3">
      <c r="A94" s="7" t="s">
        <v>146</v>
      </c>
      <c r="B94" s="7" t="str">
        <f>_xlfn.XLOOKUP(A94,'Vendor code- SKU mapping'!$B$1:$B$806,'Vendor code- SKU mapping'!$A$1:$A$806)</f>
        <v>ORad</v>
      </c>
      <c r="C94" s="7">
        <f>VLOOKUP(B94,'Vendor -MOQ- Lead time'!$A$2:$B$45,2,0)</f>
        <v>45</v>
      </c>
      <c r="D94" s="13">
        <f>ROUND(IF('Task 2'!G94&lt;0,ABS('Task 2'!G94),0),0)</f>
        <v>0</v>
      </c>
      <c r="E94" s="7">
        <f>ROUND('Task 2'!D94*'Task 3'!C94,0)</f>
        <v>800</v>
      </c>
      <c r="F94" s="7">
        <f>VLOOKUP(B94,'Vendor -MOQ- Lead time'!$A$2:$C$45,3,0)</f>
        <v>270</v>
      </c>
      <c r="G94" s="7">
        <f t="shared" si="2"/>
        <v>810</v>
      </c>
      <c r="H94" s="7" t="s">
        <v>1</v>
      </c>
      <c r="I94" s="7" cm="1">
        <f t="array" ref="I94">_xlfn.IFS(H94="25-50%",230,H94="Top 25 %",260,H94="50-75%",200,H94="Last 25%",170,H94="Retire",150)</f>
        <v>200</v>
      </c>
      <c r="J94" s="15">
        <f t="shared" si="3"/>
        <v>162000</v>
      </c>
    </row>
    <row r="95" spans="1:10" x14ac:dyDescent="0.3">
      <c r="A95" s="7" t="s">
        <v>147</v>
      </c>
      <c r="B95" s="7" t="str">
        <f>_xlfn.XLOOKUP(A95,'Vendor code- SKU mapping'!$B$1:$B$806,'Vendor code- SKU mapping'!$A$1:$A$806)</f>
        <v>AAre</v>
      </c>
      <c r="C95" s="7">
        <f>VLOOKUP(B95,'Vendor -MOQ- Lead time'!$A$2:$B$45,2,0)</f>
        <v>45</v>
      </c>
      <c r="D95" s="13">
        <f>ROUND(IF('Task 2'!G95&lt;0,ABS('Task 2'!G95),0),0)</f>
        <v>0</v>
      </c>
      <c r="E95" s="7">
        <f>ROUND('Task 2'!D95*'Task 3'!C95,0)</f>
        <v>1148</v>
      </c>
      <c r="F95" s="7">
        <f>VLOOKUP(B95,'Vendor -MOQ- Lead time'!$A$2:$C$45,3,0)</f>
        <v>270</v>
      </c>
      <c r="G95" s="7">
        <f t="shared" si="2"/>
        <v>1350</v>
      </c>
      <c r="H95" s="7" t="s">
        <v>2</v>
      </c>
      <c r="I95" s="7" cm="1">
        <f t="array" ref="I95">_xlfn.IFS(H95="25-50%",230,H95="Top 25 %",260,H95="50-75%",200,H95="Last 25%",170,H95="Retire",150)</f>
        <v>230</v>
      </c>
      <c r="J95" s="15">
        <f t="shared" si="3"/>
        <v>310500</v>
      </c>
    </row>
    <row r="96" spans="1:10" x14ac:dyDescent="0.3">
      <c r="A96" s="7" t="s">
        <v>148</v>
      </c>
      <c r="B96" s="7" t="str">
        <f>_xlfn.XLOOKUP(A96,'Vendor code- SKU mapping'!$B$1:$B$806,'Vendor code- SKU mapping'!$A$1:$A$806)</f>
        <v>EDaz</v>
      </c>
      <c r="C96" s="7">
        <f>VLOOKUP(B96,'Vendor -MOQ- Lead time'!$A$2:$B$45,2,0)</f>
        <v>30</v>
      </c>
      <c r="D96" s="13">
        <f>ROUND(IF('Task 2'!G96&lt;0,ABS('Task 2'!G96),0),0)</f>
        <v>359</v>
      </c>
      <c r="E96" s="7">
        <f>ROUND('Task 2'!D96*'Task 3'!C96,0)</f>
        <v>715</v>
      </c>
      <c r="F96" s="7">
        <f>VLOOKUP(B96,'Vendor -MOQ- Lead time'!$A$2:$C$45,3,0)</f>
        <v>180</v>
      </c>
      <c r="G96" s="7">
        <f t="shared" si="2"/>
        <v>1080</v>
      </c>
      <c r="H96" s="7" t="s">
        <v>2</v>
      </c>
      <c r="I96" s="7" cm="1">
        <f t="array" ref="I96">_xlfn.IFS(H96="25-50%",230,H96="Top 25 %",260,H96="50-75%",200,H96="Last 25%",170,H96="Retire",150)</f>
        <v>230</v>
      </c>
      <c r="J96" s="15">
        <f t="shared" si="3"/>
        <v>248400</v>
      </c>
    </row>
    <row r="97" spans="1:10" x14ac:dyDescent="0.3">
      <c r="A97" s="7" t="s">
        <v>149</v>
      </c>
      <c r="B97" s="7" t="str">
        <f>_xlfn.XLOOKUP(A97,'Vendor code- SKU mapping'!$B$1:$B$806,'Vendor code- SKU mapping'!$A$1:$A$806)</f>
        <v>ISte</v>
      </c>
      <c r="C97" s="7">
        <f>VLOOKUP(B97,'Vendor -MOQ- Lead time'!$A$2:$B$45,2,0)</f>
        <v>45</v>
      </c>
      <c r="D97" s="13">
        <f>ROUND(IF('Task 2'!G97&lt;0,ABS('Task 2'!G97),0),0)</f>
        <v>0</v>
      </c>
      <c r="E97" s="7">
        <f>ROUND('Task 2'!D97*'Task 3'!C97,0)</f>
        <v>923</v>
      </c>
      <c r="F97" s="7">
        <f>VLOOKUP(B97,'Vendor -MOQ- Lead time'!$A$2:$C$45,3,0)</f>
        <v>270</v>
      </c>
      <c r="G97" s="7">
        <f t="shared" si="2"/>
        <v>1080</v>
      </c>
      <c r="H97" s="7" t="s">
        <v>0</v>
      </c>
      <c r="I97" s="7" cm="1">
        <f t="array" ref="I97">_xlfn.IFS(H97="25-50%",230,H97="Top 25 %",260,H97="50-75%",200,H97="Last 25%",170,H97="Retire",150)</f>
        <v>170</v>
      </c>
      <c r="J97" s="15">
        <f t="shared" si="3"/>
        <v>183600</v>
      </c>
    </row>
    <row r="98" spans="1:10" x14ac:dyDescent="0.3">
      <c r="A98" s="7" t="s">
        <v>150</v>
      </c>
      <c r="B98" s="7" t="str">
        <f>_xlfn.XLOOKUP(A98,'Vendor code- SKU mapping'!$B$1:$B$806,'Vendor code- SKU mapping'!$A$1:$A$806)</f>
        <v>ORad</v>
      </c>
      <c r="C98" s="7">
        <f>VLOOKUP(B98,'Vendor -MOQ- Lead time'!$A$2:$B$45,2,0)</f>
        <v>45</v>
      </c>
      <c r="D98" s="13">
        <f>ROUND(IF('Task 2'!G98&lt;0,ABS('Task 2'!G98),0),0)</f>
        <v>0</v>
      </c>
      <c r="E98" s="7">
        <f>ROUND('Task 2'!D98*'Task 3'!C98,0)</f>
        <v>960</v>
      </c>
      <c r="F98" s="7">
        <f>VLOOKUP(B98,'Vendor -MOQ- Lead time'!$A$2:$C$45,3,0)</f>
        <v>270</v>
      </c>
      <c r="G98" s="7">
        <f t="shared" si="2"/>
        <v>1080</v>
      </c>
      <c r="H98" s="7" t="s">
        <v>0</v>
      </c>
      <c r="I98" s="7" cm="1">
        <f t="array" ref="I98">_xlfn.IFS(H98="25-50%",230,H98="Top 25 %",260,H98="50-75%",200,H98="Last 25%",170,H98="Retire",150)</f>
        <v>170</v>
      </c>
      <c r="J98" s="15">
        <f t="shared" si="3"/>
        <v>183600</v>
      </c>
    </row>
    <row r="99" spans="1:10" x14ac:dyDescent="0.3">
      <c r="A99" s="7" t="s">
        <v>151</v>
      </c>
      <c r="B99" s="7" t="str">
        <f>_xlfn.XLOOKUP(A99,'Vendor code- SKU mapping'!$B$1:$B$806,'Vendor code- SKU mapping'!$A$1:$A$806)</f>
        <v>OMug</v>
      </c>
      <c r="C99" s="7">
        <f>VLOOKUP(B99,'Vendor -MOQ- Lead time'!$A$2:$B$45,2,0)</f>
        <v>45</v>
      </c>
      <c r="D99" s="13">
        <f>ROUND(IF('Task 2'!G99&lt;0,ABS('Task 2'!G99),0),0)</f>
        <v>0</v>
      </c>
      <c r="E99" s="7">
        <f>ROUND('Task 2'!D99*'Task 3'!C99,0)</f>
        <v>909</v>
      </c>
      <c r="F99" s="7">
        <f>VLOOKUP(B99,'Vendor -MOQ- Lead time'!$A$2:$C$45,3,0)</f>
        <v>270</v>
      </c>
      <c r="G99" s="7">
        <f t="shared" si="2"/>
        <v>1080</v>
      </c>
      <c r="H99" s="7" t="s">
        <v>0</v>
      </c>
      <c r="I99" s="7" cm="1">
        <f t="array" ref="I99">_xlfn.IFS(H99="25-50%",230,H99="Top 25 %",260,H99="50-75%",200,H99="Last 25%",170,H99="Retire",150)</f>
        <v>170</v>
      </c>
      <c r="J99" s="15">
        <f t="shared" si="3"/>
        <v>183600</v>
      </c>
    </row>
    <row r="100" spans="1:10" x14ac:dyDescent="0.3">
      <c r="A100" s="7" t="s">
        <v>152</v>
      </c>
      <c r="B100" s="7" t="str">
        <f>_xlfn.XLOOKUP(A100,'Vendor code- SKU mapping'!$B$1:$B$806,'Vendor code- SKU mapping'!$A$1:$A$806)</f>
        <v>OMah</v>
      </c>
      <c r="C100" s="7">
        <f>VLOOKUP(B100,'Vendor -MOQ- Lead time'!$A$2:$B$45,2,0)</f>
        <v>45</v>
      </c>
      <c r="D100" s="13">
        <f>ROUND(IF('Task 2'!G100&lt;0,ABS('Task 2'!G100),0),0)</f>
        <v>0</v>
      </c>
      <c r="E100" s="7">
        <f>ROUND('Task 2'!D100*'Task 3'!C100,0)</f>
        <v>968</v>
      </c>
      <c r="F100" s="7">
        <f>VLOOKUP(B100,'Vendor -MOQ- Lead time'!$A$2:$C$45,3,0)</f>
        <v>270</v>
      </c>
      <c r="G100" s="7">
        <f t="shared" si="2"/>
        <v>1080</v>
      </c>
      <c r="H100" s="7" t="s">
        <v>2</v>
      </c>
      <c r="I100" s="7" cm="1">
        <f t="array" ref="I100">_xlfn.IFS(H100="25-50%",230,H100="Top 25 %",260,H100="50-75%",200,H100="Last 25%",170,H100="Retire",150)</f>
        <v>230</v>
      </c>
      <c r="J100" s="15">
        <f t="shared" si="3"/>
        <v>248400</v>
      </c>
    </row>
    <row r="101" spans="1:10" x14ac:dyDescent="0.3">
      <c r="A101" s="7" t="s">
        <v>153</v>
      </c>
      <c r="B101" s="7" t="str">
        <f>_xlfn.XLOOKUP(A101,'Vendor code- SKU mapping'!$B$1:$B$806,'Vendor code- SKU mapping'!$A$1:$A$806)</f>
        <v>OMah</v>
      </c>
      <c r="C101" s="7">
        <f>VLOOKUP(B101,'Vendor -MOQ- Lead time'!$A$2:$B$45,2,0)</f>
        <v>45</v>
      </c>
      <c r="D101" s="13">
        <f>ROUND(IF('Task 2'!G101&lt;0,ABS('Task 2'!G101),0),0)</f>
        <v>293</v>
      </c>
      <c r="E101" s="7">
        <f>ROUND('Task 2'!D101*'Task 3'!C101,0)</f>
        <v>1034</v>
      </c>
      <c r="F101" s="7">
        <f>VLOOKUP(B101,'Vendor -MOQ- Lead time'!$A$2:$C$45,3,0)</f>
        <v>270</v>
      </c>
      <c r="G101" s="7">
        <f t="shared" si="2"/>
        <v>1350</v>
      </c>
      <c r="H101" s="7" t="s">
        <v>2</v>
      </c>
      <c r="I101" s="7" cm="1">
        <f t="array" ref="I101">_xlfn.IFS(H101="25-50%",230,H101="Top 25 %",260,H101="50-75%",200,H101="Last 25%",170,H101="Retire",150)</f>
        <v>230</v>
      </c>
      <c r="J101" s="15">
        <f t="shared" si="3"/>
        <v>310500</v>
      </c>
    </row>
    <row r="102" spans="1:10" x14ac:dyDescent="0.3">
      <c r="A102" s="7" t="s">
        <v>154</v>
      </c>
      <c r="B102" s="7" t="str">
        <f>_xlfn.XLOOKUP(A102,'Vendor code- SKU mapping'!$B$1:$B$806,'Vendor code- SKU mapping'!$A$1:$A$806)</f>
        <v>ORad</v>
      </c>
      <c r="C102" s="7">
        <f>VLOOKUP(B102,'Vendor -MOQ- Lead time'!$A$2:$B$45,2,0)</f>
        <v>45</v>
      </c>
      <c r="D102" s="13">
        <f>ROUND(IF('Task 2'!G102&lt;0,ABS('Task 2'!G102),0),0)</f>
        <v>0</v>
      </c>
      <c r="E102" s="7">
        <f>ROUND('Task 2'!D102*'Task 3'!C102,0)</f>
        <v>846</v>
      </c>
      <c r="F102" s="7">
        <f>VLOOKUP(B102,'Vendor -MOQ- Lead time'!$A$2:$C$45,3,0)</f>
        <v>270</v>
      </c>
      <c r="G102" s="7">
        <f t="shared" si="2"/>
        <v>1080</v>
      </c>
      <c r="H102" s="7" t="s">
        <v>1</v>
      </c>
      <c r="I102" s="7" cm="1">
        <f t="array" ref="I102">_xlfn.IFS(H102="25-50%",230,H102="Top 25 %",260,H102="50-75%",200,H102="Last 25%",170,H102="Retire",150)</f>
        <v>200</v>
      </c>
      <c r="J102" s="15">
        <f t="shared" si="3"/>
        <v>216000</v>
      </c>
    </row>
    <row r="103" spans="1:10" x14ac:dyDescent="0.3">
      <c r="A103" s="7" t="s">
        <v>155</v>
      </c>
      <c r="B103" s="7" t="str">
        <f>_xlfn.XLOOKUP(A103,'Vendor code- SKU mapping'!$B$1:$B$806,'Vendor code- SKU mapping'!$A$1:$A$806)</f>
        <v>AAFC</v>
      </c>
      <c r="C103" s="7">
        <f>VLOOKUP(B103,'Vendor -MOQ- Lead time'!$A$2:$B$45,2,0)</f>
        <v>45</v>
      </c>
      <c r="D103" s="13">
        <f>ROUND(IF('Task 2'!G103&lt;0,ABS('Task 2'!G103),0),0)</f>
        <v>213</v>
      </c>
      <c r="E103" s="7">
        <f>ROUND('Task 2'!D103*'Task 3'!C103,0)</f>
        <v>1134</v>
      </c>
      <c r="F103" s="7">
        <f>VLOOKUP(B103,'Vendor -MOQ- Lead time'!$A$2:$C$45,3,0)</f>
        <v>270</v>
      </c>
      <c r="G103" s="7">
        <f t="shared" si="2"/>
        <v>1350</v>
      </c>
      <c r="H103" s="7" t="s">
        <v>4</v>
      </c>
      <c r="I103" s="7" cm="1">
        <f t="array" ref="I103">_xlfn.IFS(H103="25-50%",230,H103="Top 25 %",260,H103="50-75%",200,H103="Last 25%",170,H103="Retire",150)</f>
        <v>260</v>
      </c>
      <c r="J103" s="15">
        <f t="shared" si="3"/>
        <v>351000</v>
      </c>
    </row>
    <row r="104" spans="1:10" x14ac:dyDescent="0.3">
      <c r="A104" s="7" t="s">
        <v>156</v>
      </c>
      <c r="B104" s="7" t="str">
        <f>_xlfn.XLOOKUP(A104,'Vendor code- SKU mapping'!$B$1:$B$806,'Vendor code- SKU mapping'!$A$1:$A$806)</f>
        <v>OMug</v>
      </c>
      <c r="C104" s="7">
        <f>VLOOKUP(B104,'Vendor -MOQ- Lead time'!$A$2:$B$45,2,0)</f>
        <v>45</v>
      </c>
      <c r="D104" s="13">
        <f>ROUND(IF('Task 2'!G104&lt;0,ABS('Task 2'!G104),0),0)</f>
        <v>92</v>
      </c>
      <c r="E104" s="7">
        <f>ROUND('Task 2'!D104*'Task 3'!C104,0)</f>
        <v>948</v>
      </c>
      <c r="F104" s="7">
        <f>VLOOKUP(B104,'Vendor -MOQ- Lead time'!$A$2:$C$45,3,0)</f>
        <v>270</v>
      </c>
      <c r="G104" s="7">
        <f t="shared" si="2"/>
        <v>1080</v>
      </c>
      <c r="H104" s="7" t="s">
        <v>1</v>
      </c>
      <c r="I104" s="7" cm="1">
        <f t="array" ref="I104">_xlfn.IFS(H104="25-50%",230,H104="Top 25 %",260,H104="50-75%",200,H104="Last 25%",170,H104="Retire",150)</f>
        <v>200</v>
      </c>
      <c r="J104" s="15">
        <f t="shared" si="3"/>
        <v>216000</v>
      </c>
    </row>
    <row r="105" spans="1:10" x14ac:dyDescent="0.3">
      <c r="A105" s="7" t="s">
        <v>157</v>
      </c>
      <c r="B105" s="7" t="str">
        <f>_xlfn.XLOOKUP(A105,'Vendor code- SKU mapping'!$B$1:$B$806,'Vendor code- SKU mapping'!$A$1:$A$806)</f>
        <v>EFai</v>
      </c>
      <c r="C105" s="7">
        <f>VLOOKUP(B105,'Vendor -MOQ- Lead time'!$A$2:$B$45,2,0)</f>
        <v>60</v>
      </c>
      <c r="D105" s="13">
        <f>ROUND(IF('Task 2'!G105&lt;0,ABS('Task 2'!G105),0),0)</f>
        <v>38</v>
      </c>
      <c r="E105" s="7">
        <f>ROUND('Task 2'!D105*'Task 3'!C105,0)</f>
        <v>952</v>
      </c>
      <c r="F105" s="7">
        <f>VLOOKUP(B105,'Vendor -MOQ- Lead time'!$A$2:$C$45,3,0)</f>
        <v>1080</v>
      </c>
      <c r="G105" s="7">
        <f t="shared" si="2"/>
        <v>1080</v>
      </c>
      <c r="H105" s="7" t="s">
        <v>0</v>
      </c>
      <c r="I105" s="7" cm="1">
        <f t="array" ref="I105">_xlfn.IFS(H105="25-50%",230,H105="Top 25 %",260,H105="50-75%",200,H105="Last 25%",170,H105="Retire",150)</f>
        <v>170</v>
      </c>
      <c r="J105" s="15">
        <f t="shared" si="3"/>
        <v>183600</v>
      </c>
    </row>
    <row r="106" spans="1:10" x14ac:dyDescent="0.3">
      <c r="A106" s="7" t="s">
        <v>158</v>
      </c>
      <c r="B106" s="7" t="str">
        <f>_xlfn.XLOOKUP(A106,'Vendor code- SKU mapping'!$B$1:$B$806,'Vendor code- SKU mapping'!$A$1:$A$806)</f>
        <v>OMug</v>
      </c>
      <c r="C106" s="7">
        <f>VLOOKUP(B106,'Vendor -MOQ- Lead time'!$A$2:$B$45,2,0)</f>
        <v>45</v>
      </c>
      <c r="D106" s="13">
        <f>ROUND(IF('Task 2'!G106&lt;0,ABS('Task 2'!G106),0),0)</f>
        <v>457</v>
      </c>
      <c r="E106" s="7">
        <f>ROUND('Task 2'!D106*'Task 3'!C106,0)</f>
        <v>866</v>
      </c>
      <c r="F106" s="7">
        <f>VLOOKUP(B106,'Vendor -MOQ- Lead time'!$A$2:$C$45,3,0)</f>
        <v>270</v>
      </c>
      <c r="G106" s="7">
        <f t="shared" si="2"/>
        <v>1350</v>
      </c>
      <c r="H106" s="7" t="s">
        <v>0</v>
      </c>
      <c r="I106" s="7" cm="1">
        <f t="array" ref="I106">_xlfn.IFS(H106="25-50%",230,H106="Top 25 %",260,H106="50-75%",200,H106="Last 25%",170,H106="Retire",150)</f>
        <v>170</v>
      </c>
      <c r="J106" s="15">
        <f t="shared" si="3"/>
        <v>229500</v>
      </c>
    </row>
    <row r="107" spans="1:10" x14ac:dyDescent="0.3">
      <c r="A107" s="7" t="s">
        <v>159</v>
      </c>
      <c r="B107" s="7" t="str">
        <f>_xlfn.XLOOKUP(A107,'Vendor code- SKU mapping'!$B$1:$B$806,'Vendor code- SKU mapping'!$A$1:$A$806)</f>
        <v>OMD</v>
      </c>
      <c r="C107" s="7">
        <f>VLOOKUP(B107,'Vendor -MOQ- Lead time'!$A$2:$B$45,2,0)</f>
        <v>30</v>
      </c>
      <c r="D107" s="13">
        <f>ROUND(IF('Task 2'!G107&lt;0,ABS('Task 2'!G107),0),0)</f>
        <v>0</v>
      </c>
      <c r="E107" s="7">
        <f>ROUND('Task 2'!D107*'Task 3'!C107,0)</f>
        <v>770</v>
      </c>
      <c r="F107" s="7">
        <f>VLOOKUP(B107,'Vendor -MOQ- Lead time'!$A$2:$C$45,3,0)</f>
        <v>180</v>
      </c>
      <c r="G107" s="7">
        <f t="shared" si="2"/>
        <v>900</v>
      </c>
      <c r="H107" s="7" t="s">
        <v>0</v>
      </c>
      <c r="I107" s="7" cm="1">
        <f t="array" ref="I107">_xlfn.IFS(H107="25-50%",230,H107="Top 25 %",260,H107="50-75%",200,H107="Last 25%",170,H107="Retire",150)</f>
        <v>170</v>
      </c>
      <c r="J107" s="15">
        <f t="shared" si="3"/>
        <v>153000</v>
      </c>
    </row>
    <row r="108" spans="1:10" x14ac:dyDescent="0.3">
      <c r="A108" s="7" t="s">
        <v>160</v>
      </c>
      <c r="B108" s="7" t="str">
        <f>_xlfn.XLOOKUP(A108,'Vendor code- SKU mapping'!$B$1:$B$806,'Vendor code- SKU mapping'!$A$1:$A$806)</f>
        <v>AARH</v>
      </c>
      <c r="C108" s="7">
        <f>VLOOKUP(B108,'Vendor -MOQ- Lead time'!$A$2:$B$45,2,0)</f>
        <v>90</v>
      </c>
      <c r="D108" s="13">
        <f>ROUND(IF('Task 2'!G108&lt;0,ABS('Task 2'!G108),0),0)</f>
        <v>0</v>
      </c>
      <c r="E108" s="7">
        <f>ROUND('Task 2'!D108*'Task 3'!C108,0)</f>
        <v>1002</v>
      </c>
      <c r="F108" s="7">
        <f>VLOOKUP(B108,'Vendor -MOQ- Lead time'!$A$2:$C$45,3,0)</f>
        <v>1080</v>
      </c>
      <c r="G108" s="7">
        <f t="shared" si="2"/>
        <v>1080</v>
      </c>
      <c r="H108" s="7" t="s">
        <v>0</v>
      </c>
      <c r="I108" s="7" cm="1">
        <f t="array" ref="I108">_xlfn.IFS(H108="25-50%",230,H108="Top 25 %",260,H108="50-75%",200,H108="Last 25%",170,H108="Retire",150)</f>
        <v>170</v>
      </c>
      <c r="J108" s="15">
        <f t="shared" si="3"/>
        <v>183600</v>
      </c>
    </row>
    <row r="109" spans="1:10" x14ac:dyDescent="0.3">
      <c r="A109" s="7" t="s">
        <v>161</v>
      </c>
      <c r="B109" s="7" t="str">
        <f>_xlfn.XLOOKUP(A109,'Vendor code- SKU mapping'!$B$1:$B$806,'Vendor code- SKU mapping'!$A$1:$A$806)</f>
        <v>OMug</v>
      </c>
      <c r="C109" s="7">
        <f>VLOOKUP(B109,'Vendor -MOQ- Lead time'!$A$2:$B$45,2,0)</f>
        <v>45</v>
      </c>
      <c r="D109" s="13">
        <f>ROUND(IF('Task 2'!G109&lt;0,ABS('Task 2'!G109),0),0)</f>
        <v>0</v>
      </c>
      <c r="E109" s="7">
        <f>ROUND('Task 2'!D109*'Task 3'!C109,0)</f>
        <v>950</v>
      </c>
      <c r="F109" s="7">
        <f>VLOOKUP(B109,'Vendor -MOQ- Lead time'!$A$2:$C$45,3,0)</f>
        <v>270</v>
      </c>
      <c r="G109" s="7">
        <f t="shared" si="2"/>
        <v>1080</v>
      </c>
      <c r="H109" s="7" t="s">
        <v>0</v>
      </c>
      <c r="I109" s="7" cm="1">
        <f t="array" ref="I109">_xlfn.IFS(H109="25-50%",230,H109="Top 25 %",260,H109="50-75%",200,H109="Last 25%",170,H109="Retire",150)</f>
        <v>170</v>
      </c>
      <c r="J109" s="15">
        <f t="shared" si="3"/>
        <v>183600</v>
      </c>
    </row>
    <row r="110" spans="1:10" x14ac:dyDescent="0.3">
      <c r="A110" s="7" t="s">
        <v>162</v>
      </c>
      <c r="B110" s="7" t="str">
        <f>_xlfn.XLOOKUP(A110,'Vendor code- SKU mapping'!$B$1:$B$806,'Vendor code- SKU mapping'!$A$1:$A$806)</f>
        <v>AAre</v>
      </c>
      <c r="C110" s="7">
        <f>VLOOKUP(B110,'Vendor -MOQ- Lead time'!$A$2:$B$45,2,0)</f>
        <v>45</v>
      </c>
      <c r="D110" s="13">
        <f>ROUND(IF('Task 2'!G110&lt;0,ABS('Task 2'!G110),0),0)</f>
        <v>241</v>
      </c>
      <c r="E110" s="7">
        <f>ROUND('Task 2'!D110*'Task 3'!C110,0)</f>
        <v>966</v>
      </c>
      <c r="F110" s="7">
        <f>VLOOKUP(B110,'Vendor -MOQ- Lead time'!$A$2:$C$45,3,0)</f>
        <v>270</v>
      </c>
      <c r="G110" s="7">
        <f t="shared" si="2"/>
        <v>1350</v>
      </c>
      <c r="H110" s="7" t="s">
        <v>4</v>
      </c>
      <c r="I110" s="7" cm="1">
        <f t="array" ref="I110">_xlfn.IFS(H110="25-50%",230,H110="Top 25 %",260,H110="50-75%",200,H110="Last 25%",170,H110="Retire",150)</f>
        <v>260</v>
      </c>
      <c r="J110" s="15">
        <f t="shared" si="3"/>
        <v>351000</v>
      </c>
    </row>
    <row r="111" spans="1:10" x14ac:dyDescent="0.3">
      <c r="A111" s="7" t="s">
        <v>163</v>
      </c>
      <c r="B111" s="7" t="str">
        <f>_xlfn.XLOOKUP(A111,'Vendor code- SKU mapping'!$B$1:$B$806,'Vendor code- SKU mapping'!$A$1:$A$806)</f>
        <v>ONex</v>
      </c>
      <c r="C111" s="7">
        <f>VLOOKUP(B111,'Vendor -MOQ- Lead time'!$A$2:$B$45,2,0)</f>
        <v>90</v>
      </c>
      <c r="D111" s="13">
        <f>ROUND(IF('Task 2'!G111&lt;0,ABS('Task 2'!G111),0),0)</f>
        <v>99</v>
      </c>
      <c r="E111" s="7">
        <f>ROUND('Task 2'!D111*'Task 3'!C111,0)</f>
        <v>648</v>
      </c>
      <c r="F111" s="7">
        <f>VLOOKUP(B111,'Vendor -MOQ- Lead time'!$A$2:$C$45,3,0)</f>
        <v>1440</v>
      </c>
      <c r="G111" s="7">
        <f t="shared" si="2"/>
        <v>1440</v>
      </c>
      <c r="H111" s="7" t="s">
        <v>0</v>
      </c>
      <c r="I111" s="7" cm="1">
        <f t="array" ref="I111">_xlfn.IFS(H111="25-50%",230,H111="Top 25 %",260,H111="50-75%",200,H111="Last 25%",170,H111="Retire",150)</f>
        <v>170</v>
      </c>
      <c r="J111" s="15">
        <f t="shared" si="3"/>
        <v>244800</v>
      </c>
    </row>
    <row r="112" spans="1:10" x14ac:dyDescent="0.3">
      <c r="A112" s="7" t="s">
        <v>164</v>
      </c>
      <c r="B112" s="7" t="str">
        <f>_xlfn.XLOOKUP(A112,'Vendor code- SKU mapping'!$B$1:$B$806,'Vendor code- SKU mapping'!$A$1:$A$806)</f>
        <v>ISte</v>
      </c>
      <c r="C112" s="7">
        <f>VLOOKUP(B112,'Vendor -MOQ- Lead time'!$A$2:$B$45,2,0)</f>
        <v>45</v>
      </c>
      <c r="D112" s="13">
        <f>ROUND(IF('Task 2'!G112&lt;0,ABS('Task 2'!G112),0),0)</f>
        <v>0</v>
      </c>
      <c r="E112" s="7">
        <f>ROUND('Task 2'!D112*'Task 3'!C112,0)</f>
        <v>746</v>
      </c>
      <c r="F112" s="7">
        <f>VLOOKUP(B112,'Vendor -MOQ- Lead time'!$A$2:$C$45,3,0)</f>
        <v>270</v>
      </c>
      <c r="G112" s="7">
        <f t="shared" si="2"/>
        <v>810</v>
      </c>
      <c r="H112" s="7" t="s">
        <v>4</v>
      </c>
      <c r="I112" s="7" cm="1">
        <f t="array" ref="I112">_xlfn.IFS(H112="25-50%",230,H112="Top 25 %",260,H112="50-75%",200,H112="Last 25%",170,H112="Retire",150)</f>
        <v>260</v>
      </c>
      <c r="J112" s="15">
        <f t="shared" si="3"/>
        <v>210600</v>
      </c>
    </row>
    <row r="113" spans="1:10" x14ac:dyDescent="0.3">
      <c r="A113" s="7" t="s">
        <v>165</v>
      </c>
      <c r="B113" s="7" t="str">
        <f>_xlfn.XLOOKUP(A113,'Vendor code- SKU mapping'!$B$1:$B$806,'Vendor code- SKU mapping'!$A$1:$A$806)</f>
        <v>ISte</v>
      </c>
      <c r="C113" s="7">
        <f>VLOOKUP(B113,'Vendor -MOQ- Lead time'!$A$2:$B$45,2,0)</f>
        <v>45</v>
      </c>
      <c r="D113" s="13">
        <f>ROUND(IF('Task 2'!G113&lt;0,ABS('Task 2'!G113),0),0)</f>
        <v>66</v>
      </c>
      <c r="E113" s="7">
        <f>ROUND('Task 2'!D113*'Task 3'!C113,0)</f>
        <v>846</v>
      </c>
      <c r="F113" s="7">
        <f>VLOOKUP(B113,'Vendor -MOQ- Lead time'!$A$2:$C$45,3,0)</f>
        <v>270</v>
      </c>
      <c r="G113" s="7">
        <f t="shared" si="2"/>
        <v>1080</v>
      </c>
      <c r="H113" s="7" t="s">
        <v>1</v>
      </c>
      <c r="I113" s="7" cm="1">
        <f t="array" ref="I113">_xlfn.IFS(H113="25-50%",230,H113="Top 25 %",260,H113="50-75%",200,H113="Last 25%",170,H113="Retire",150)</f>
        <v>200</v>
      </c>
      <c r="J113" s="15">
        <f t="shared" si="3"/>
        <v>216000</v>
      </c>
    </row>
    <row r="114" spans="1:10" x14ac:dyDescent="0.3">
      <c r="A114" s="7" t="s">
        <v>166</v>
      </c>
      <c r="B114" s="7" t="str">
        <f>_xlfn.XLOOKUP(A114,'Vendor code- SKU mapping'!$B$1:$B$806,'Vendor code- SKU mapping'!$A$1:$A$806)</f>
        <v>AAFC</v>
      </c>
      <c r="C114" s="7">
        <f>VLOOKUP(B114,'Vendor -MOQ- Lead time'!$A$2:$B$45,2,0)</f>
        <v>45</v>
      </c>
      <c r="D114" s="13">
        <f>ROUND(IF('Task 2'!G114&lt;0,ABS('Task 2'!G114),0),0)</f>
        <v>0</v>
      </c>
      <c r="E114" s="7">
        <f>ROUND('Task 2'!D114*'Task 3'!C114,0)</f>
        <v>716</v>
      </c>
      <c r="F114" s="7">
        <f>VLOOKUP(B114,'Vendor -MOQ- Lead time'!$A$2:$C$45,3,0)</f>
        <v>270</v>
      </c>
      <c r="G114" s="7">
        <f t="shared" si="2"/>
        <v>810</v>
      </c>
      <c r="H114" s="7" t="s">
        <v>0</v>
      </c>
      <c r="I114" s="7" cm="1">
        <f t="array" ref="I114">_xlfn.IFS(H114="25-50%",230,H114="Top 25 %",260,H114="50-75%",200,H114="Last 25%",170,H114="Retire",150)</f>
        <v>170</v>
      </c>
      <c r="J114" s="15">
        <f t="shared" si="3"/>
        <v>137700</v>
      </c>
    </row>
    <row r="115" spans="1:10" x14ac:dyDescent="0.3">
      <c r="A115" s="7" t="s">
        <v>167</v>
      </c>
      <c r="B115" s="7" t="str">
        <f>_xlfn.XLOOKUP(A115,'Vendor code- SKU mapping'!$B$1:$B$806,'Vendor code- SKU mapping'!$A$1:$A$806)</f>
        <v>OMD</v>
      </c>
      <c r="C115" s="7">
        <f>VLOOKUP(B115,'Vendor -MOQ- Lead time'!$A$2:$B$45,2,0)</f>
        <v>30</v>
      </c>
      <c r="D115" s="13">
        <f>ROUND(IF('Task 2'!G115&lt;0,ABS('Task 2'!G115),0),0)</f>
        <v>0</v>
      </c>
      <c r="E115" s="7">
        <f>ROUND('Task 2'!D115*'Task 3'!C115,0)</f>
        <v>453</v>
      </c>
      <c r="F115" s="7">
        <f>VLOOKUP(B115,'Vendor -MOQ- Lead time'!$A$2:$C$45,3,0)</f>
        <v>180</v>
      </c>
      <c r="G115" s="7">
        <f t="shared" si="2"/>
        <v>540</v>
      </c>
      <c r="H115" s="7" t="s">
        <v>0</v>
      </c>
      <c r="I115" s="7" cm="1">
        <f t="array" ref="I115">_xlfn.IFS(H115="25-50%",230,H115="Top 25 %",260,H115="50-75%",200,H115="Last 25%",170,H115="Retire",150)</f>
        <v>170</v>
      </c>
      <c r="J115" s="15">
        <f t="shared" si="3"/>
        <v>91800</v>
      </c>
    </row>
    <row r="116" spans="1:10" x14ac:dyDescent="0.3">
      <c r="A116" s="7" t="s">
        <v>168</v>
      </c>
      <c r="B116" s="7" t="str">
        <f>_xlfn.XLOOKUP(A116,'Vendor code- SKU mapping'!$B$1:$B$806,'Vendor code- SKU mapping'!$A$1:$A$806)</f>
        <v>ORad</v>
      </c>
      <c r="C116" s="7">
        <f>VLOOKUP(B116,'Vendor -MOQ- Lead time'!$A$2:$B$45,2,0)</f>
        <v>45</v>
      </c>
      <c r="D116" s="13">
        <f>ROUND(IF('Task 2'!G116&lt;0,ABS('Task 2'!G116),0),0)</f>
        <v>0</v>
      </c>
      <c r="E116" s="7">
        <f>ROUND('Task 2'!D116*'Task 3'!C116,0)</f>
        <v>809</v>
      </c>
      <c r="F116" s="7">
        <f>VLOOKUP(B116,'Vendor -MOQ- Lead time'!$A$2:$C$45,3,0)</f>
        <v>270</v>
      </c>
      <c r="G116" s="7">
        <f t="shared" si="2"/>
        <v>810</v>
      </c>
      <c r="H116" s="7" t="s">
        <v>0</v>
      </c>
      <c r="I116" s="7" cm="1">
        <f t="array" ref="I116">_xlfn.IFS(H116="25-50%",230,H116="Top 25 %",260,H116="50-75%",200,H116="Last 25%",170,H116="Retire",150)</f>
        <v>170</v>
      </c>
      <c r="J116" s="15">
        <f t="shared" si="3"/>
        <v>137700</v>
      </c>
    </row>
    <row r="117" spans="1:10" x14ac:dyDescent="0.3">
      <c r="A117" s="7" t="s">
        <v>169</v>
      </c>
      <c r="B117" s="7" t="str">
        <f>_xlfn.XLOOKUP(A117,'Vendor code- SKU mapping'!$B$1:$B$806,'Vendor code- SKU mapping'!$A$1:$A$806)</f>
        <v>OOne</v>
      </c>
      <c r="C117" s="7">
        <f>VLOOKUP(B117,'Vendor -MOQ- Lead time'!$A$2:$B$45,2,0)</f>
        <v>30</v>
      </c>
      <c r="D117" s="13">
        <f>ROUND(IF('Task 2'!G117&lt;0,ABS('Task 2'!G117),0),0)</f>
        <v>658</v>
      </c>
      <c r="E117" s="7">
        <f>ROUND('Task 2'!D117*'Task 3'!C117,0)</f>
        <v>572</v>
      </c>
      <c r="F117" s="7">
        <f>VLOOKUP(B117,'Vendor -MOQ- Lead time'!$A$2:$C$45,3,0)</f>
        <v>180</v>
      </c>
      <c r="G117" s="7">
        <f t="shared" si="2"/>
        <v>1260</v>
      </c>
      <c r="H117" s="7" t="s">
        <v>4</v>
      </c>
      <c r="I117" s="7" cm="1">
        <f t="array" ref="I117">_xlfn.IFS(H117="25-50%",230,H117="Top 25 %",260,H117="50-75%",200,H117="Last 25%",170,H117="Retire",150)</f>
        <v>260</v>
      </c>
      <c r="J117" s="15">
        <f t="shared" si="3"/>
        <v>327600</v>
      </c>
    </row>
    <row r="118" spans="1:10" x14ac:dyDescent="0.3">
      <c r="A118" s="7" t="s">
        <v>170</v>
      </c>
      <c r="B118" s="7" t="str">
        <f>_xlfn.XLOOKUP(A118,'Vendor code- SKU mapping'!$B$1:$B$806,'Vendor code- SKU mapping'!$A$1:$A$806)</f>
        <v>AARH</v>
      </c>
      <c r="C118" s="7">
        <f>VLOOKUP(B118,'Vendor -MOQ- Lead time'!$A$2:$B$45,2,0)</f>
        <v>90</v>
      </c>
      <c r="D118" s="13">
        <f>ROUND(IF('Task 2'!G118&lt;0,ABS('Task 2'!G118),0),0)</f>
        <v>356</v>
      </c>
      <c r="E118" s="7">
        <f>ROUND('Task 2'!D118*'Task 3'!C118,0)</f>
        <v>2343</v>
      </c>
      <c r="F118" s="7">
        <f>VLOOKUP(B118,'Vendor -MOQ- Lead time'!$A$2:$C$45,3,0)</f>
        <v>1080</v>
      </c>
      <c r="G118" s="7">
        <f t="shared" si="2"/>
        <v>3240</v>
      </c>
      <c r="H118" s="7" t="s">
        <v>2</v>
      </c>
      <c r="I118" s="7" cm="1">
        <f t="array" ref="I118">_xlfn.IFS(H118="25-50%",230,H118="Top 25 %",260,H118="50-75%",200,H118="Last 25%",170,H118="Retire",150)</f>
        <v>230</v>
      </c>
      <c r="J118" s="15">
        <f t="shared" si="3"/>
        <v>745200</v>
      </c>
    </row>
    <row r="119" spans="1:10" x14ac:dyDescent="0.3">
      <c r="A119" s="7" t="s">
        <v>171</v>
      </c>
      <c r="B119" s="7" t="str">
        <f>_xlfn.XLOOKUP(A119,'Vendor code- SKU mapping'!$B$1:$B$806,'Vendor code- SKU mapping'!$A$1:$A$806)</f>
        <v>ISV</v>
      </c>
      <c r="C119" s="7">
        <f>VLOOKUP(B119,'Vendor -MOQ- Lead time'!$A$2:$B$45,2,0)</f>
        <v>45</v>
      </c>
      <c r="D119" s="13">
        <f>ROUND(IF('Task 2'!G119&lt;0,ABS('Task 2'!G119),0),0)</f>
        <v>36</v>
      </c>
      <c r="E119" s="7">
        <f>ROUND('Task 2'!D119*'Task 3'!C119,0)</f>
        <v>603</v>
      </c>
      <c r="F119" s="7">
        <f>VLOOKUP(B119,'Vendor -MOQ- Lead time'!$A$2:$C$45,3,0)</f>
        <v>270</v>
      </c>
      <c r="G119" s="7">
        <f t="shared" si="2"/>
        <v>810</v>
      </c>
      <c r="H119" s="7" t="s">
        <v>0</v>
      </c>
      <c r="I119" s="7" cm="1">
        <f t="array" ref="I119">_xlfn.IFS(H119="25-50%",230,H119="Top 25 %",260,H119="50-75%",200,H119="Last 25%",170,H119="Retire",150)</f>
        <v>170</v>
      </c>
      <c r="J119" s="15">
        <f t="shared" si="3"/>
        <v>137700</v>
      </c>
    </row>
    <row r="120" spans="1:10" x14ac:dyDescent="0.3">
      <c r="A120" s="7" t="s">
        <v>172</v>
      </c>
      <c r="B120" s="7" t="str">
        <f>_xlfn.XLOOKUP(A120,'Vendor code- SKU mapping'!$B$1:$B$806,'Vendor code- SKU mapping'!$A$1:$A$806)</f>
        <v>EGRS</v>
      </c>
      <c r="C120" s="7">
        <f>VLOOKUP(B120,'Vendor -MOQ- Lead time'!$A$2:$B$45,2,0)</f>
        <v>45</v>
      </c>
      <c r="D120" s="13">
        <f>ROUND(IF('Task 2'!G120&lt;0,ABS('Task 2'!G120),0),0)</f>
        <v>0</v>
      </c>
      <c r="E120" s="7">
        <f>ROUND('Task 2'!D120*'Task 3'!C120,0)</f>
        <v>273</v>
      </c>
      <c r="F120" s="7">
        <f>VLOOKUP(B120,'Vendor -MOQ- Lead time'!$A$2:$C$45,3,0)</f>
        <v>270</v>
      </c>
      <c r="G120" s="7">
        <f t="shared" si="2"/>
        <v>540</v>
      </c>
      <c r="H120" s="7" t="s">
        <v>0</v>
      </c>
      <c r="I120" s="7" cm="1">
        <f t="array" ref="I120">_xlfn.IFS(H120="25-50%",230,H120="Top 25 %",260,H120="50-75%",200,H120="Last 25%",170,H120="Retire",150)</f>
        <v>170</v>
      </c>
      <c r="J120" s="15">
        <f t="shared" si="3"/>
        <v>91800</v>
      </c>
    </row>
    <row r="121" spans="1:10" x14ac:dyDescent="0.3">
      <c r="A121" s="7" t="s">
        <v>173</v>
      </c>
      <c r="B121" s="7" t="str">
        <f>_xlfn.XLOOKUP(A121,'Vendor code- SKU mapping'!$B$1:$B$806,'Vendor code- SKU mapping'!$A$1:$A$806)</f>
        <v>EFai</v>
      </c>
      <c r="C121" s="7">
        <f>VLOOKUP(B121,'Vendor -MOQ- Lead time'!$A$2:$B$45,2,0)</f>
        <v>60</v>
      </c>
      <c r="D121" s="13">
        <f>ROUND(IF('Task 2'!G121&lt;0,ABS('Task 2'!G121),0),0)</f>
        <v>0</v>
      </c>
      <c r="E121" s="7">
        <f>ROUND('Task 2'!D121*'Task 3'!C121,0)</f>
        <v>728</v>
      </c>
      <c r="F121" s="7">
        <f>VLOOKUP(B121,'Vendor -MOQ- Lead time'!$A$2:$C$45,3,0)</f>
        <v>1080</v>
      </c>
      <c r="G121" s="7">
        <f t="shared" si="2"/>
        <v>1080</v>
      </c>
      <c r="H121" s="7" t="s">
        <v>0</v>
      </c>
      <c r="I121" s="7" cm="1">
        <f t="array" ref="I121">_xlfn.IFS(H121="25-50%",230,H121="Top 25 %",260,H121="50-75%",200,H121="Last 25%",170,H121="Retire",150)</f>
        <v>170</v>
      </c>
      <c r="J121" s="15">
        <f t="shared" si="3"/>
        <v>183600</v>
      </c>
    </row>
    <row r="122" spans="1:10" x14ac:dyDescent="0.3">
      <c r="A122" s="7" t="s">
        <v>174</v>
      </c>
      <c r="B122" s="7" t="str">
        <f>_xlfn.XLOOKUP(A122,'Vendor code- SKU mapping'!$B$1:$B$806,'Vendor code- SKU mapping'!$A$1:$A$806)</f>
        <v>IVS</v>
      </c>
      <c r="C122" s="7">
        <f>VLOOKUP(B122,'Vendor -MOQ- Lead time'!$A$2:$B$45,2,0)</f>
        <v>30</v>
      </c>
      <c r="D122" s="13">
        <f>ROUND(IF('Task 2'!G122&lt;0,ABS('Task 2'!G122),0),0)</f>
        <v>0</v>
      </c>
      <c r="E122" s="7">
        <f>ROUND('Task 2'!D122*'Task 3'!C122,0)</f>
        <v>496</v>
      </c>
      <c r="F122" s="7">
        <f>VLOOKUP(B122,'Vendor -MOQ- Lead time'!$A$2:$C$45,3,0)</f>
        <v>180</v>
      </c>
      <c r="G122" s="7">
        <f t="shared" si="2"/>
        <v>540</v>
      </c>
      <c r="H122" s="7" t="s">
        <v>2</v>
      </c>
      <c r="I122" s="7" cm="1">
        <f t="array" ref="I122">_xlfn.IFS(H122="25-50%",230,H122="Top 25 %",260,H122="50-75%",200,H122="Last 25%",170,H122="Retire",150)</f>
        <v>230</v>
      </c>
      <c r="J122" s="15">
        <f t="shared" si="3"/>
        <v>124200</v>
      </c>
    </row>
    <row r="123" spans="1:10" x14ac:dyDescent="0.3">
      <c r="A123" s="7" t="s">
        <v>175</v>
      </c>
      <c r="B123" s="7" t="str">
        <f>_xlfn.XLOOKUP(A123,'Vendor code- SKU mapping'!$B$1:$B$806,'Vendor code- SKU mapping'!$A$1:$A$806)</f>
        <v>OMug</v>
      </c>
      <c r="C123" s="7">
        <f>VLOOKUP(B123,'Vendor -MOQ- Lead time'!$A$2:$B$45,2,0)</f>
        <v>45</v>
      </c>
      <c r="D123" s="13">
        <f>ROUND(IF('Task 2'!G123&lt;0,ABS('Task 2'!G123),0),0)</f>
        <v>0</v>
      </c>
      <c r="E123" s="7">
        <f>ROUND('Task 2'!D123*'Task 3'!C123,0)</f>
        <v>606</v>
      </c>
      <c r="F123" s="7">
        <f>VLOOKUP(B123,'Vendor -MOQ- Lead time'!$A$2:$C$45,3,0)</f>
        <v>270</v>
      </c>
      <c r="G123" s="7">
        <f t="shared" si="2"/>
        <v>810</v>
      </c>
      <c r="H123" s="7" t="s">
        <v>1</v>
      </c>
      <c r="I123" s="7" cm="1">
        <f t="array" ref="I123">_xlfn.IFS(H123="25-50%",230,H123="Top 25 %",260,H123="50-75%",200,H123="Last 25%",170,H123="Retire",150)</f>
        <v>200</v>
      </c>
      <c r="J123" s="15">
        <f t="shared" si="3"/>
        <v>162000</v>
      </c>
    </row>
    <row r="124" spans="1:10" x14ac:dyDescent="0.3">
      <c r="A124" s="7" t="s">
        <v>176</v>
      </c>
      <c r="B124" s="7" t="str">
        <f>_xlfn.XLOOKUP(A124,'Vendor code- SKU mapping'!$B$1:$B$806,'Vendor code- SKU mapping'!$A$1:$A$806)</f>
        <v>IVS</v>
      </c>
      <c r="C124" s="7">
        <f>VLOOKUP(B124,'Vendor -MOQ- Lead time'!$A$2:$B$45,2,0)</f>
        <v>30</v>
      </c>
      <c r="D124" s="13">
        <f>ROUND(IF('Task 2'!G124&lt;0,ABS('Task 2'!G124),0),0)</f>
        <v>0</v>
      </c>
      <c r="E124" s="7">
        <f>ROUND('Task 2'!D124*'Task 3'!C124,0)</f>
        <v>489</v>
      </c>
      <c r="F124" s="7">
        <f>VLOOKUP(B124,'Vendor -MOQ- Lead time'!$A$2:$C$45,3,0)</f>
        <v>180</v>
      </c>
      <c r="G124" s="7">
        <f t="shared" si="2"/>
        <v>540</v>
      </c>
      <c r="H124" s="7" t="s">
        <v>1</v>
      </c>
      <c r="I124" s="7" cm="1">
        <f t="array" ref="I124">_xlfn.IFS(H124="25-50%",230,H124="Top 25 %",260,H124="50-75%",200,H124="Last 25%",170,H124="Retire",150)</f>
        <v>200</v>
      </c>
      <c r="J124" s="15">
        <f t="shared" si="3"/>
        <v>108000</v>
      </c>
    </row>
    <row r="125" spans="1:10" x14ac:dyDescent="0.3">
      <c r="A125" s="7" t="s">
        <v>177</v>
      </c>
      <c r="B125" s="7" t="str">
        <f>_xlfn.XLOOKUP(A125,'Vendor code- SKU mapping'!$B$1:$B$806,'Vendor code- SKU mapping'!$A$1:$A$806)</f>
        <v>ORed</v>
      </c>
      <c r="C125" s="7">
        <f>VLOOKUP(B125,'Vendor -MOQ- Lead time'!$A$2:$B$45,2,0)</f>
        <v>30</v>
      </c>
      <c r="D125" s="13">
        <f>ROUND(IF('Task 2'!G125&lt;0,ABS('Task 2'!G125),0),0)</f>
        <v>0</v>
      </c>
      <c r="E125" s="7">
        <f>ROUND('Task 2'!D125*'Task 3'!C125,0)</f>
        <v>311</v>
      </c>
      <c r="F125" s="7">
        <f>VLOOKUP(B125,'Vendor -MOQ- Lead time'!$A$2:$C$45,3,0)</f>
        <v>180</v>
      </c>
      <c r="G125" s="7">
        <f t="shared" si="2"/>
        <v>360</v>
      </c>
      <c r="H125" s="7" t="s">
        <v>1</v>
      </c>
      <c r="I125" s="7" cm="1">
        <f t="array" ref="I125">_xlfn.IFS(H125="25-50%",230,H125="Top 25 %",260,H125="50-75%",200,H125="Last 25%",170,H125="Retire",150)</f>
        <v>200</v>
      </c>
      <c r="J125" s="15">
        <f t="shared" si="3"/>
        <v>72000</v>
      </c>
    </row>
    <row r="126" spans="1:10" x14ac:dyDescent="0.3">
      <c r="A126" s="7" t="s">
        <v>178</v>
      </c>
      <c r="B126" s="7" t="str">
        <f>_xlfn.XLOOKUP(A126,'Vendor code- SKU mapping'!$B$1:$B$806,'Vendor code- SKU mapping'!$A$1:$A$806)</f>
        <v>ISte</v>
      </c>
      <c r="C126" s="7">
        <f>VLOOKUP(B126,'Vendor -MOQ- Lead time'!$A$2:$B$45,2,0)</f>
        <v>45</v>
      </c>
      <c r="D126" s="13">
        <f>ROUND(IF('Task 2'!G126&lt;0,ABS('Task 2'!G126),0),0)</f>
        <v>0</v>
      </c>
      <c r="E126" s="7">
        <f>ROUND('Task 2'!D126*'Task 3'!C126,0)</f>
        <v>773</v>
      </c>
      <c r="F126" s="7">
        <f>VLOOKUP(B126,'Vendor -MOQ- Lead time'!$A$2:$C$45,3,0)</f>
        <v>270</v>
      </c>
      <c r="G126" s="7">
        <f t="shared" si="2"/>
        <v>810</v>
      </c>
      <c r="H126" s="7" t="s">
        <v>0</v>
      </c>
      <c r="I126" s="7" cm="1">
        <f t="array" ref="I126">_xlfn.IFS(H126="25-50%",230,H126="Top 25 %",260,H126="50-75%",200,H126="Last 25%",170,H126="Retire",150)</f>
        <v>170</v>
      </c>
      <c r="J126" s="15">
        <f t="shared" si="3"/>
        <v>137700</v>
      </c>
    </row>
    <row r="127" spans="1:10" x14ac:dyDescent="0.3">
      <c r="A127" s="7" t="s">
        <v>179</v>
      </c>
      <c r="B127" s="7" t="str">
        <f>_xlfn.XLOOKUP(A127,'Vendor code- SKU mapping'!$B$1:$B$806,'Vendor code- SKU mapping'!$A$1:$A$806)</f>
        <v>IStu</v>
      </c>
      <c r="C127" s="7">
        <f>VLOOKUP(B127,'Vendor -MOQ- Lead time'!$A$2:$B$45,2,0)</f>
        <v>30</v>
      </c>
      <c r="D127" s="13">
        <f>ROUND(IF('Task 2'!G127&lt;0,ABS('Task 2'!G127),0),0)</f>
        <v>21</v>
      </c>
      <c r="E127" s="7">
        <f>ROUND('Task 2'!D127*'Task 3'!C127,0)</f>
        <v>330</v>
      </c>
      <c r="F127" s="7">
        <f>VLOOKUP(B127,'Vendor -MOQ- Lead time'!$A$2:$C$45,3,0)</f>
        <v>180</v>
      </c>
      <c r="G127" s="7">
        <f t="shared" si="2"/>
        <v>360</v>
      </c>
      <c r="H127" s="7" t="s">
        <v>0</v>
      </c>
      <c r="I127" s="7" cm="1">
        <f t="array" ref="I127">_xlfn.IFS(H127="25-50%",230,H127="Top 25 %",260,H127="50-75%",200,H127="Last 25%",170,H127="Retire",150)</f>
        <v>170</v>
      </c>
      <c r="J127" s="15">
        <f t="shared" si="3"/>
        <v>61200</v>
      </c>
    </row>
    <row r="128" spans="1:10" x14ac:dyDescent="0.3">
      <c r="A128" s="7" t="s">
        <v>180</v>
      </c>
      <c r="B128" s="7" t="str">
        <f>_xlfn.XLOOKUP(A128,'Vendor code- SKU mapping'!$B$1:$B$806,'Vendor code- SKU mapping'!$A$1:$A$806)</f>
        <v>EIta</v>
      </c>
      <c r="C128" s="7">
        <f>VLOOKUP(B128,'Vendor -MOQ- Lead time'!$A$2:$B$45,2,0)</f>
        <v>60</v>
      </c>
      <c r="D128" s="13">
        <f>ROUND(IF('Task 2'!G128&lt;0,ABS('Task 2'!G128),0),0)</f>
        <v>358</v>
      </c>
      <c r="E128" s="7">
        <f>ROUND('Task 2'!D128*'Task 3'!C128,0)</f>
        <v>770</v>
      </c>
      <c r="F128" s="7">
        <f>VLOOKUP(B128,'Vendor -MOQ- Lead time'!$A$2:$C$45,3,0)</f>
        <v>1080</v>
      </c>
      <c r="G128" s="7">
        <f t="shared" si="2"/>
        <v>2160</v>
      </c>
      <c r="H128" s="7" t="s">
        <v>0</v>
      </c>
      <c r="I128" s="7" cm="1">
        <f t="array" ref="I128">_xlfn.IFS(H128="25-50%",230,H128="Top 25 %",260,H128="50-75%",200,H128="Last 25%",170,H128="Retire",150)</f>
        <v>170</v>
      </c>
      <c r="J128" s="15">
        <f t="shared" si="3"/>
        <v>367200</v>
      </c>
    </row>
    <row r="129" spans="1:10" x14ac:dyDescent="0.3">
      <c r="A129" s="7" t="s">
        <v>181</v>
      </c>
      <c r="B129" s="7" t="str">
        <f>_xlfn.XLOOKUP(A129,'Vendor code- SKU mapping'!$B$1:$B$806,'Vendor code- SKU mapping'!$A$1:$A$806)</f>
        <v>OOne</v>
      </c>
      <c r="C129" s="7">
        <f>VLOOKUP(B129,'Vendor -MOQ- Lead time'!$A$2:$B$45,2,0)</f>
        <v>30</v>
      </c>
      <c r="D129" s="13">
        <f>ROUND(IF('Task 2'!G129&lt;0,ABS('Task 2'!G129),0),0)</f>
        <v>0</v>
      </c>
      <c r="E129" s="7">
        <f>ROUND('Task 2'!D129*'Task 3'!C129,0)</f>
        <v>558</v>
      </c>
      <c r="F129" s="7">
        <f>VLOOKUP(B129,'Vendor -MOQ- Lead time'!$A$2:$C$45,3,0)</f>
        <v>180</v>
      </c>
      <c r="G129" s="7">
        <f t="shared" si="2"/>
        <v>720</v>
      </c>
      <c r="H129" s="7" t="s">
        <v>2</v>
      </c>
      <c r="I129" s="7" cm="1">
        <f t="array" ref="I129">_xlfn.IFS(H129="25-50%",230,H129="Top 25 %",260,H129="50-75%",200,H129="Last 25%",170,H129="Retire",150)</f>
        <v>230</v>
      </c>
      <c r="J129" s="15">
        <f t="shared" si="3"/>
        <v>165600</v>
      </c>
    </row>
    <row r="130" spans="1:10" x14ac:dyDescent="0.3">
      <c r="A130" s="7" t="s">
        <v>182</v>
      </c>
      <c r="B130" s="7" t="str">
        <f>_xlfn.XLOOKUP(A130,'Vendor code- SKU mapping'!$B$1:$B$806,'Vendor code- SKU mapping'!$A$1:$A$806)</f>
        <v>EBes</v>
      </c>
      <c r="C130" s="7">
        <f>VLOOKUP(B130,'Vendor -MOQ- Lead time'!$A$2:$B$45,2,0)</f>
        <v>45</v>
      </c>
      <c r="D130" s="13">
        <f>ROUND(IF('Task 2'!G130&lt;0,ABS('Task 2'!G130),0),0)</f>
        <v>0</v>
      </c>
      <c r="E130" s="7">
        <f>ROUND('Task 2'!D130*'Task 3'!C130,0)</f>
        <v>369</v>
      </c>
      <c r="F130" s="7">
        <f>VLOOKUP(B130,'Vendor -MOQ- Lead time'!$A$2:$C$45,3,0)</f>
        <v>270</v>
      </c>
      <c r="G130" s="7">
        <f t="shared" si="2"/>
        <v>540</v>
      </c>
      <c r="H130" s="7" t="s">
        <v>3</v>
      </c>
      <c r="I130" s="7" cm="1">
        <f t="array" ref="I130">_xlfn.IFS(H130="25-50%",230,H130="Top 25 %",260,H130="50-75%",200,H130="Last 25%",170,H130="Retire",150)</f>
        <v>150</v>
      </c>
      <c r="J130" s="15">
        <f t="shared" si="3"/>
        <v>81000</v>
      </c>
    </row>
    <row r="131" spans="1:10" x14ac:dyDescent="0.3">
      <c r="A131" s="7" t="s">
        <v>183</v>
      </c>
      <c r="B131" s="7" t="str">
        <f>_xlfn.XLOOKUP(A131,'Vendor code- SKU mapping'!$B$1:$B$806,'Vendor code- SKU mapping'!$A$1:$A$806)</f>
        <v>AAre</v>
      </c>
      <c r="C131" s="7">
        <f>VLOOKUP(B131,'Vendor -MOQ- Lead time'!$A$2:$B$45,2,0)</f>
        <v>45</v>
      </c>
      <c r="D131" s="13">
        <f>ROUND(IF('Task 2'!G131&lt;0,ABS('Task 2'!G131),0),0)</f>
        <v>346</v>
      </c>
      <c r="E131" s="7">
        <f>ROUND('Task 2'!D131*'Task 3'!C131,0)</f>
        <v>732</v>
      </c>
      <c r="F131" s="7">
        <f>VLOOKUP(B131,'Vendor -MOQ- Lead time'!$A$2:$C$45,3,0)</f>
        <v>270</v>
      </c>
      <c r="G131" s="7">
        <f t="shared" ref="G131:G194" si="4">CEILING(D131+E131,F131)</f>
        <v>1080</v>
      </c>
      <c r="H131" s="7" t="s">
        <v>4</v>
      </c>
      <c r="I131" s="7" cm="1">
        <f t="array" ref="I131">_xlfn.IFS(H131="25-50%",230,H131="Top 25 %",260,H131="50-75%",200,H131="Last 25%",170,H131="Retire",150)</f>
        <v>260</v>
      </c>
      <c r="J131" s="15">
        <f t="shared" ref="J131:J194" si="5">G131*I131</f>
        <v>280800</v>
      </c>
    </row>
    <row r="132" spans="1:10" x14ac:dyDescent="0.3">
      <c r="A132" s="7" t="s">
        <v>184</v>
      </c>
      <c r="B132" s="7" t="str">
        <f>_xlfn.XLOOKUP(A132,'Vendor code- SKU mapping'!$B$1:$B$806,'Vendor code- SKU mapping'!$A$1:$A$806)</f>
        <v>IVS</v>
      </c>
      <c r="C132" s="7">
        <f>VLOOKUP(B132,'Vendor -MOQ- Lead time'!$A$2:$B$45,2,0)</f>
        <v>30</v>
      </c>
      <c r="D132" s="13">
        <f>ROUND(IF('Task 2'!G132&lt;0,ABS('Task 2'!G132),0),0)</f>
        <v>0</v>
      </c>
      <c r="E132" s="7">
        <f>ROUND('Task 2'!D132*'Task 3'!C132,0)</f>
        <v>337</v>
      </c>
      <c r="F132" s="7">
        <f>VLOOKUP(B132,'Vendor -MOQ- Lead time'!$A$2:$C$45,3,0)</f>
        <v>180</v>
      </c>
      <c r="G132" s="7">
        <f t="shared" si="4"/>
        <v>360</v>
      </c>
      <c r="H132" s="7" t="s">
        <v>0</v>
      </c>
      <c r="I132" s="7" cm="1">
        <f t="array" ref="I132">_xlfn.IFS(H132="25-50%",230,H132="Top 25 %",260,H132="50-75%",200,H132="Last 25%",170,H132="Retire",150)</f>
        <v>170</v>
      </c>
      <c r="J132" s="15">
        <f t="shared" si="5"/>
        <v>61200</v>
      </c>
    </row>
    <row r="133" spans="1:10" x14ac:dyDescent="0.3">
      <c r="A133" s="7" t="s">
        <v>185</v>
      </c>
      <c r="B133" s="7" t="str">
        <f>_xlfn.XLOOKUP(A133,'Vendor code- SKU mapping'!$B$1:$B$806,'Vendor code- SKU mapping'!$A$1:$A$806)</f>
        <v>ISte</v>
      </c>
      <c r="C133" s="7">
        <f>VLOOKUP(B133,'Vendor -MOQ- Lead time'!$A$2:$B$45,2,0)</f>
        <v>45</v>
      </c>
      <c r="D133" s="13">
        <f>ROUND(IF('Task 2'!G133&lt;0,ABS('Task 2'!G133),0),0)</f>
        <v>0</v>
      </c>
      <c r="E133" s="7">
        <f>ROUND('Task 2'!D133*'Task 3'!C133,0)</f>
        <v>605</v>
      </c>
      <c r="F133" s="7">
        <f>VLOOKUP(B133,'Vendor -MOQ- Lead time'!$A$2:$C$45,3,0)</f>
        <v>270</v>
      </c>
      <c r="G133" s="7">
        <f t="shared" si="4"/>
        <v>810</v>
      </c>
      <c r="H133" s="7" t="s">
        <v>4</v>
      </c>
      <c r="I133" s="7" cm="1">
        <f t="array" ref="I133">_xlfn.IFS(H133="25-50%",230,H133="Top 25 %",260,H133="50-75%",200,H133="Last 25%",170,H133="Retire",150)</f>
        <v>260</v>
      </c>
      <c r="J133" s="15">
        <f t="shared" si="5"/>
        <v>210600</v>
      </c>
    </row>
    <row r="134" spans="1:10" x14ac:dyDescent="0.3">
      <c r="A134" s="7" t="s">
        <v>186</v>
      </c>
      <c r="B134" s="7" t="str">
        <f>_xlfn.XLOOKUP(A134,'Vendor code- SKU mapping'!$B$1:$B$806,'Vendor code- SKU mapping'!$A$1:$A$806)</f>
        <v>OSon</v>
      </c>
      <c r="C134" s="7">
        <f>VLOOKUP(B134,'Vendor -MOQ- Lead time'!$A$2:$B$45,2,0)</f>
        <v>30</v>
      </c>
      <c r="D134" s="13">
        <f>ROUND(IF('Task 2'!G134&lt;0,ABS('Task 2'!G134),0),0)</f>
        <v>0</v>
      </c>
      <c r="E134" s="7">
        <f>ROUND('Task 2'!D134*'Task 3'!C134,0)</f>
        <v>164</v>
      </c>
      <c r="F134" s="7">
        <f>VLOOKUP(B134,'Vendor -MOQ- Lead time'!$A$2:$C$45,3,0)</f>
        <v>180</v>
      </c>
      <c r="G134" s="7">
        <f t="shared" si="4"/>
        <v>180</v>
      </c>
      <c r="H134" s="7" t="s">
        <v>0</v>
      </c>
      <c r="I134" s="7" cm="1">
        <f t="array" ref="I134">_xlfn.IFS(H134="25-50%",230,H134="Top 25 %",260,H134="50-75%",200,H134="Last 25%",170,H134="Retire",150)</f>
        <v>170</v>
      </c>
      <c r="J134" s="15">
        <f t="shared" si="5"/>
        <v>30600</v>
      </c>
    </row>
    <row r="135" spans="1:10" x14ac:dyDescent="0.3">
      <c r="A135" s="7" t="s">
        <v>187</v>
      </c>
      <c r="B135" s="7" t="str">
        <f>_xlfn.XLOOKUP(A135,'Vendor code- SKU mapping'!$B$1:$B$806,'Vendor code- SKU mapping'!$A$1:$A$806)</f>
        <v>AAre</v>
      </c>
      <c r="C135" s="7">
        <f>VLOOKUP(B135,'Vendor -MOQ- Lead time'!$A$2:$B$45,2,0)</f>
        <v>45</v>
      </c>
      <c r="D135" s="13">
        <f>ROUND(IF('Task 2'!G135&lt;0,ABS('Task 2'!G135),0),0)</f>
        <v>307</v>
      </c>
      <c r="E135" s="7">
        <f>ROUND('Task 2'!D135*'Task 3'!C135,0)</f>
        <v>575</v>
      </c>
      <c r="F135" s="7">
        <f>VLOOKUP(B135,'Vendor -MOQ- Lead time'!$A$2:$C$45,3,0)</f>
        <v>270</v>
      </c>
      <c r="G135" s="7">
        <f t="shared" si="4"/>
        <v>1080</v>
      </c>
      <c r="H135" s="7" t="s">
        <v>4</v>
      </c>
      <c r="I135" s="7" cm="1">
        <f t="array" ref="I135">_xlfn.IFS(H135="25-50%",230,H135="Top 25 %",260,H135="50-75%",200,H135="Last 25%",170,H135="Retire",150)</f>
        <v>260</v>
      </c>
      <c r="J135" s="15">
        <f t="shared" si="5"/>
        <v>280800</v>
      </c>
    </row>
    <row r="136" spans="1:10" x14ac:dyDescent="0.3">
      <c r="A136" s="7" t="s">
        <v>188</v>
      </c>
      <c r="B136" s="7" t="str">
        <f>_xlfn.XLOOKUP(A136,'Vendor code- SKU mapping'!$B$1:$B$806,'Vendor code- SKU mapping'!$A$1:$A$806)</f>
        <v>IVS</v>
      </c>
      <c r="C136" s="7">
        <f>VLOOKUP(B136,'Vendor -MOQ- Lead time'!$A$2:$B$45,2,0)</f>
        <v>30</v>
      </c>
      <c r="D136" s="13">
        <f>ROUND(IF('Task 2'!G136&lt;0,ABS('Task 2'!G136),0),0)</f>
        <v>94</v>
      </c>
      <c r="E136" s="7">
        <f>ROUND('Task 2'!D136*'Task 3'!C136,0)</f>
        <v>253</v>
      </c>
      <c r="F136" s="7">
        <f>VLOOKUP(B136,'Vendor -MOQ- Lead time'!$A$2:$C$45,3,0)</f>
        <v>180</v>
      </c>
      <c r="G136" s="7">
        <f t="shared" si="4"/>
        <v>360</v>
      </c>
      <c r="H136" s="7" t="s">
        <v>0</v>
      </c>
      <c r="I136" s="7" cm="1">
        <f t="array" ref="I136">_xlfn.IFS(H136="25-50%",230,H136="Top 25 %",260,H136="50-75%",200,H136="Last 25%",170,H136="Retire",150)</f>
        <v>170</v>
      </c>
      <c r="J136" s="15">
        <f t="shared" si="5"/>
        <v>61200</v>
      </c>
    </row>
    <row r="137" spans="1:10" x14ac:dyDescent="0.3">
      <c r="A137" s="7" t="s">
        <v>189</v>
      </c>
      <c r="B137" s="7" t="str">
        <f>_xlfn.XLOOKUP(A137,'Vendor code- SKU mapping'!$B$1:$B$806,'Vendor code- SKU mapping'!$A$1:$A$806)</f>
        <v>OMah</v>
      </c>
      <c r="C137" s="7">
        <f>VLOOKUP(B137,'Vendor -MOQ- Lead time'!$A$2:$B$45,2,0)</f>
        <v>45</v>
      </c>
      <c r="D137" s="13">
        <f>ROUND(IF('Task 2'!G137&lt;0,ABS('Task 2'!G137),0),0)</f>
        <v>44</v>
      </c>
      <c r="E137" s="7">
        <f>ROUND('Task 2'!D137*'Task 3'!C137,0)</f>
        <v>377</v>
      </c>
      <c r="F137" s="7">
        <f>VLOOKUP(B137,'Vendor -MOQ- Lead time'!$A$2:$C$45,3,0)</f>
        <v>270</v>
      </c>
      <c r="G137" s="7">
        <f t="shared" si="4"/>
        <v>540</v>
      </c>
      <c r="H137" s="7" t="s">
        <v>0</v>
      </c>
      <c r="I137" s="7" cm="1">
        <f t="array" ref="I137">_xlfn.IFS(H137="25-50%",230,H137="Top 25 %",260,H137="50-75%",200,H137="Last 25%",170,H137="Retire",150)</f>
        <v>170</v>
      </c>
      <c r="J137" s="15">
        <f t="shared" si="5"/>
        <v>91800</v>
      </c>
    </row>
    <row r="138" spans="1:10" x14ac:dyDescent="0.3">
      <c r="A138" s="7" t="s">
        <v>190</v>
      </c>
      <c r="B138" s="7" t="str">
        <f>_xlfn.XLOOKUP(A138,'Vendor code- SKU mapping'!$B$1:$B$806,'Vendor code- SKU mapping'!$A$1:$A$806)</f>
        <v>OMah</v>
      </c>
      <c r="C138" s="7">
        <f>VLOOKUP(B138,'Vendor -MOQ- Lead time'!$A$2:$B$45,2,0)</f>
        <v>45</v>
      </c>
      <c r="D138" s="13">
        <f>ROUND(IF('Task 2'!G138&lt;0,ABS('Task 2'!G138),0),0)</f>
        <v>45</v>
      </c>
      <c r="E138" s="7">
        <f>ROUND('Task 2'!D138*'Task 3'!C138,0)</f>
        <v>261</v>
      </c>
      <c r="F138" s="7">
        <f>VLOOKUP(B138,'Vendor -MOQ- Lead time'!$A$2:$C$45,3,0)</f>
        <v>270</v>
      </c>
      <c r="G138" s="7">
        <f t="shared" si="4"/>
        <v>540</v>
      </c>
      <c r="H138" s="7" t="s">
        <v>0</v>
      </c>
      <c r="I138" s="7" cm="1">
        <f t="array" ref="I138">_xlfn.IFS(H138="25-50%",230,H138="Top 25 %",260,H138="50-75%",200,H138="Last 25%",170,H138="Retire",150)</f>
        <v>170</v>
      </c>
      <c r="J138" s="15">
        <f t="shared" si="5"/>
        <v>91800</v>
      </c>
    </row>
    <row r="139" spans="1:10" x14ac:dyDescent="0.3">
      <c r="A139" s="7" t="s">
        <v>191</v>
      </c>
      <c r="B139" s="7" t="str">
        <f>_xlfn.XLOOKUP(A139,'Vendor code- SKU mapping'!$B$1:$B$806,'Vendor code- SKU mapping'!$A$1:$A$806)</f>
        <v>OMD</v>
      </c>
      <c r="C139" s="7">
        <f>VLOOKUP(B139,'Vendor -MOQ- Lead time'!$A$2:$B$45,2,0)</f>
        <v>30</v>
      </c>
      <c r="D139" s="13">
        <f>ROUND(IF('Task 2'!G139&lt;0,ABS('Task 2'!G139),0),0)</f>
        <v>115</v>
      </c>
      <c r="E139" s="7">
        <f>ROUND('Task 2'!D139*'Task 3'!C139,0)</f>
        <v>352</v>
      </c>
      <c r="F139" s="7">
        <f>VLOOKUP(B139,'Vendor -MOQ- Lead time'!$A$2:$C$45,3,0)</f>
        <v>180</v>
      </c>
      <c r="G139" s="7">
        <f t="shared" si="4"/>
        <v>540</v>
      </c>
      <c r="H139" s="7" t="s">
        <v>0</v>
      </c>
      <c r="I139" s="7" cm="1">
        <f t="array" ref="I139">_xlfn.IFS(H139="25-50%",230,H139="Top 25 %",260,H139="50-75%",200,H139="Last 25%",170,H139="Retire",150)</f>
        <v>170</v>
      </c>
      <c r="J139" s="15">
        <f t="shared" si="5"/>
        <v>91800</v>
      </c>
    </row>
    <row r="140" spans="1:10" x14ac:dyDescent="0.3">
      <c r="A140" s="7" t="s">
        <v>192</v>
      </c>
      <c r="B140" s="7" t="str">
        <f>_xlfn.XLOOKUP(A140,'Vendor code- SKU mapping'!$B$1:$B$806,'Vendor code- SKU mapping'!$A$1:$A$806)</f>
        <v>ONex</v>
      </c>
      <c r="C140" s="7">
        <f>VLOOKUP(B140,'Vendor -MOQ- Lead time'!$A$2:$B$45,2,0)</f>
        <v>90</v>
      </c>
      <c r="D140" s="13">
        <f>ROUND(IF('Task 2'!G140&lt;0,ABS('Task 2'!G140),0),0)</f>
        <v>0</v>
      </c>
      <c r="E140" s="7">
        <f>ROUND('Task 2'!D140*'Task 3'!C140,0)</f>
        <v>477</v>
      </c>
      <c r="F140" s="7">
        <f>VLOOKUP(B140,'Vendor -MOQ- Lead time'!$A$2:$C$45,3,0)</f>
        <v>1440</v>
      </c>
      <c r="G140" s="7">
        <f t="shared" si="4"/>
        <v>1440</v>
      </c>
      <c r="H140" s="7" t="s">
        <v>0</v>
      </c>
      <c r="I140" s="7" cm="1">
        <f t="array" ref="I140">_xlfn.IFS(H140="25-50%",230,H140="Top 25 %",260,H140="50-75%",200,H140="Last 25%",170,H140="Retire",150)</f>
        <v>170</v>
      </c>
      <c r="J140" s="15">
        <f t="shared" si="5"/>
        <v>244800</v>
      </c>
    </row>
    <row r="141" spans="1:10" x14ac:dyDescent="0.3">
      <c r="A141" s="7" t="s">
        <v>193</v>
      </c>
      <c r="B141" s="7" t="str">
        <f>_xlfn.XLOOKUP(A141,'Vendor code- SKU mapping'!$B$1:$B$806,'Vendor code- SKU mapping'!$A$1:$A$806)</f>
        <v>OMah</v>
      </c>
      <c r="C141" s="7">
        <f>VLOOKUP(B141,'Vendor -MOQ- Lead time'!$A$2:$B$45,2,0)</f>
        <v>45</v>
      </c>
      <c r="D141" s="13">
        <f>ROUND(IF('Task 2'!G141&lt;0,ABS('Task 2'!G141),0),0)</f>
        <v>0</v>
      </c>
      <c r="E141" s="7">
        <f>ROUND('Task 2'!D141*'Task 3'!C141,0)</f>
        <v>509</v>
      </c>
      <c r="F141" s="7">
        <f>VLOOKUP(B141,'Vendor -MOQ- Lead time'!$A$2:$C$45,3,0)</f>
        <v>270</v>
      </c>
      <c r="G141" s="7">
        <f t="shared" si="4"/>
        <v>540</v>
      </c>
      <c r="H141" s="7" t="s">
        <v>1</v>
      </c>
      <c r="I141" s="7" cm="1">
        <f t="array" ref="I141">_xlfn.IFS(H141="25-50%",230,H141="Top 25 %",260,H141="50-75%",200,H141="Last 25%",170,H141="Retire",150)</f>
        <v>200</v>
      </c>
      <c r="J141" s="15">
        <f t="shared" si="5"/>
        <v>108000</v>
      </c>
    </row>
    <row r="142" spans="1:10" x14ac:dyDescent="0.3">
      <c r="A142" s="7" t="s">
        <v>194</v>
      </c>
      <c r="B142" s="7" t="str">
        <f>_xlfn.XLOOKUP(A142,'Vendor code- SKU mapping'!$B$1:$B$806,'Vendor code- SKU mapping'!$A$1:$A$806)</f>
        <v>ORed</v>
      </c>
      <c r="C142" s="7">
        <f>VLOOKUP(B142,'Vendor -MOQ- Lead time'!$A$2:$B$45,2,0)</f>
        <v>30</v>
      </c>
      <c r="D142" s="13">
        <f>ROUND(IF('Task 2'!G142&lt;0,ABS('Task 2'!G142),0),0)</f>
        <v>0</v>
      </c>
      <c r="E142" s="7">
        <f>ROUND('Task 2'!D142*'Task 3'!C142,0)</f>
        <v>232</v>
      </c>
      <c r="F142" s="7">
        <f>VLOOKUP(B142,'Vendor -MOQ- Lead time'!$A$2:$C$45,3,0)</f>
        <v>180</v>
      </c>
      <c r="G142" s="7">
        <f t="shared" si="4"/>
        <v>360</v>
      </c>
      <c r="H142" s="7" t="s">
        <v>1</v>
      </c>
      <c r="I142" s="7" cm="1">
        <f t="array" ref="I142">_xlfn.IFS(H142="25-50%",230,H142="Top 25 %",260,H142="50-75%",200,H142="Last 25%",170,H142="Retire",150)</f>
        <v>200</v>
      </c>
      <c r="J142" s="15">
        <f t="shared" si="5"/>
        <v>72000</v>
      </c>
    </row>
    <row r="143" spans="1:10" x14ac:dyDescent="0.3">
      <c r="A143" s="7" t="s">
        <v>195</v>
      </c>
      <c r="B143" s="7" t="str">
        <f>_xlfn.XLOOKUP(A143,'Vendor code- SKU mapping'!$B$1:$B$806,'Vendor code- SKU mapping'!$A$1:$A$806)</f>
        <v>EDaz</v>
      </c>
      <c r="C143" s="7">
        <f>VLOOKUP(B143,'Vendor -MOQ- Lead time'!$A$2:$B$45,2,0)</f>
        <v>30</v>
      </c>
      <c r="D143" s="13">
        <f>ROUND(IF('Task 2'!G143&lt;0,ABS('Task 2'!G143),0),0)</f>
        <v>71</v>
      </c>
      <c r="E143" s="7">
        <f>ROUND('Task 2'!D143*'Task 3'!C143,0)</f>
        <v>319</v>
      </c>
      <c r="F143" s="7">
        <f>VLOOKUP(B143,'Vendor -MOQ- Lead time'!$A$2:$C$45,3,0)</f>
        <v>180</v>
      </c>
      <c r="G143" s="7">
        <f t="shared" si="4"/>
        <v>540</v>
      </c>
      <c r="H143" s="7" t="s">
        <v>4</v>
      </c>
      <c r="I143" s="7" cm="1">
        <f t="array" ref="I143">_xlfn.IFS(H143="25-50%",230,H143="Top 25 %",260,H143="50-75%",200,H143="Last 25%",170,H143="Retire",150)</f>
        <v>260</v>
      </c>
      <c r="J143" s="15">
        <f t="shared" si="5"/>
        <v>140400</v>
      </c>
    </row>
    <row r="144" spans="1:10" x14ac:dyDescent="0.3">
      <c r="A144" s="7" t="s">
        <v>196</v>
      </c>
      <c r="B144" s="7" t="str">
        <f>_xlfn.XLOOKUP(A144,'Vendor code- SKU mapping'!$B$1:$B$806,'Vendor code- SKU mapping'!$A$1:$A$806)</f>
        <v>OMah</v>
      </c>
      <c r="C144" s="7">
        <f>VLOOKUP(B144,'Vendor -MOQ- Lead time'!$A$2:$B$45,2,0)</f>
        <v>45</v>
      </c>
      <c r="D144" s="13">
        <f>ROUND(IF('Task 2'!G144&lt;0,ABS('Task 2'!G144),0),0)</f>
        <v>0</v>
      </c>
      <c r="E144" s="7">
        <f>ROUND('Task 2'!D144*'Task 3'!C144,0)</f>
        <v>288</v>
      </c>
      <c r="F144" s="7">
        <f>VLOOKUP(B144,'Vendor -MOQ- Lead time'!$A$2:$C$45,3,0)</f>
        <v>270</v>
      </c>
      <c r="G144" s="7">
        <f t="shared" si="4"/>
        <v>540</v>
      </c>
      <c r="H144" s="7" t="s">
        <v>0</v>
      </c>
      <c r="I144" s="7" cm="1">
        <f t="array" ref="I144">_xlfn.IFS(H144="25-50%",230,H144="Top 25 %",260,H144="50-75%",200,H144="Last 25%",170,H144="Retire",150)</f>
        <v>170</v>
      </c>
      <c r="J144" s="15">
        <f t="shared" si="5"/>
        <v>91800</v>
      </c>
    </row>
    <row r="145" spans="1:10" x14ac:dyDescent="0.3">
      <c r="A145" s="7" t="s">
        <v>197</v>
      </c>
      <c r="B145" s="7" t="str">
        <f>_xlfn.XLOOKUP(A145,'Vendor code- SKU mapping'!$B$1:$B$806,'Vendor code- SKU mapping'!$A$1:$A$806)</f>
        <v>ISte</v>
      </c>
      <c r="C145" s="7">
        <f>VLOOKUP(B145,'Vendor -MOQ- Lead time'!$A$2:$B$45,2,0)</f>
        <v>45</v>
      </c>
      <c r="D145" s="13">
        <f>ROUND(IF('Task 2'!G145&lt;0,ABS('Task 2'!G145),0),0)</f>
        <v>0</v>
      </c>
      <c r="E145" s="7">
        <f>ROUND('Task 2'!D145*'Task 3'!C145,0)</f>
        <v>339</v>
      </c>
      <c r="F145" s="7">
        <f>VLOOKUP(B145,'Vendor -MOQ- Lead time'!$A$2:$C$45,3,0)</f>
        <v>270</v>
      </c>
      <c r="G145" s="7">
        <f t="shared" si="4"/>
        <v>540</v>
      </c>
      <c r="H145" s="7" t="s">
        <v>0</v>
      </c>
      <c r="I145" s="7" cm="1">
        <f t="array" ref="I145">_xlfn.IFS(H145="25-50%",230,H145="Top 25 %",260,H145="50-75%",200,H145="Last 25%",170,H145="Retire",150)</f>
        <v>170</v>
      </c>
      <c r="J145" s="15">
        <f t="shared" si="5"/>
        <v>91800</v>
      </c>
    </row>
    <row r="146" spans="1:10" x14ac:dyDescent="0.3">
      <c r="A146" s="7" t="s">
        <v>198</v>
      </c>
      <c r="B146" s="7" t="str">
        <f>_xlfn.XLOOKUP(A146,'Vendor code- SKU mapping'!$B$1:$B$806,'Vendor code- SKU mapping'!$A$1:$A$806)</f>
        <v>ISte</v>
      </c>
      <c r="C146" s="7">
        <f>VLOOKUP(B146,'Vendor -MOQ- Lead time'!$A$2:$B$45,2,0)</f>
        <v>45</v>
      </c>
      <c r="D146" s="13">
        <f>ROUND(IF('Task 2'!G146&lt;0,ABS('Task 2'!G146),0),0)</f>
        <v>0</v>
      </c>
      <c r="E146" s="7">
        <f>ROUND('Task 2'!D146*'Task 3'!C146,0)</f>
        <v>318</v>
      </c>
      <c r="F146" s="7">
        <f>VLOOKUP(B146,'Vendor -MOQ- Lead time'!$A$2:$C$45,3,0)</f>
        <v>270</v>
      </c>
      <c r="G146" s="7">
        <f t="shared" si="4"/>
        <v>540</v>
      </c>
      <c r="H146" s="7" t="s">
        <v>0</v>
      </c>
      <c r="I146" s="7" cm="1">
        <f t="array" ref="I146">_xlfn.IFS(H146="25-50%",230,H146="Top 25 %",260,H146="50-75%",200,H146="Last 25%",170,H146="Retire",150)</f>
        <v>170</v>
      </c>
      <c r="J146" s="15">
        <f t="shared" si="5"/>
        <v>91800</v>
      </c>
    </row>
    <row r="147" spans="1:10" x14ac:dyDescent="0.3">
      <c r="A147" s="7" t="s">
        <v>199</v>
      </c>
      <c r="B147" s="7" t="str">
        <f>_xlfn.XLOOKUP(A147,'Vendor code- SKU mapping'!$B$1:$B$806,'Vendor code- SKU mapping'!$A$1:$A$806)</f>
        <v>EFai</v>
      </c>
      <c r="C147" s="7">
        <f>VLOOKUP(B147,'Vendor -MOQ- Lead time'!$A$2:$B$45,2,0)</f>
        <v>60</v>
      </c>
      <c r="D147" s="13">
        <f>ROUND(IF('Task 2'!G147&lt;0,ABS('Task 2'!G147),0),0)</f>
        <v>0</v>
      </c>
      <c r="E147" s="7">
        <f>ROUND('Task 2'!D147*'Task 3'!C147,0)</f>
        <v>486</v>
      </c>
      <c r="F147" s="7">
        <f>VLOOKUP(B147,'Vendor -MOQ- Lead time'!$A$2:$C$45,3,0)</f>
        <v>1080</v>
      </c>
      <c r="G147" s="7">
        <f t="shared" si="4"/>
        <v>1080</v>
      </c>
      <c r="H147" s="7" t="s">
        <v>0</v>
      </c>
      <c r="I147" s="7" cm="1">
        <f t="array" ref="I147">_xlfn.IFS(H147="25-50%",230,H147="Top 25 %",260,H147="50-75%",200,H147="Last 25%",170,H147="Retire",150)</f>
        <v>170</v>
      </c>
      <c r="J147" s="15">
        <f t="shared" si="5"/>
        <v>183600</v>
      </c>
    </row>
    <row r="148" spans="1:10" x14ac:dyDescent="0.3">
      <c r="A148" s="7" t="s">
        <v>200</v>
      </c>
      <c r="B148" s="7" t="str">
        <f>_xlfn.XLOOKUP(A148,'Vendor code- SKU mapping'!$B$1:$B$806,'Vendor code- SKU mapping'!$A$1:$A$806)</f>
        <v>ISV</v>
      </c>
      <c r="C148" s="7">
        <f>VLOOKUP(B148,'Vendor -MOQ- Lead time'!$A$2:$B$45,2,0)</f>
        <v>45</v>
      </c>
      <c r="D148" s="13">
        <f>ROUND(IF('Task 2'!G148&lt;0,ABS('Task 2'!G148),0),0)</f>
        <v>0</v>
      </c>
      <c r="E148" s="7">
        <f>ROUND('Task 2'!D148*'Task 3'!C148,0)</f>
        <v>336</v>
      </c>
      <c r="F148" s="7">
        <f>VLOOKUP(B148,'Vendor -MOQ- Lead time'!$A$2:$C$45,3,0)</f>
        <v>270</v>
      </c>
      <c r="G148" s="7">
        <f t="shared" si="4"/>
        <v>540</v>
      </c>
      <c r="H148" s="7" t="s">
        <v>0</v>
      </c>
      <c r="I148" s="7" cm="1">
        <f t="array" ref="I148">_xlfn.IFS(H148="25-50%",230,H148="Top 25 %",260,H148="50-75%",200,H148="Last 25%",170,H148="Retire",150)</f>
        <v>170</v>
      </c>
      <c r="J148" s="15">
        <f t="shared" si="5"/>
        <v>91800</v>
      </c>
    </row>
    <row r="149" spans="1:10" x14ac:dyDescent="0.3">
      <c r="A149" s="7" t="s">
        <v>201</v>
      </c>
      <c r="B149" s="7" t="str">
        <f>_xlfn.XLOOKUP(A149,'Vendor code- SKU mapping'!$B$1:$B$806,'Vendor code- SKU mapping'!$A$1:$A$806)</f>
        <v>OMah</v>
      </c>
      <c r="C149" s="7">
        <f>VLOOKUP(B149,'Vendor -MOQ- Lead time'!$A$2:$B$45,2,0)</f>
        <v>45</v>
      </c>
      <c r="D149" s="13">
        <f>ROUND(IF('Task 2'!G149&lt;0,ABS('Task 2'!G149),0),0)</f>
        <v>221</v>
      </c>
      <c r="E149" s="7">
        <f>ROUND('Task 2'!D149*'Task 3'!C149,0)</f>
        <v>402</v>
      </c>
      <c r="F149" s="7">
        <f>VLOOKUP(B149,'Vendor -MOQ- Lead time'!$A$2:$C$45,3,0)</f>
        <v>270</v>
      </c>
      <c r="G149" s="7">
        <f t="shared" si="4"/>
        <v>810</v>
      </c>
      <c r="H149" s="7" t="s">
        <v>4</v>
      </c>
      <c r="I149" s="7" cm="1">
        <f t="array" ref="I149">_xlfn.IFS(H149="25-50%",230,H149="Top 25 %",260,H149="50-75%",200,H149="Last 25%",170,H149="Retire",150)</f>
        <v>260</v>
      </c>
      <c r="J149" s="15">
        <f t="shared" si="5"/>
        <v>210600</v>
      </c>
    </row>
    <row r="150" spans="1:10" x14ac:dyDescent="0.3">
      <c r="A150" s="7" t="s">
        <v>202</v>
      </c>
      <c r="B150" s="7" t="str">
        <f>_xlfn.XLOOKUP(A150,'Vendor code- SKU mapping'!$B$1:$B$806,'Vendor code- SKU mapping'!$A$1:$A$806)</f>
        <v>ISte</v>
      </c>
      <c r="C150" s="7">
        <f>VLOOKUP(B150,'Vendor -MOQ- Lead time'!$A$2:$B$45,2,0)</f>
        <v>45</v>
      </c>
      <c r="D150" s="13">
        <f>ROUND(IF('Task 2'!G150&lt;0,ABS('Task 2'!G150),0),0)</f>
        <v>0</v>
      </c>
      <c r="E150" s="7">
        <f>ROUND('Task 2'!D150*'Task 3'!C150,0)</f>
        <v>396</v>
      </c>
      <c r="F150" s="7">
        <f>VLOOKUP(B150,'Vendor -MOQ- Lead time'!$A$2:$C$45,3,0)</f>
        <v>270</v>
      </c>
      <c r="G150" s="7">
        <f t="shared" si="4"/>
        <v>540</v>
      </c>
      <c r="H150" s="7" t="s">
        <v>0</v>
      </c>
      <c r="I150" s="7" cm="1">
        <f t="array" ref="I150">_xlfn.IFS(H150="25-50%",230,H150="Top 25 %",260,H150="50-75%",200,H150="Last 25%",170,H150="Retire",150)</f>
        <v>170</v>
      </c>
      <c r="J150" s="15">
        <f t="shared" si="5"/>
        <v>91800</v>
      </c>
    </row>
    <row r="151" spans="1:10" x14ac:dyDescent="0.3">
      <c r="A151" s="7" t="s">
        <v>203</v>
      </c>
      <c r="B151" s="7" t="str">
        <f>_xlfn.XLOOKUP(A151,'Vendor code- SKU mapping'!$B$1:$B$806,'Vendor code- SKU mapping'!$A$1:$A$806)</f>
        <v>OMah</v>
      </c>
      <c r="C151" s="7">
        <f>VLOOKUP(B151,'Vendor -MOQ- Lead time'!$A$2:$B$45,2,0)</f>
        <v>45</v>
      </c>
      <c r="D151" s="13">
        <f>ROUND(IF('Task 2'!G151&lt;0,ABS('Task 2'!G151),0),0)</f>
        <v>10</v>
      </c>
      <c r="E151" s="7">
        <f>ROUND('Task 2'!D151*'Task 3'!C151,0)</f>
        <v>357</v>
      </c>
      <c r="F151" s="7">
        <f>VLOOKUP(B151,'Vendor -MOQ- Lead time'!$A$2:$C$45,3,0)</f>
        <v>270</v>
      </c>
      <c r="G151" s="7">
        <f t="shared" si="4"/>
        <v>540</v>
      </c>
      <c r="H151" s="7" t="s">
        <v>0</v>
      </c>
      <c r="I151" s="7" cm="1">
        <f t="array" ref="I151">_xlfn.IFS(H151="25-50%",230,H151="Top 25 %",260,H151="50-75%",200,H151="Last 25%",170,H151="Retire",150)</f>
        <v>170</v>
      </c>
      <c r="J151" s="15">
        <f t="shared" si="5"/>
        <v>91800</v>
      </c>
    </row>
    <row r="152" spans="1:10" x14ac:dyDescent="0.3">
      <c r="A152" s="7" t="s">
        <v>204</v>
      </c>
      <c r="B152" s="7" t="str">
        <f>_xlfn.XLOOKUP(A152,'Vendor code- SKU mapping'!$B$1:$B$806,'Vendor code- SKU mapping'!$A$1:$A$806)</f>
        <v>EIta</v>
      </c>
      <c r="C152" s="7">
        <f>VLOOKUP(B152,'Vendor -MOQ- Lead time'!$A$2:$B$45,2,0)</f>
        <v>60</v>
      </c>
      <c r="D152" s="13">
        <f>ROUND(IF('Task 2'!G152&lt;0,ABS('Task 2'!G152),0),0)</f>
        <v>634</v>
      </c>
      <c r="E152" s="7">
        <f>ROUND('Task 2'!D152*'Task 3'!C152,0)</f>
        <v>1310</v>
      </c>
      <c r="F152" s="7">
        <f>VLOOKUP(B152,'Vendor -MOQ- Lead time'!$A$2:$C$45,3,0)</f>
        <v>1080</v>
      </c>
      <c r="G152" s="7">
        <f t="shared" si="4"/>
        <v>2160</v>
      </c>
      <c r="H152" s="7" t="s">
        <v>0</v>
      </c>
      <c r="I152" s="7" cm="1">
        <f t="array" ref="I152">_xlfn.IFS(H152="25-50%",230,H152="Top 25 %",260,H152="50-75%",200,H152="Last 25%",170,H152="Retire",150)</f>
        <v>170</v>
      </c>
      <c r="J152" s="15">
        <f t="shared" si="5"/>
        <v>367200</v>
      </c>
    </row>
    <row r="153" spans="1:10" x14ac:dyDescent="0.3">
      <c r="A153" s="7" t="s">
        <v>205</v>
      </c>
      <c r="B153" s="7" t="str">
        <f>_xlfn.XLOOKUP(A153,'Vendor code- SKU mapping'!$B$1:$B$806,'Vendor code- SKU mapping'!$A$1:$A$806)</f>
        <v>EBes</v>
      </c>
      <c r="C153" s="7">
        <f>VLOOKUP(B153,'Vendor -MOQ- Lead time'!$A$2:$B$45,2,0)</f>
        <v>45</v>
      </c>
      <c r="D153" s="13">
        <f>ROUND(IF('Task 2'!G153&lt;0,ABS('Task 2'!G153),0),0)</f>
        <v>0</v>
      </c>
      <c r="E153" s="7">
        <f>ROUND('Task 2'!D153*'Task 3'!C153,0)</f>
        <v>294</v>
      </c>
      <c r="F153" s="7">
        <f>VLOOKUP(B153,'Vendor -MOQ- Lead time'!$A$2:$C$45,3,0)</f>
        <v>270</v>
      </c>
      <c r="G153" s="7">
        <f t="shared" si="4"/>
        <v>540</v>
      </c>
      <c r="H153" s="7" t="s">
        <v>3</v>
      </c>
      <c r="I153" s="7" cm="1">
        <f t="array" ref="I153">_xlfn.IFS(H153="25-50%",230,H153="Top 25 %",260,H153="50-75%",200,H153="Last 25%",170,H153="Retire",150)</f>
        <v>150</v>
      </c>
      <c r="J153" s="15">
        <f t="shared" si="5"/>
        <v>81000</v>
      </c>
    </row>
    <row r="154" spans="1:10" x14ac:dyDescent="0.3">
      <c r="A154" s="7" t="s">
        <v>206</v>
      </c>
      <c r="B154" s="7" t="str">
        <f>_xlfn.XLOOKUP(A154,'Vendor code- SKU mapping'!$B$1:$B$806,'Vendor code- SKU mapping'!$A$1:$A$806)</f>
        <v>OMah</v>
      </c>
      <c r="C154" s="7">
        <f>VLOOKUP(B154,'Vendor -MOQ- Lead time'!$A$2:$B$45,2,0)</f>
        <v>45</v>
      </c>
      <c r="D154" s="13">
        <f>ROUND(IF('Task 2'!G154&lt;0,ABS('Task 2'!G154),0),0)</f>
        <v>13</v>
      </c>
      <c r="E154" s="7">
        <f>ROUND('Task 2'!D154*'Task 3'!C154,0)</f>
        <v>596</v>
      </c>
      <c r="F154" s="7">
        <f>VLOOKUP(B154,'Vendor -MOQ- Lead time'!$A$2:$C$45,3,0)</f>
        <v>270</v>
      </c>
      <c r="G154" s="7">
        <f t="shared" si="4"/>
        <v>810</v>
      </c>
      <c r="H154" s="7" t="s">
        <v>1</v>
      </c>
      <c r="I154" s="7" cm="1">
        <f t="array" ref="I154">_xlfn.IFS(H154="25-50%",230,H154="Top 25 %",260,H154="50-75%",200,H154="Last 25%",170,H154="Retire",150)</f>
        <v>200</v>
      </c>
      <c r="J154" s="15">
        <f t="shared" si="5"/>
        <v>162000</v>
      </c>
    </row>
    <row r="155" spans="1:10" x14ac:dyDescent="0.3">
      <c r="A155" s="7" t="s">
        <v>207</v>
      </c>
      <c r="B155" s="7" t="str">
        <f>_xlfn.XLOOKUP(A155,'Vendor code- SKU mapping'!$B$1:$B$806,'Vendor code- SKU mapping'!$A$1:$A$806)</f>
        <v>IZoo</v>
      </c>
      <c r="C155" s="7">
        <f>VLOOKUP(B155,'Vendor -MOQ- Lead time'!$A$2:$B$45,2,0)</f>
        <v>90</v>
      </c>
      <c r="D155" s="13">
        <f>ROUND(IF('Task 2'!G155&lt;0,ABS('Task 2'!G155),0),0)</f>
        <v>0</v>
      </c>
      <c r="E155" s="7">
        <f>ROUND('Task 2'!D155*'Task 3'!C155,0)</f>
        <v>600</v>
      </c>
      <c r="F155" s="7">
        <f>VLOOKUP(B155,'Vendor -MOQ- Lead time'!$A$2:$C$45,3,0)</f>
        <v>2880</v>
      </c>
      <c r="G155" s="7">
        <f t="shared" si="4"/>
        <v>2880</v>
      </c>
      <c r="H155" s="7" t="s">
        <v>1</v>
      </c>
      <c r="I155" s="7" cm="1">
        <f t="array" ref="I155">_xlfn.IFS(H155="25-50%",230,H155="Top 25 %",260,H155="50-75%",200,H155="Last 25%",170,H155="Retire",150)</f>
        <v>200</v>
      </c>
      <c r="J155" s="15">
        <f t="shared" si="5"/>
        <v>576000</v>
      </c>
    </row>
    <row r="156" spans="1:10" x14ac:dyDescent="0.3">
      <c r="A156" s="7" t="s">
        <v>208</v>
      </c>
      <c r="B156" s="7" t="str">
        <f>_xlfn.XLOOKUP(A156,'Vendor code- SKU mapping'!$B$1:$B$806,'Vendor code- SKU mapping'!$A$1:$A$806)</f>
        <v>OMah</v>
      </c>
      <c r="C156" s="7">
        <f>VLOOKUP(B156,'Vendor -MOQ- Lead time'!$A$2:$B$45,2,0)</f>
        <v>45</v>
      </c>
      <c r="D156" s="13">
        <f>ROUND(IF('Task 2'!G156&lt;0,ABS('Task 2'!G156),0),0)</f>
        <v>0</v>
      </c>
      <c r="E156" s="7">
        <f>ROUND('Task 2'!D156*'Task 3'!C156,0)</f>
        <v>309</v>
      </c>
      <c r="F156" s="7">
        <f>VLOOKUP(B156,'Vendor -MOQ- Lead time'!$A$2:$C$45,3,0)</f>
        <v>270</v>
      </c>
      <c r="G156" s="7">
        <f t="shared" si="4"/>
        <v>540</v>
      </c>
      <c r="H156" s="7" t="s">
        <v>1</v>
      </c>
      <c r="I156" s="7" cm="1">
        <f t="array" ref="I156">_xlfn.IFS(H156="25-50%",230,H156="Top 25 %",260,H156="50-75%",200,H156="Last 25%",170,H156="Retire",150)</f>
        <v>200</v>
      </c>
      <c r="J156" s="15">
        <f t="shared" si="5"/>
        <v>108000</v>
      </c>
    </row>
    <row r="157" spans="1:10" x14ac:dyDescent="0.3">
      <c r="A157" s="7" t="s">
        <v>209</v>
      </c>
      <c r="B157" s="7" t="str">
        <f>_xlfn.XLOOKUP(A157,'Vendor code- SKU mapping'!$B$1:$B$806,'Vendor code- SKU mapping'!$A$1:$A$806)</f>
        <v>OMug</v>
      </c>
      <c r="C157" s="7">
        <f>VLOOKUP(B157,'Vendor -MOQ- Lead time'!$A$2:$B$45,2,0)</f>
        <v>45</v>
      </c>
      <c r="D157" s="13">
        <f>ROUND(IF('Task 2'!G157&lt;0,ABS('Task 2'!G157),0),0)</f>
        <v>196</v>
      </c>
      <c r="E157" s="7">
        <f>ROUND('Task 2'!D157*'Task 3'!C157,0)</f>
        <v>371</v>
      </c>
      <c r="F157" s="7">
        <f>VLOOKUP(B157,'Vendor -MOQ- Lead time'!$A$2:$C$45,3,0)</f>
        <v>270</v>
      </c>
      <c r="G157" s="7">
        <f t="shared" si="4"/>
        <v>810</v>
      </c>
      <c r="H157" s="7" t="s">
        <v>0</v>
      </c>
      <c r="I157" s="7" cm="1">
        <f t="array" ref="I157">_xlfn.IFS(H157="25-50%",230,H157="Top 25 %",260,H157="50-75%",200,H157="Last 25%",170,H157="Retire",150)</f>
        <v>170</v>
      </c>
      <c r="J157" s="15">
        <f t="shared" si="5"/>
        <v>137700</v>
      </c>
    </row>
    <row r="158" spans="1:10" x14ac:dyDescent="0.3">
      <c r="A158" s="7" t="s">
        <v>210</v>
      </c>
      <c r="B158" s="7" t="str">
        <f>_xlfn.XLOOKUP(A158,'Vendor code- SKU mapping'!$B$1:$B$806,'Vendor code- SKU mapping'!$A$1:$A$806)</f>
        <v>OSha</v>
      </c>
      <c r="C158" s="7">
        <f>VLOOKUP(B158,'Vendor -MOQ- Lead time'!$A$2:$B$45,2,0)</f>
        <v>45</v>
      </c>
      <c r="D158" s="13">
        <f>ROUND(IF('Task 2'!G158&lt;0,ABS('Task 2'!G158),0),0)</f>
        <v>58</v>
      </c>
      <c r="E158" s="7">
        <f>ROUND('Task 2'!D158*'Task 3'!C158,0)</f>
        <v>240</v>
      </c>
      <c r="F158" s="7">
        <f>VLOOKUP(B158,'Vendor -MOQ- Lead time'!$A$2:$C$45,3,0)</f>
        <v>270</v>
      </c>
      <c r="G158" s="7">
        <f t="shared" si="4"/>
        <v>540</v>
      </c>
      <c r="H158" s="7" t="s">
        <v>0</v>
      </c>
      <c r="I158" s="7" cm="1">
        <f t="array" ref="I158">_xlfn.IFS(H158="25-50%",230,H158="Top 25 %",260,H158="50-75%",200,H158="Last 25%",170,H158="Retire",150)</f>
        <v>170</v>
      </c>
      <c r="J158" s="15">
        <f t="shared" si="5"/>
        <v>91800</v>
      </c>
    </row>
    <row r="159" spans="1:10" x14ac:dyDescent="0.3">
      <c r="A159" s="7" t="s">
        <v>211</v>
      </c>
      <c r="B159" s="7" t="str">
        <f>_xlfn.XLOOKUP(A159,'Vendor code- SKU mapping'!$B$1:$B$806,'Vendor code- SKU mapping'!$A$1:$A$806)</f>
        <v>ONex</v>
      </c>
      <c r="C159" s="7">
        <f>VLOOKUP(B159,'Vendor -MOQ- Lead time'!$A$2:$B$45,2,0)</f>
        <v>90</v>
      </c>
      <c r="D159" s="13">
        <f>ROUND(IF('Task 2'!G159&lt;0,ABS('Task 2'!G159),0),0)</f>
        <v>0</v>
      </c>
      <c r="E159" s="7">
        <f>ROUND('Task 2'!D159*'Task 3'!C159,0)</f>
        <v>399</v>
      </c>
      <c r="F159" s="7">
        <f>VLOOKUP(B159,'Vendor -MOQ- Lead time'!$A$2:$C$45,3,0)</f>
        <v>1440</v>
      </c>
      <c r="G159" s="7">
        <f t="shared" si="4"/>
        <v>1440</v>
      </c>
      <c r="H159" s="7" t="s">
        <v>0</v>
      </c>
      <c r="I159" s="7" cm="1">
        <f t="array" ref="I159">_xlfn.IFS(H159="25-50%",230,H159="Top 25 %",260,H159="50-75%",200,H159="Last 25%",170,H159="Retire",150)</f>
        <v>170</v>
      </c>
      <c r="J159" s="15">
        <f t="shared" si="5"/>
        <v>244800</v>
      </c>
    </row>
    <row r="160" spans="1:10" x14ac:dyDescent="0.3">
      <c r="A160" s="7" t="s">
        <v>212</v>
      </c>
      <c r="B160" s="7" t="str">
        <f>_xlfn.XLOOKUP(A160,'Vendor code- SKU mapping'!$B$1:$B$806,'Vendor code- SKU mapping'!$A$1:$A$806)</f>
        <v>OMug</v>
      </c>
      <c r="C160" s="7">
        <f>VLOOKUP(B160,'Vendor -MOQ- Lead time'!$A$2:$B$45,2,0)</f>
        <v>45</v>
      </c>
      <c r="D160" s="13">
        <f>ROUND(IF('Task 2'!G160&lt;0,ABS('Task 2'!G160),0),0)</f>
        <v>0</v>
      </c>
      <c r="E160" s="7">
        <f>ROUND('Task 2'!D160*'Task 3'!C160,0)</f>
        <v>492</v>
      </c>
      <c r="F160" s="7">
        <f>VLOOKUP(B160,'Vendor -MOQ- Lead time'!$A$2:$C$45,3,0)</f>
        <v>270</v>
      </c>
      <c r="G160" s="7">
        <f t="shared" si="4"/>
        <v>540</v>
      </c>
      <c r="H160" s="7" t="s">
        <v>1</v>
      </c>
      <c r="I160" s="7" cm="1">
        <f t="array" ref="I160">_xlfn.IFS(H160="25-50%",230,H160="Top 25 %",260,H160="50-75%",200,H160="Last 25%",170,H160="Retire",150)</f>
        <v>200</v>
      </c>
      <c r="J160" s="15">
        <f t="shared" si="5"/>
        <v>108000</v>
      </c>
    </row>
    <row r="161" spans="1:10" x14ac:dyDescent="0.3">
      <c r="A161" s="7" t="s">
        <v>213</v>
      </c>
      <c r="B161" s="7" t="str">
        <f>_xlfn.XLOOKUP(A161,'Vendor code- SKU mapping'!$B$1:$B$806,'Vendor code- SKU mapping'!$A$1:$A$806)</f>
        <v>IZoo</v>
      </c>
      <c r="C161" s="7">
        <f>VLOOKUP(B161,'Vendor -MOQ- Lead time'!$A$2:$B$45,2,0)</f>
        <v>90</v>
      </c>
      <c r="D161" s="13">
        <f>ROUND(IF('Task 2'!G161&lt;0,ABS('Task 2'!G161),0),0)</f>
        <v>0</v>
      </c>
      <c r="E161" s="7">
        <f>ROUND('Task 2'!D161*'Task 3'!C161,0)</f>
        <v>513</v>
      </c>
      <c r="F161" s="7">
        <f>VLOOKUP(B161,'Vendor -MOQ- Lead time'!$A$2:$C$45,3,0)</f>
        <v>2880</v>
      </c>
      <c r="G161" s="7">
        <f t="shared" si="4"/>
        <v>2880</v>
      </c>
      <c r="H161" s="7" t="s">
        <v>1</v>
      </c>
      <c r="I161" s="7" cm="1">
        <f t="array" ref="I161">_xlfn.IFS(H161="25-50%",230,H161="Top 25 %",260,H161="50-75%",200,H161="Last 25%",170,H161="Retire",150)</f>
        <v>200</v>
      </c>
      <c r="J161" s="15">
        <f t="shared" si="5"/>
        <v>576000</v>
      </c>
    </row>
    <row r="162" spans="1:10" x14ac:dyDescent="0.3">
      <c r="A162" s="7" t="s">
        <v>214</v>
      </c>
      <c r="B162" s="7" t="str">
        <f>_xlfn.XLOOKUP(A162,'Vendor code- SKU mapping'!$B$1:$B$806,'Vendor code- SKU mapping'!$A$1:$A$806)</f>
        <v>OSha</v>
      </c>
      <c r="C162" s="7">
        <f>VLOOKUP(B162,'Vendor -MOQ- Lead time'!$A$2:$B$45,2,0)</f>
        <v>45</v>
      </c>
      <c r="D162" s="13">
        <f>ROUND(IF('Task 2'!G162&lt;0,ABS('Task 2'!G162),0),0)</f>
        <v>0</v>
      </c>
      <c r="E162" s="7">
        <f>ROUND('Task 2'!D162*'Task 3'!C162,0)</f>
        <v>357</v>
      </c>
      <c r="F162" s="7">
        <f>VLOOKUP(B162,'Vendor -MOQ- Lead time'!$A$2:$C$45,3,0)</f>
        <v>270</v>
      </c>
      <c r="G162" s="7">
        <f t="shared" si="4"/>
        <v>540</v>
      </c>
      <c r="H162" s="7" t="s">
        <v>0</v>
      </c>
      <c r="I162" s="7" cm="1">
        <f t="array" ref="I162">_xlfn.IFS(H162="25-50%",230,H162="Top 25 %",260,H162="50-75%",200,H162="Last 25%",170,H162="Retire",150)</f>
        <v>170</v>
      </c>
      <c r="J162" s="15">
        <f t="shared" si="5"/>
        <v>91800</v>
      </c>
    </row>
    <row r="163" spans="1:10" x14ac:dyDescent="0.3">
      <c r="A163" s="7" t="s">
        <v>215</v>
      </c>
      <c r="B163" s="7" t="str">
        <f>_xlfn.XLOOKUP(A163,'Vendor code- SKU mapping'!$B$1:$B$806,'Vendor code- SKU mapping'!$A$1:$A$806)</f>
        <v>OMah</v>
      </c>
      <c r="C163" s="7">
        <f>VLOOKUP(B163,'Vendor -MOQ- Lead time'!$A$2:$B$45,2,0)</f>
        <v>45</v>
      </c>
      <c r="D163" s="13">
        <f>ROUND(IF('Task 2'!G163&lt;0,ABS('Task 2'!G163),0),0)</f>
        <v>0</v>
      </c>
      <c r="E163" s="7">
        <f>ROUND('Task 2'!D163*'Task 3'!C163,0)</f>
        <v>482</v>
      </c>
      <c r="F163" s="7">
        <f>VLOOKUP(B163,'Vendor -MOQ- Lead time'!$A$2:$C$45,3,0)</f>
        <v>270</v>
      </c>
      <c r="G163" s="7">
        <f t="shared" si="4"/>
        <v>540</v>
      </c>
      <c r="H163" s="7" t="s">
        <v>2</v>
      </c>
      <c r="I163" s="7" cm="1">
        <f t="array" ref="I163">_xlfn.IFS(H163="25-50%",230,H163="Top 25 %",260,H163="50-75%",200,H163="Last 25%",170,H163="Retire",150)</f>
        <v>230</v>
      </c>
      <c r="J163" s="15">
        <f t="shared" si="5"/>
        <v>124200</v>
      </c>
    </row>
    <row r="164" spans="1:10" x14ac:dyDescent="0.3">
      <c r="A164" s="7" t="s">
        <v>216</v>
      </c>
      <c r="B164" s="7" t="str">
        <f>_xlfn.XLOOKUP(A164,'Vendor code- SKU mapping'!$B$1:$B$806,'Vendor code- SKU mapping'!$A$1:$A$806)</f>
        <v>IStu</v>
      </c>
      <c r="C164" s="7">
        <f>VLOOKUP(B164,'Vendor -MOQ- Lead time'!$A$2:$B$45,2,0)</f>
        <v>30</v>
      </c>
      <c r="D164" s="13">
        <f>ROUND(IF('Task 2'!G164&lt;0,ABS('Task 2'!G164),0),0)</f>
        <v>47</v>
      </c>
      <c r="E164" s="7">
        <f>ROUND('Task 2'!D164*'Task 3'!C164,0)</f>
        <v>83</v>
      </c>
      <c r="F164" s="7">
        <f>VLOOKUP(B164,'Vendor -MOQ- Lead time'!$A$2:$C$45,3,0)</f>
        <v>180</v>
      </c>
      <c r="G164" s="7">
        <f t="shared" si="4"/>
        <v>180</v>
      </c>
      <c r="H164" s="7" t="s">
        <v>0</v>
      </c>
      <c r="I164" s="7" cm="1">
        <f t="array" ref="I164">_xlfn.IFS(H164="25-50%",230,H164="Top 25 %",260,H164="50-75%",200,H164="Last 25%",170,H164="Retire",150)</f>
        <v>170</v>
      </c>
      <c r="J164" s="15">
        <f t="shared" si="5"/>
        <v>30600</v>
      </c>
    </row>
    <row r="165" spans="1:10" x14ac:dyDescent="0.3">
      <c r="A165" s="7" t="s">
        <v>217</v>
      </c>
      <c r="B165" s="7" t="str">
        <f>_xlfn.XLOOKUP(A165,'Vendor code- SKU mapping'!$B$1:$B$806,'Vendor code- SKU mapping'!$A$1:$A$806)</f>
        <v>OMah</v>
      </c>
      <c r="C165" s="7">
        <f>VLOOKUP(B165,'Vendor -MOQ- Lead time'!$A$2:$B$45,2,0)</f>
        <v>45</v>
      </c>
      <c r="D165" s="13">
        <f>ROUND(IF('Task 2'!G165&lt;0,ABS('Task 2'!G165),0),0)</f>
        <v>1</v>
      </c>
      <c r="E165" s="7">
        <f>ROUND('Task 2'!D165*'Task 3'!C165,0)</f>
        <v>245</v>
      </c>
      <c r="F165" s="7">
        <f>VLOOKUP(B165,'Vendor -MOQ- Lead time'!$A$2:$C$45,3,0)</f>
        <v>270</v>
      </c>
      <c r="G165" s="7">
        <f t="shared" si="4"/>
        <v>270</v>
      </c>
      <c r="H165" s="7" t="s">
        <v>0</v>
      </c>
      <c r="I165" s="7" cm="1">
        <f t="array" ref="I165">_xlfn.IFS(H165="25-50%",230,H165="Top 25 %",260,H165="50-75%",200,H165="Last 25%",170,H165="Retire",150)</f>
        <v>170</v>
      </c>
      <c r="J165" s="15">
        <f t="shared" si="5"/>
        <v>45900</v>
      </c>
    </row>
    <row r="166" spans="1:10" x14ac:dyDescent="0.3">
      <c r="A166" s="7" t="s">
        <v>218</v>
      </c>
      <c r="B166" s="7" t="str">
        <f>_xlfn.XLOOKUP(A166,'Vendor code- SKU mapping'!$B$1:$B$806,'Vendor code- SKU mapping'!$A$1:$A$806)</f>
        <v>OOne</v>
      </c>
      <c r="C166" s="7">
        <f>VLOOKUP(B166,'Vendor -MOQ- Lead time'!$A$2:$B$45,2,0)</f>
        <v>30</v>
      </c>
      <c r="D166" s="13">
        <f>ROUND(IF('Task 2'!G166&lt;0,ABS('Task 2'!G166),0),0)</f>
        <v>273</v>
      </c>
      <c r="E166" s="7">
        <f>ROUND('Task 2'!D166*'Task 3'!C166,0)</f>
        <v>244</v>
      </c>
      <c r="F166" s="7">
        <f>VLOOKUP(B166,'Vendor -MOQ- Lead time'!$A$2:$C$45,3,0)</f>
        <v>180</v>
      </c>
      <c r="G166" s="7">
        <f t="shared" si="4"/>
        <v>540</v>
      </c>
      <c r="H166" s="7" t="s">
        <v>2</v>
      </c>
      <c r="I166" s="7" cm="1">
        <f t="array" ref="I166">_xlfn.IFS(H166="25-50%",230,H166="Top 25 %",260,H166="50-75%",200,H166="Last 25%",170,H166="Retire",150)</f>
        <v>230</v>
      </c>
      <c r="J166" s="15">
        <f t="shared" si="5"/>
        <v>124200</v>
      </c>
    </row>
    <row r="167" spans="1:10" x14ac:dyDescent="0.3">
      <c r="A167" s="7" t="s">
        <v>219</v>
      </c>
      <c r="B167" s="7" t="str">
        <f>_xlfn.XLOOKUP(A167,'Vendor code- SKU mapping'!$B$1:$B$806,'Vendor code- SKU mapping'!$A$1:$A$806)</f>
        <v>IVS</v>
      </c>
      <c r="C167" s="7">
        <f>VLOOKUP(B167,'Vendor -MOQ- Lead time'!$A$2:$B$45,2,0)</f>
        <v>30</v>
      </c>
      <c r="D167" s="13">
        <f>ROUND(IF('Task 2'!G167&lt;0,ABS('Task 2'!G167),0),0)</f>
        <v>0</v>
      </c>
      <c r="E167" s="7">
        <f>ROUND('Task 2'!D167*'Task 3'!C167,0)</f>
        <v>265</v>
      </c>
      <c r="F167" s="7">
        <f>VLOOKUP(B167,'Vendor -MOQ- Lead time'!$A$2:$C$45,3,0)</f>
        <v>180</v>
      </c>
      <c r="G167" s="7">
        <f t="shared" si="4"/>
        <v>360</v>
      </c>
      <c r="H167" s="7" t="s">
        <v>2</v>
      </c>
      <c r="I167" s="7" cm="1">
        <f t="array" ref="I167">_xlfn.IFS(H167="25-50%",230,H167="Top 25 %",260,H167="50-75%",200,H167="Last 25%",170,H167="Retire",150)</f>
        <v>230</v>
      </c>
      <c r="J167" s="15">
        <f t="shared" si="5"/>
        <v>82800</v>
      </c>
    </row>
    <row r="168" spans="1:10" x14ac:dyDescent="0.3">
      <c r="A168" s="7" t="s">
        <v>220</v>
      </c>
      <c r="B168" s="7" t="str">
        <f>_xlfn.XLOOKUP(A168,'Vendor code- SKU mapping'!$B$1:$B$806,'Vendor code- SKU mapping'!$A$1:$A$806)</f>
        <v>OMD</v>
      </c>
      <c r="C168" s="7">
        <f>VLOOKUP(B168,'Vendor -MOQ- Lead time'!$A$2:$B$45,2,0)</f>
        <v>30</v>
      </c>
      <c r="D168" s="13">
        <f>ROUND(IF('Task 2'!G168&lt;0,ABS('Task 2'!G168),0),0)</f>
        <v>78</v>
      </c>
      <c r="E168" s="7">
        <f>ROUND('Task 2'!D168*'Task 3'!C168,0)</f>
        <v>312</v>
      </c>
      <c r="F168" s="7">
        <f>VLOOKUP(B168,'Vendor -MOQ- Lead time'!$A$2:$C$45,3,0)</f>
        <v>180</v>
      </c>
      <c r="G168" s="7">
        <f t="shared" si="4"/>
        <v>540</v>
      </c>
      <c r="H168" s="7" t="s">
        <v>0</v>
      </c>
      <c r="I168" s="7" cm="1">
        <f t="array" ref="I168">_xlfn.IFS(H168="25-50%",230,H168="Top 25 %",260,H168="50-75%",200,H168="Last 25%",170,H168="Retire",150)</f>
        <v>170</v>
      </c>
      <c r="J168" s="15">
        <f t="shared" si="5"/>
        <v>91800</v>
      </c>
    </row>
    <row r="169" spans="1:10" x14ac:dyDescent="0.3">
      <c r="A169" s="7" t="s">
        <v>221</v>
      </c>
      <c r="B169" s="7" t="str">
        <f>_xlfn.XLOOKUP(A169,'Vendor code- SKU mapping'!$B$1:$B$806,'Vendor code- SKU mapping'!$A$1:$A$806)</f>
        <v>OShe</v>
      </c>
      <c r="C169" s="7">
        <f>VLOOKUP(B169,'Vendor -MOQ- Lead time'!$A$2:$B$45,2,0)</f>
        <v>30</v>
      </c>
      <c r="D169" s="13">
        <f>ROUND(IF('Task 2'!G169&lt;0,ABS('Task 2'!G169),0),0)</f>
        <v>0</v>
      </c>
      <c r="E169" s="7">
        <f>ROUND('Task 2'!D169*'Task 3'!C169,0)</f>
        <v>247</v>
      </c>
      <c r="F169" s="7">
        <f>VLOOKUP(B169,'Vendor -MOQ- Lead time'!$A$2:$C$45,3,0)</f>
        <v>180</v>
      </c>
      <c r="G169" s="7">
        <f t="shared" si="4"/>
        <v>360</v>
      </c>
      <c r="H169" s="7" t="s">
        <v>1</v>
      </c>
      <c r="I169" s="7" cm="1">
        <f t="array" ref="I169">_xlfn.IFS(H169="25-50%",230,H169="Top 25 %",260,H169="50-75%",200,H169="Last 25%",170,H169="Retire",150)</f>
        <v>200</v>
      </c>
      <c r="J169" s="15">
        <f t="shared" si="5"/>
        <v>72000</v>
      </c>
    </row>
    <row r="170" spans="1:10" x14ac:dyDescent="0.3">
      <c r="A170" s="7" t="s">
        <v>222</v>
      </c>
      <c r="B170" s="7" t="str">
        <f>_xlfn.XLOOKUP(A170,'Vendor code- SKU mapping'!$B$1:$B$806,'Vendor code- SKU mapping'!$A$1:$A$806)</f>
        <v>ISte</v>
      </c>
      <c r="C170" s="7">
        <f>VLOOKUP(B170,'Vendor -MOQ- Lead time'!$A$2:$B$45,2,0)</f>
        <v>45</v>
      </c>
      <c r="D170" s="13">
        <f>ROUND(IF('Task 2'!G170&lt;0,ABS('Task 2'!G170),0),0)</f>
        <v>0</v>
      </c>
      <c r="E170" s="7">
        <f>ROUND('Task 2'!D170*'Task 3'!C170,0)</f>
        <v>416</v>
      </c>
      <c r="F170" s="7">
        <f>VLOOKUP(B170,'Vendor -MOQ- Lead time'!$A$2:$C$45,3,0)</f>
        <v>270</v>
      </c>
      <c r="G170" s="7">
        <f t="shared" si="4"/>
        <v>540</v>
      </c>
      <c r="H170" s="7" t="s">
        <v>1</v>
      </c>
      <c r="I170" s="7" cm="1">
        <f t="array" ref="I170">_xlfn.IFS(H170="25-50%",230,H170="Top 25 %",260,H170="50-75%",200,H170="Last 25%",170,H170="Retire",150)</f>
        <v>200</v>
      </c>
      <c r="J170" s="15">
        <f t="shared" si="5"/>
        <v>108000</v>
      </c>
    </row>
    <row r="171" spans="1:10" x14ac:dyDescent="0.3">
      <c r="A171" s="7" t="s">
        <v>223</v>
      </c>
      <c r="B171" s="7" t="str">
        <f>_xlfn.XLOOKUP(A171,'Vendor code- SKU mapping'!$B$1:$B$806,'Vendor code- SKU mapping'!$A$1:$A$806)</f>
        <v>AAFC</v>
      </c>
      <c r="C171" s="7">
        <f>VLOOKUP(B171,'Vendor -MOQ- Lead time'!$A$2:$B$45,2,0)</f>
        <v>45</v>
      </c>
      <c r="D171" s="13">
        <f>ROUND(IF('Task 2'!G171&lt;0,ABS('Task 2'!G171),0),0)</f>
        <v>0</v>
      </c>
      <c r="E171" s="7">
        <f>ROUND('Task 2'!D171*'Task 3'!C171,0)</f>
        <v>204</v>
      </c>
      <c r="F171" s="7">
        <f>VLOOKUP(B171,'Vendor -MOQ- Lead time'!$A$2:$C$45,3,0)</f>
        <v>270</v>
      </c>
      <c r="G171" s="7">
        <f t="shared" si="4"/>
        <v>270</v>
      </c>
      <c r="H171" s="7" t="s">
        <v>0</v>
      </c>
      <c r="I171" s="7" cm="1">
        <f t="array" ref="I171">_xlfn.IFS(H171="25-50%",230,H171="Top 25 %",260,H171="50-75%",200,H171="Last 25%",170,H171="Retire",150)</f>
        <v>170</v>
      </c>
      <c r="J171" s="15">
        <f t="shared" si="5"/>
        <v>45900</v>
      </c>
    </row>
    <row r="172" spans="1:10" x14ac:dyDescent="0.3">
      <c r="A172" s="7" t="s">
        <v>224</v>
      </c>
      <c r="B172" s="7" t="str">
        <f>_xlfn.XLOOKUP(A172,'Vendor code- SKU mapping'!$B$1:$B$806,'Vendor code- SKU mapping'!$A$1:$A$806)</f>
        <v>OMah</v>
      </c>
      <c r="C172" s="7">
        <f>VLOOKUP(B172,'Vendor -MOQ- Lead time'!$A$2:$B$45,2,0)</f>
        <v>45</v>
      </c>
      <c r="D172" s="13">
        <f>ROUND(IF('Task 2'!G172&lt;0,ABS('Task 2'!G172),0),0)</f>
        <v>0</v>
      </c>
      <c r="E172" s="7">
        <f>ROUND('Task 2'!D172*'Task 3'!C172,0)</f>
        <v>462</v>
      </c>
      <c r="F172" s="7">
        <f>VLOOKUP(B172,'Vendor -MOQ- Lead time'!$A$2:$C$45,3,0)</f>
        <v>270</v>
      </c>
      <c r="G172" s="7">
        <f t="shared" si="4"/>
        <v>540</v>
      </c>
      <c r="H172" s="7" t="s">
        <v>2</v>
      </c>
      <c r="I172" s="7" cm="1">
        <f t="array" ref="I172">_xlfn.IFS(H172="25-50%",230,H172="Top 25 %",260,H172="50-75%",200,H172="Last 25%",170,H172="Retire",150)</f>
        <v>230</v>
      </c>
      <c r="J172" s="15">
        <f t="shared" si="5"/>
        <v>124200</v>
      </c>
    </row>
    <row r="173" spans="1:10" x14ac:dyDescent="0.3">
      <c r="A173" s="7" t="s">
        <v>225</v>
      </c>
      <c r="B173" s="7" t="str">
        <f>_xlfn.XLOOKUP(A173,'Vendor code- SKU mapping'!$B$1:$B$806,'Vendor code- SKU mapping'!$A$1:$A$806)</f>
        <v>EDaz</v>
      </c>
      <c r="C173" s="7">
        <f>VLOOKUP(B173,'Vendor -MOQ- Lead time'!$A$2:$B$45,2,0)</f>
        <v>30</v>
      </c>
      <c r="D173" s="13">
        <f>ROUND(IF('Task 2'!G173&lt;0,ABS('Task 2'!G173),0),0)</f>
        <v>0</v>
      </c>
      <c r="E173" s="7">
        <f>ROUND('Task 2'!D173*'Task 3'!C173,0)</f>
        <v>317</v>
      </c>
      <c r="F173" s="7">
        <f>VLOOKUP(B173,'Vendor -MOQ- Lead time'!$A$2:$C$45,3,0)</f>
        <v>180</v>
      </c>
      <c r="G173" s="7">
        <f t="shared" si="4"/>
        <v>360</v>
      </c>
      <c r="H173" s="7" t="s">
        <v>2</v>
      </c>
      <c r="I173" s="7" cm="1">
        <f t="array" ref="I173">_xlfn.IFS(H173="25-50%",230,H173="Top 25 %",260,H173="50-75%",200,H173="Last 25%",170,H173="Retire",150)</f>
        <v>230</v>
      </c>
      <c r="J173" s="15">
        <f t="shared" si="5"/>
        <v>82800</v>
      </c>
    </row>
    <row r="174" spans="1:10" x14ac:dyDescent="0.3">
      <c r="A174" s="7" t="s">
        <v>226</v>
      </c>
      <c r="B174" s="7" t="str">
        <f>_xlfn.XLOOKUP(A174,'Vendor code- SKU mapping'!$B$1:$B$806,'Vendor code- SKU mapping'!$A$1:$A$806)</f>
        <v>OShe</v>
      </c>
      <c r="C174" s="7">
        <f>VLOOKUP(B174,'Vendor -MOQ- Lead time'!$A$2:$B$45,2,0)</f>
        <v>30</v>
      </c>
      <c r="D174" s="13">
        <f>ROUND(IF('Task 2'!G174&lt;0,ABS('Task 2'!G174),0),0)</f>
        <v>0</v>
      </c>
      <c r="E174" s="7">
        <f>ROUND('Task 2'!D174*'Task 3'!C174,0)</f>
        <v>268</v>
      </c>
      <c r="F174" s="7">
        <f>VLOOKUP(B174,'Vendor -MOQ- Lead time'!$A$2:$C$45,3,0)</f>
        <v>180</v>
      </c>
      <c r="G174" s="7">
        <f t="shared" si="4"/>
        <v>360</v>
      </c>
      <c r="H174" s="7" t="s">
        <v>1</v>
      </c>
      <c r="I174" s="7" cm="1">
        <f t="array" ref="I174">_xlfn.IFS(H174="25-50%",230,H174="Top 25 %",260,H174="50-75%",200,H174="Last 25%",170,H174="Retire",150)</f>
        <v>200</v>
      </c>
      <c r="J174" s="15">
        <f t="shared" si="5"/>
        <v>72000</v>
      </c>
    </row>
    <row r="175" spans="1:10" x14ac:dyDescent="0.3">
      <c r="A175" s="7" t="s">
        <v>227</v>
      </c>
      <c r="B175" s="7" t="str">
        <f>_xlfn.XLOOKUP(A175,'Vendor code- SKU mapping'!$B$1:$B$806,'Vendor code- SKU mapping'!$A$1:$A$806)</f>
        <v>EFai</v>
      </c>
      <c r="C175" s="7">
        <f>VLOOKUP(B175,'Vendor -MOQ- Lead time'!$A$2:$B$45,2,0)</f>
        <v>60</v>
      </c>
      <c r="D175" s="13">
        <f>ROUND(IF('Task 2'!G175&lt;0,ABS('Task 2'!G175),0),0)</f>
        <v>0</v>
      </c>
      <c r="E175" s="7">
        <f>ROUND('Task 2'!D175*'Task 3'!C175,0)</f>
        <v>288</v>
      </c>
      <c r="F175" s="7">
        <f>VLOOKUP(B175,'Vendor -MOQ- Lead time'!$A$2:$C$45,3,0)</f>
        <v>1080</v>
      </c>
      <c r="G175" s="7">
        <f t="shared" si="4"/>
        <v>1080</v>
      </c>
      <c r="H175" s="7" t="s">
        <v>0</v>
      </c>
      <c r="I175" s="7" cm="1">
        <f t="array" ref="I175">_xlfn.IFS(H175="25-50%",230,H175="Top 25 %",260,H175="50-75%",200,H175="Last 25%",170,H175="Retire",150)</f>
        <v>170</v>
      </c>
      <c r="J175" s="15">
        <f t="shared" si="5"/>
        <v>183600</v>
      </c>
    </row>
    <row r="176" spans="1:10" x14ac:dyDescent="0.3">
      <c r="A176" s="7" t="s">
        <v>228</v>
      </c>
      <c r="B176" s="7" t="str">
        <f>_xlfn.XLOOKUP(A176,'Vendor code- SKU mapping'!$B$1:$B$806,'Vendor code- SKU mapping'!$A$1:$A$806)</f>
        <v>OMah</v>
      </c>
      <c r="C176" s="7">
        <f>VLOOKUP(B176,'Vendor -MOQ- Lead time'!$A$2:$B$45,2,0)</f>
        <v>45</v>
      </c>
      <c r="D176" s="13">
        <f>ROUND(IF('Task 2'!G176&lt;0,ABS('Task 2'!G176),0),0)</f>
        <v>72</v>
      </c>
      <c r="E176" s="7">
        <f>ROUND('Task 2'!D176*'Task 3'!C176,0)</f>
        <v>225</v>
      </c>
      <c r="F176" s="7">
        <f>VLOOKUP(B176,'Vendor -MOQ- Lead time'!$A$2:$C$45,3,0)</f>
        <v>270</v>
      </c>
      <c r="G176" s="7">
        <f t="shared" si="4"/>
        <v>540</v>
      </c>
      <c r="H176" s="7" t="s">
        <v>0</v>
      </c>
      <c r="I176" s="7" cm="1">
        <f t="array" ref="I176">_xlfn.IFS(H176="25-50%",230,H176="Top 25 %",260,H176="50-75%",200,H176="Last 25%",170,H176="Retire",150)</f>
        <v>170</v>
      </c>
      <c r="J176" s="15">
        <f t="shared" si="5"/>
        <v>91800</v>
      </c>
    </row>
    <row r="177" spans="1:10" x14ac:dyDescent="0.3">
      <c r="A177" s="7" t="s">
        <v>229</v>
      </c>
      <c r="B177" s="7" t="str">
        <f>_xlfn.XLOOKUP(A177,'Vendor code- SKU mapping'!$B$1:$B$806,'Vendor code- SKU mapping'!$A$1:$A$806)</f>
        <v>OShe</v>
      </c>
      <c r="C177" s="7">
        <f>VLOOKUP(B177,'Vendor -MOQ- Lead time'!$A$2:$B$45,2,0)</f>
        <v>30</v>
      </c>
      <c r="D177" s="13">
        <f>ROUND(IF('Task 2'!G177&lt;0,ABS('Task 2'!G177),0),0)</f>
        <v>0</v>
      </c>
      <c r="E177" s="7">
        <f>ROUND('Task 2'!D177*'Task 3'!C177,0)</f>
        <v>167</v>
      </c>
      <c r="F177" s="7">
        <f>VLOOKUP(B177,'Vendor -MOQ- Lead time'!$A$2:$C$45,3,0)</f>
        <v>180</v>
      </c>
      <c r="G177" s="7">
        <f t="shared" si="4"/>
        <v>180</v>
      </c>
      <c r="H177" s="7" t="s">
        <v>0</v>
      </c>
      <c r="I177" s="7" cm="1">
        <f t="array" ref="I177">_xlfn.IFS(H177="25-50%",230,H177="Top 25 %",260,H177="50-75%",200,H177="Last 25%",170,H177="Retire",150)</f>
        <v>170</v>
      </c>
      <c r="J177" s="15">
        <f t="shared" si="5"/>
        <v>30600</v>
      </c>
    </row>
    <row r="178" spans="1:10" x14ac:dyDescent="0.3">
      <c r="A178" s="7" t="s">
        <v>230</v>
      </c>
      <c r="B178" s="7" t="str">
        <f>_xlfn.XLOOKUP(A178,'Vendor code- SKU mapping'!$B$1:$B$806,'Vendor code- SKU mapping'!$A$1:$A$806)</f>
        <v>ORed</v>
      </c>
      <c r="C178" s="7">
        <f>VLOOKUP(B178,'Vendor -MOQ- Lead time'!$A$2:$B$45,2,0)</f>
        <v>30</v>
      </c>
      <c r="D178" s="13">
        <f>ROUND(IF('Task 2'!G178&lt;0,ABS('Task 2'!G178),0),0)</f>
        <v>0</v>
      </c>
      <c r="E178" s="7">
        <f>ROUND('Task 2'!D178*'Task 3'!C178,0)</f>
        <v>170</v>
      </c>
      <c r="F178" s="7">
        <f>VLOOKUP(B178,'Vendor -MOQ- Lead time'!$A$2:$C$45,3,0)</f>
        <v>180</v>
      </c>
      <c r="G178" s="7">
        <f t="shared" si="4"/>
        <v>180</v>
      </c>
      <c r="H178" s="7" t="s">
        <v>1</v>
      </c>
      <c r="I178" s="7" cm="1">
        <f t="array" ref="I178">_xlfn.IFS(H178="25-50%",230,H178="Top 25 %",260,H178="50-75%",200,H178="Last 25%",170,H178="Retire",150)</f>
        <v>200</v>
      </c>
      <c r="J178" s="15">
        <f t="shared" si="5"/>
        <v>36000</v>
      </c>
    </row>
    <row r="179" spans="1:10" x14ac:dyDescent="0.3">
      <c r="A179" s="7" t="s">
        <v>231</v>
      </c>
      <c r="B179" s="7" t="str">
        <f>_xlfn.XLOOKUP(A179,'Vendor code- SKU mapping'!$B$1:$B$806,'Vendor code- SKU mapping'!$A$1:$A$806)</f>
        <v>ISte</v>
      </c>
      <c r="C179" s="7">
        <f>VLOOKUP(B179,'Vendor -MOQ- Lead time'!$A$2:$B$45,2,0)</f>
        <v>45</v>
      </c>
      <c r="D179" s="13">
        <f>ROUND(IF('Task 2'!G179&lt;0,ABS('Task 2'!G179),0),0)</f>
        <v>0</v>
      </c>
      <c r="E179" s="7">
        <f>ROUND('Task 2'!D179*'Task 3'!C179,0)</f>
        <v>395</v>
      </c>
      <c r="F179" s="7">
        <f>VLOOKUP(B179,'Vendor -MOQ- Lead time'!$A$2:$C$45,3,0)</f>
        <v>270</v>
      </c>
      <c r="G179" s="7">
        <f t="shared" si="4"/>
        <v>540</v>
      </c>
      <c r="H179" s="7" t="s">
        <v>0</v>
      </c>
      <c r="I179" s="7" cm="1">
        <f t="array" ref="I179">_xlfn.IFS(H179="25-50%",230,H179="Top 25 %",260,H179="50-75%",200,H179="Last 25%",170,H179="Retire",150)</f>
        <v>170</v>
      </c>
      <c r="J179" s="15">
        <f t="shared" si="5"/>
        <v>91800</v>
      </c>
    </row>
    <row r="180" spans="1:10" x14ac:dyDescent="0.3">
      <c r="A180" s="7" t="s">
        <v>232</v>
      </c>
      <c r="B180" s="7" t="str">
        <f>_xlfn.XLOOKUP(A180,'Vendor code- SKU mapping'!$B$1:$B$806,'Vendor code- SKU mapping'!$A$1:$A$806)</f>
        <v>AAFC</v>
      </c>
      <c r="C180" s="7">
        <f>VLOOKUP(B180,'Vendor -MOQ- Lead time'!$A$2:$B$45,2,0)</f>
        <v>45</v>
      </c>
      <c r="D180" s="13">
        <f>ROUND(IF('Task 2'!G180&lt;0,ABS('Task 2'!G180),0),0)</f>
        <v>0</v>
      </c>
      <c r="E180" s="7">
        <f>ROUND('Task 2'!D180*'Task 3'!C180,0)</f>
        <v>456</v>
      </c>
      <c r="F180" s="7">
        <f>VLOOKUP(B180,'Vendor -MOQ- Lead time'!$A$2:$C$45,3,0)</f>
        <v>270</v>
      </c>
      <c r="G180" s="7">
        <f t="shared" si="4"/>
        <v>540</v>
      </c>
      <c r="H180" s="7" t="s">
        <v>0</v>
      </c>
      <c r="I180" s="7" cm="1">
        <f t="array" ref="I180">_xlfn.IFS(H180="25-50%",230,H180="Top 25 %",260,H180="50-75%",200,H180="Last 25%",170,H180="Retire",150)</f>
        <v>170</v>
      </c>
      <c r="J180" s="15">
        <f t="shared" si="5"/>
        <v>91800</v>
      </c>
    </row>
    <row r="181" spans="1:10" x14ac:dyDescent="0.3">
      <c r="A181" s="7" t="s">
        <v>233</v>
      </c>
      <c r="B181" s="7" t="str">
        <f>_xlfn.XLOOKUP(A181,'Vendor code- SKU mapping'!$B$1:$B$806,'Vendor code- SKU mapping'!$A$1:$A$806)</f>
        <v>ISte</v>
      </c>
      <c r="C181" s="7">
        <f>VLOOKUP(B181,'Vendor -MOQ- Lead time'!$A$2:$B$45,2,0)</f>
        <v>45</v>
      </c>
      <c r="D181" s="13">
        <f>ROUND(IF('Task 2'!G181&lt;0,ABS('Task 2'!G181),0),0)</f>
        <v>0</v>
      </c>
      <c r="E181" s="7">
        <f>ROUND('Task 2'!D181*'Task 3'!C181,0)</f>
        <v>221</v>
      </c>
      <c r="F181" s="7">
        <f>VLOOKUP(B181,'Vendor -MOQ- Lead time'!$A$2:$C$45,3,0)</f>
        <v>270</v>
      </c>
      <c r="G181" s="7">
        <f t="shared" si="4"/>
        <v>270</v>
      </c>
      <c r="H181" s="7" t="s">
        <v>0</v>
      </c>
      <c r="I181" s="7" cm="1">
        <f t="array" ref="I181">_xlfn.IFS(H181="25-50%",230,H181="Top 25 %",260,H181="50-75%",200,H181="Last 25%",170,H181="Retire",150)</f>
        <v>170</v>
      </c>
      <c r="J181" s="15">
        <f t="shared" si="5"/>
        <v>45900</v>
      </c>
    </row>
    <row r="182" spans="1:10" x14ac:dyDescent="0.3">
      <c r="A182" s="7" t="s">
        <v>234</v>
      </c>
      <c r="B182" s="7" t="str">
        <f>_xlfn.XLOOKUP(A182,'Vendor code- SKU mapping'!$B$1:$B$806,'Vendor code- SKU mapping'!$A$1:$A$806)</f>
        <v>AAB</v>
      </c>
      <c r="C182" s="7">
        <f>VLOOKUP(B182,'Vendor -MOQ- Lead time'!$A$2:$B$45,2,0)</f>
        <v>45</v>
      </c>
      <c r="D182" s="13">
        <f>ROUND(IF('Task 2'!G182&lt;0,ABS('Task 2'!G182),0),0)</f>
        <v>32</v>
      </c>
      <c r="E182" s="7">
        <f>ROUND('Task 2'!D182*'Task 3'!C182,0)</f>
        <v>134</v>
      </c>
      <c r="F182" s="7">
        <f>VLOOKUP(B182,'Vendor -MOQ- Lead time'!$A$2:$C$45,3,0)</f>
        <v>270</v>
      </c>
      <c r="G182" s="7">
        <f t="shared" si="4"/>
        <v>270</v>
      </c>
      <c r="H182" s="7" t="s">
        <v>0</v>
      </c>
      <c r="I182" s="7" cm="1">
        <f t="array" ref="I182">_xlfn.IFS(H182="25-50%",230,H182="Top 25 %",260,H182="50-75%",200,H182="Last 25%",170,H182="Retire",150)</f>
        <v>170</v>
      </c>
      <c r="J182" s="15">
        <f t="shared" si="5"/>
        <v>45900</v>
      </c>
    </row>
    <row r="183" spans="1:10" x14ac:dyDescent="0.3">
      <c r="A183" s="7" t="s">
        <v>235</v>
      </c>
      <c r="B183" s="7" t="str">
        <f>_xlfn.XLOOKUP(A183,'Vendor code- SKU mapping'!$B$1:$B$806,'Vendor code- SKU mapping'!$A$1:$A$806)</f>
        <v>OMD</v>
      </c>
      <c r="C183" s="7">
        <f>VLOOKUP(B183,'Vendor -MOQ- Lead time'!$A$2:$B$45,2,0)</f>
        <v>30</v>
      </c>
      <c r="D183" s="13">
        <f>ROUND(IF('Task 2'!G183&lt;0,ABS('Task 2'!G183),0),0)</f>
        <v>0</v>
      </c>
      <c r="E183" s="7">
        <f>ROUND('Task 2'!D183*'Task 3'!C183,0)</f>
        <v>258</v>
      </c>
      <c r="F183" s="7">
        <f>VLOOKUP(B183,'Vendor -MOQ- Lead time'!$A$2:$C$45,3,0)</f>
        <v>180</v>
      </c>
      <c r="G183" s="7">
        <f t="shared" si="4"/>
        <v>360</v>
      </c>
      <c r="H183" s="7" t="s">
        <v>0</v>
      </c>
      <c r="I183" s="7" cm="1">
        <f t="array" ref="I183">_xlfn.IFS(H183="25-50%",230,H183="Top 25 %",260,H183="50-75%",200,H183="Last 25%",170,H183="Retire",150)</f>
        <v>170</v>
      </c>
      <c r="J183" s="15">
        <f t="shared" si="5"/>
        <v>61200</v>
      </c>
    </row>
    <row r="184" spans="1:10" x14ac:dyDescent="0.3">
      <c r="A184" s="7" t="s">
        <v>236</v>
      </c>
      <c r="B184" s="7" t="str">
        <f>_xlfn.XLOOKUP(A184,'Vendor code- SKU mapping'!$B$1:$B$806,'Vendor code- SKU mapping'!$A$1:$A$806)</f>
        <v>EIta</v>
      </c>
      <c r="C184" s="7">
        <f>VLOOKUP(B184,'Vendor -MOQ- Lead time'!$A$2:$B$45,2,0)</f>
        <v>60</v>
      </c>
      <c r="D184" s="13">
        <f>ROUND(IF('Task 2'!G184&lt;0,ABS('Task 2'!G184),0),0)</f>
        <v>120</v>
      </c>
      <c r="E184" s="7">
        <f>ROUND('Task 2'!D184*'Task 3'!C184,0)</f>
        <v>276</v>
      </c>
      <c r="F184" s="7">
        <f>VLOOKUP(B184,'Vendor -MOQ- Lead time'!$A$2:$C$45,3,0)</f>
        <v>1080</v>
      </c>
      <c r="G184" s="7">
        <f t="shared" si="4"/>
        <v>1080</v>
      </c>
      <c r="H184" s="7" t="s">
        <v>0</v>
      </c>
      <c r="I184" s="7" cm="1">
        <f t="array" ref="I184">_xlfn.IFS(H184="25-50%",230,H184="Top 25 %",260,H184="50-75%",200,H184="Last 25%",170,H184="Retire",150)</f>
        <v>170</v>
      </c>
      <c r="J184" s="15">
        <f t="shared" si="5"/>
        <v>183600</v>
      </c>
    </row>
    <row r="185" spans="1:10" x14ac:dyDescent="0.3">
      <c r="A185" s="7" t="s">
        <v>237</v>
      </c>
      <c r="B185" s="7" t="str">
        <f>_xlfn.XLOOKUP(A185,'Vendor code- SKU mapping'!$B$1:$B$806,'Vendor code- SKU mapping'!$A$1:$A$806)</f>
        <v>ISte</v>
      </c>
      <c r="C185" s="7">
        <f>VLOOKUP(B185,'Vendor -MOQ- Lead time'!$A$2:$B$45,2,0)</f>
        <v>45</v>
      </c>
      <c r="D185" s="13">
        <f>ROUND(IF('Task 2'!G185&lt;0,ABS('Task 2'!G185),0),0)</f>
        <v>195</v>
      </c>
      <c r="E185" s="7">
        <f>ROUND('Task 2'!D185*'Task 3'!C185,0)</f>
        <v>473</v>
      </c>
      <c r="F185" s="7">
        <f>VLOOKUP(B185,'Vendor -MOQ- Lead time'!$A$2:$C$45,3,0)</f>
        <v>270</v>
      </c>
      <c r="G185" s="7">
        <f t="shared" si="4"/>
        <v>810</v>
      </c>
      <c r="H185" s="7" t="s">
        <v>1</v>
      </c>
      <c r="I185" s="7" cm="1">
        <f t="array" ref="I185">_xlfn.IFS(H185="25-50%",230,H185="Top 25 %",260,H185="50-75%",200,H185="Last 25%",170,H185="Retire",150)</f>
        <v>200</v>
      </c>
      <c r="J185" s="15">
        <f t="shared" si="5"/>
        <v>162000</v>
      </c>
    </row>
    <row r="186" spans="1:10" x14ac:dyDescent="0.3">
      <c r="A186" s="7" t="s">
        <v>238</v>
      </c>
      <c r="B186" s="7" t="str">
        <f>_xlfn.XLOOKUP(A186,'Vendor code- SKU mapping'!$B$1:$B$806,'Vendor code- SKU mapping'!$A$1:$A$806)</f>
        <v>OMah</v>
      </c>
      <c r="C186" s="7">
        <f>VLOOKUP(B186,'Vendor -MOQ- Lead time'!$A$2:$B$45,2,0)</f>
        <v>45</v>
      </c>
      <c r="D186" s="13">
        <f>ROUND(IF('Task 2'!G186&lt;0,ABS('Task 2'!G186),0),0)</f>
        <v>103</v>
      </c>
      <c r="E186" s="7">
        <f>ROUND('Task 2'!D186*'Task 3'!C186,0)</f>
        <v>429</v>
      </c>
      <c r="F186" s="7">
        <f>VLOOKUP(B186,'Vendor -MOQ- Lead time'!$A$2:$C$45,3,0)</f>
        <v>270</v>
      </c>
      <c r="G186" s="7">
        <f t="shared" si="4"/>
        <v>540</v>
      </c>
      <c r="H186" s="7" t="s">
        <v>1</v>
      </c>
      <c r="I186" s="7" cm="1">
        <f t="array" ref="I186">_xlfn.IFS(H186="25-50%",230,H186="Top 25 %",260,H186="50-75%",200,H186="Last 25%",170,H186="Retire",150)</f>
        <v>200</v>
      </c>
      <c r="J186" s="15">
        <f t="shared" si="5"/>
        <v>108000</v>
      </c>
    </row>
    <row r="187" spans="1:10" x14ac:dyDescent="0.3">
      <c r="A187" s="7" t="s">
        <v>239</v>
      </c>
      <c r="B187" s="7" t="str">
        <f>_xlfn.XLOOKUP(A187,'Vendor code- SKU mapping'!$B$1:$B$806,'Vendor code- SKU mapping'!$A$1:$A$806)</f>
        <v>ORad</v>
      </c>
      <c r="C187" s="7">
        <f>VLOOKUP(B187,'Vendor -MOQ- Lead time'!$A$2:$B$45,2,0)</f>
        <v>45</v>
      </c>
      <c r="D187" s="13">
        <f>ROUND(IF('Task 2'!G187&lt;0,ABS('Task 2'!G187),0),0)</f>
        <v>0</v>
      </c>
      <c r="E187" s="7">
        <f>ROUND('Task 2'!D187*'Task 3'!C187,0)</f>
        <v>231</v>
      </c>
      <c r="F187" s="7">
        <f>VLOOKUP(B187,'Vendor -MOQ- Lead time'!$A$2:$C$45,3,0)</f>
        <v>270</v>
      </c>
      <c r="G187" s="7">
        <f t="shared" si="4"/>
        <v>270</v>
      </c>
      <c r="H187" s="7" t="s">
        <v>0</v>
      </c>
      <c r="I187" s="7" cm="1">
        <f t="array" ref="I187">_xlfn.IFS(H187="25-50%",230,H187="Top 25 %",260,H187="50-75%",200,H187="Last 25%",170,H187="Retire",150)</f>
        <v>170</v>
      </c>
      <c r="J187" s="15">
        <f t="shared" si="5"/>
        <v>45900</v>
      </c>
    </row>
    <row r="188" spans="1:10" x14ac:dyDescent="0.3">
      <c r="A188" s="7" t="s">
        <v>240</v>
      </c>
      <c r="B188" s="7" t="str">
        <f>_xlfn.XLOOKUP(A188,'Vendor code- SKU mapping'!$B$1:$B$806,'Vendor code- SKU mapping'!$A$1:$A$806)</f>
        <v>OMug</v>
      </c>
      <c r="C188" s="7">
        <f>VLOOKUP(B188,'Vendor -MOQ- Lead time'!$A$2:$B$45,2,0)</f>
        <v>45</v>
      </c>
      <c r="D188" s="13">
        <f>ROUND(IF('Task 2'!G188&lt;0,ABS('Task 2'!G188),0),0)</f>
        <v>82</v>
      </c>
      <c r="E188" s="7">
        <f>ROUND('Task 2'!D188*'Task 3'!C188,0)</f>
        <v>344</v>
      </c>
      <c r="F188" s="7">
        <f>VLOOKUP(B188,'Vendor -MOQ- Lead time'!$A$2:$C$45,3,0)</f>
        <v>270</v>
      </c>
      <c r="G188" s="7">
        <f t="shared" si="4"/>
        <v>540</v>
      </c>
      <c r="H188" s="7" t="s">
        <v>0</v>
      </c>
      <c r="I188" s="7" cm="1">
        <f t="array" ref="I188">_xlfn.IFS(H188="25-50%",230,H188="Top 25 %",260,H188="50-75%",200,H188="Last 25%",170,H188="Retire",150)</f>
        <v>170</v>
      </c>
      <c r="J188" s="15">
        <f t="shared" si="5"/>
        <v>91800</v>
      </c>
    </row>
    <row r="189" spans="1:10" x14ac:dyDescent="0.3">
      <c r="A189" s="7" t="s">
        <v>241</v>
      </c>
      <c r="B189" s="7" t="str">
        <f>_xlfn.XLOOKUP(A189,'Vendor code- SKU mapping'!$B$1:$B$806,'Vendor code- SKU mapping'!$A$1:$A$806)</f>
        <v>EDaz</v>
      </c>
      <c r="C189" s="7">
        <f>VLOOKUP(B189,'Vendor -MOQ- Lead time'!$A$2:$B$45,2,0)</f>
        <v>30</v>
      </c>
      <c r="D189" s="13">
        <f>ROUND(IF('Task 2'!G189&lt;0,ABS('Task 2'!G189),0),0)</f>
        <v>0</v>
      </c>
      <c r="E189" s="7">
        <f>ROUND('Task 2'!D189*'Task 3'!C189,0)</f>
        <v>388</v>
      </c>
      <c r="F189" s="7">
        <f>VLOOKUP(B189,'Vendor -MOQ- Lead time'!$A$2:$C$45,3,0)</f>
        <v>180</v>
      </c>
      <c r="G189" s="7">
        <f t="shared" si="4"/>
        <v>540</v>
      </c>
      <c r="H189" s="7" t="s">
        <v>2</v>
      </c>
      <c r="I189" s="7" cm="1">
        <f t="array" ref="I189">_xlfn.IFS(H189="25-50%",230,H189="Top 25 %",260,H189="50-75%",200,H189="Last 25%",170,H189="Retire",150)</f>
        <v>230</v>
      </c>
      <c r="J189" s="15">
        <f t="shared" si="5"/>
        <v>124200</v>
      </c>
    </row>
    <row r="190" spans="1:10" x14ac:dyDescent="0.3">
      <c r="A190" s="7" t="s">
        <v>242</v>
      </c>
      <c r="B190" s="7" t="str">
        <f>_xlfn.XLOOKUP(A190,'Vendor code- SKU mapping'!$B$1:$B$806,'Vendor code- SKU mapping'!$A$1:$A$806)</f>
        <v>IZoo</v>
      </c>
      <c r="C190" s="7">
        <f>VLOOKUP(B190,'Vendor -MOQ- Lead time'!$A$2:$B$45,2,0)</f>
        <v>90</v>
      </c>
      <c r="D190" s="13">
        <f>ROUND(IF('Task 2'!G190&lt;0,ABS('Task 2'!G190),0),0)</f>
        <v>0</v>
      </c>
      <c r="E190" s="7">
        <f>ROUND('Task 2'!D190*'Task 3'!C190,0)</f>
        <v>561</v>
      </c>
      <c r="F190" s="7">
        <f>VLOOKUP(B190,'Vendor -MOQ- Lead time'!$A$2:$C$45,3,0)</f>
        <v>2880</v>
      </c>
      <c r="G190" s="7">
        <f t="shared" si="4"/>
        <v>2880</v>
      </c>
      <c r="H190" s="7" t="s">
        <v>1</v>
      </c>
      <c r="I190" s="7" cm="1">
        <f t="array" ref="I190">_xlfn.IFS(H190="25-50%",230,H190="Top 25 %",260,H190="50-75%",200,H190="Last 25%",170,H190="Retire",150)</f>
        <v>200</v>
      </c>
      <c r="J190" s="15">
        <f t="shared" si="5"/>
        <v>576000</v>
      </c>
    </row>
    <row r="191" spans="1:10" x14ac:dyDescent="0.3">
      <c r="A191" s="7" t="s">
        <v>243</v>
      </c>
      <c r="B191" s="7" t="str">
        <f>_xlfn.XLOOKUP(A191,'Vendor code- SKU mapping'!$B$1:$B$806,'Vendor code- SKU mapping'!$A$1:$A$806)</f>
        <v>ORoy</v>
      </c>
      <c r="C191" s="7">
        <f>VLOOKUP(B191,'Vendor -MOQ- Lead time'!$A$2:$B$45,2,0)</f>
        <v>45</v>
      </c>
      <c r="D191" s="13">
        <f>ROUND(IF('Task 2'!G191&lt;0,ABS('Task 2'!G191),0),0)</f>
        <v>236</v>
      </c>
      <c r="E191" s="7">
        <f>ROUND('Task 2'!D191*'Task 3'!C191,0)</f>
        <v>408</v>
      </c>
      <c r="F191" s="7">
        <f>VLOOKUP(B191,'Vendor -MOQ- Lead time'!$A$2:$C$45,3,0)</f>
        <v>270</v>
      </c>
      <c r="G191" s="7">
        <f t="shared" si="4"/>
        <v>810</v>
      </c>
      <c r="H191" s="7" t="s">
        <v>0</v>
      </c>
      <c r="I191" s="7" cm="1">
        <f t="array" ref="I191">_xlfn.IFS(H191="25-50%",230,H191="Top 25 %",260,H191="50-75%",200,H191="Last 25%",170,H191="Retire",150)</f>
        <v>170</v>
      </c>
      <c r="J191" s="15">
        <f t="shared" si="5"/>
        <v>137700</v>
      </c>
    </row>
    <row r="192" spans="1:10" x14ac:dyDescent="0.3">
      <c r="A192" s="7" t="s">
        <v>244</v>
      </c>
      <c r="B192" s="7" t="str">
        <f>_xlfn.XLOOKUP(A192,'Vendor code- SKU mapping'!$B$1:$B$806,'Vendor code- SKU mapping'!$A$1:$A$806)</f>
        <v>AAdi</v>
      </c>
      <c r="C192" s="7">
        <f>VLOOKUP(B192,'Vendor -MOQ- Lead time'!$A$2:$B$45,2,0)</f>
        <v>45</v>
      </c>
      <c r="D192" s="13">
        <f>ROUND(IF('Task 2'!G192&lt;0,ABS('Task 2'!G192),0),0)</f>
        <v>6</v>
      </c>
      <c r="E192" s="7">
        <f>ROUND('Task 2'!D192*'Task 3'!C192,0)</f>
        <v>234</v>
      </c>
      <c r="F192" s="7">
        <f>VLOOKUP(B192,'Vendor -MOQ- Lead time'!$A$2:$C$45,3,0)</f>
        <v>270</v>
      </c>
      <c r="G192" s="7">
        <f t="shared" si="4"/>
        <v>270</v>
      </c>
      <c r="H192" s="7" t="s">
        <v>0</v>
      </c>
      <c r="I192" s="7" cm="1">
        <f t="array" ref="I192">_xlfn.IFS(H192="25-50%",230,H192="Top 25 %",260,H192="50-75%",200,H192="Last 25%",170,H192="Retire",150)</f>
        <v>170</v>
      </c>
      <c r="J192" s="15">
        <f t="shared" si="5"/>
        <v>45900</v>
      </c>
    </row>
    <row r="193" spans="1:10" x14ac:dyDescent="0.3">
      <c r="A193" s="7" t="s">
        <v>245</v>
      </c>
      <c r="B193" s="7" t="str">
        <f>_xlfn.XLOOKUP(A193,'Vendor code- SKU mapping'!$B$1:$B$806,'Vendor code- SKU mapping'!$A$1:$A$806)</f>
        <v>AAB</v>
      </c>
      <c r="C193" s="7">
        <f>VLOOKUP(B193,'Vendor -MOQ- Lead time'!$A$2:$B$45,2,0)</f>
        <v>45</v>
      </c>
      <c r="D193" s="13">
        <f>ROUND(IF('Task 2'!G193&lt;0,ABS('Task 2'!G193),0),0)</f>
        <v>67</v>
      </c>
      <c r="E193" s="7">
        <f>ROUND('Task 2'!D193*'Task 3'!C193,0)</f>
        <v>141</v>
      </c>
      <c r="F193" s="7">
        <f>VLOOKUP(B193,'Vendor -MOQ- Lead time'!$A$2:$C$45,3,0)</f>
        <v>270</v>
      </c>
      <c r="G193" s="7">
        <f t="shared" si="4"/>
        <v>270</v>
      </c>
      <c r="H193" s="7" t="s">
        <v>0</v>
      </c>
      <c r="I193" s="7" cm="1">
        <f t="array" ref="I193">_xlfn.IFS(H193="25-50%",230,H193="Top 25 %",260,H193="50-75%",200,H193="Last 25%",170,H193="Retire",150)</f>
        <v>170</v>
      </c>
      <c r="J193" s="15">
        <f t="shared" si="5"/>
        <v>45900</v>
      </c>
    </row>
    <row r="194" spans="1:10" x14ac:dyDescent="0.3">
      <c r="A194" s="7" t="s">
        <v>246</v>
      </c>
      <c r="B194" s="7" t="str">
        <f>_xlfn.XLOOKUP(A194,'Vendor code- SKU mapping'!$B$1:$B$806,'Vendor code- SKU mapping'!$A$1:$A$806)</f>
        <v>OShe</v>
      </c>
      <c r="C194" s="7">
        <f>VLOOKUP(B194,'Vendor -MOQ- Lead time'!$A$2:$B$45,2,0)</f>
        <v>30</v>
      </c>
      <c r="D194" s="13">
        <f>ROUND(IF('Task 2'!G194&lt;0,ABS('Task 2'!G194),0),0)</f>
        <v>0</v>
      </c>
      <c r="E194" s="7">
        <f>ROUND('Task 2'!D194*'Task 3'!C194,0)</f>
        <v>185</v>
      </c>
      <c r="F194" s="7">
        <f>VLOOKUP(B194,'Vendor -MOQ- Lead time'!$A$2:$C$45,3,0)</f>
        <v>180</v>
      </c>
      <c r="G194" s="7">
        <f t="shared" si="4"/>
        <v>360</v>
      </c>
      <c r="H194" s="7" t="s">
        <v>1</v>
      </c>
      <c r="I194" s="7" cm="1">
        <f t="array" ref="I194">_xlfn.IFS(H194="25-50%",230,H194="Top 25 %",260,H194="50-75%",200,H194="Last 25%",170,H194="Retire",150)</f>
        <v>200</v>
      </c>
      <c r="J194" s="15">
        <f t="shared" si="5"/>
        <v>72000</v>
      </c>
    </row>
    <row r="195" spans="1:10" x14ac:dyDescent="0.3">
      <c r="A195" s="7" t="s">
        <v>247</v>
      </c>
      <c r="B195" s="7" t="str">
        <f>_xlfn.XLOOKUP(A195,'Vendor code- SKU mapping'!$B$1:$B$806,'Vendor code- SKU mapping'!$A$1:$A$806)</f>
        <v>ONex</v>
      </c>
      <c r="C195" s="7">
        <f>VLOOKUP(B195,'Vendor -MOQ- Lead time'!$A$2:$B$45,2,0)</f>
        <v>90</v>
      </c>
      <c r="D195" s="13">
        <f>ROUND(IF('Task 2'!G195&lt;0,ABS('Task 2'!G195),0),0)</f>
        <v>0</v>
      </c>
      <c r="E195" s="7">
        <f>ROUND('Task 2'!D195*'Task 3'!C195,0)</f>
        <v>297</v>
      </c>
      <c r="F195" s="7">
        <f>VLOOKUP(B195,'Vendor -MOQ- Lead time'!$A$2:$C$45,3,0)</f>
        <v>1440</v>
      </c>
      <c r="G195" s="7">
        <f t="shared" ref="G195:G258" si="6">CEILING(D195+E195,F195)</f>
        <v>1440</v>
      </c>
      <c r="H195" s="7" t="s">
        <v>0</v>
      </c>
      <c r="I195" s="7" cm="1">
        <f t="array" ref="I195">_xlfn.IFS(H195="25-50%",230,H195="Top 25 %",260,H195="50-75%",200,H195="Last 25%",170,H195="Retire",150)</f>
        <v>170</v>
      </c>
      <c r="J195" s="15">
        <f t="shared" ref="J195:J258" si="7">G195*I195</f>
        <v>244800</v>
      </c>
    </row>
    <row r="196" spans="1:10" x14ac:dyDescent="0.3">
      <c r="A196" s="7" t="s">
        <v>248</v>
      </c>
      <c r="B196" s="7" t="str">
        <f>_xlfn.XLOOKUP(A196,'Vendor code- SKU mapping'!$B$1:$B$806,'Vendor code- SKU mapping'!$A$1:$A$806)</f>
        <v>OMah</v>
      </c>
      <c r="C196" s="7">
        <f>VLOOKUP(B196,'Vendor -MOQ- Lead time'!$A$2:$B$45,2,0)</f>
        <v>45</v>
      </c>
      <c r="D196" s="13">
        <f>ROUND(IF('Task 2'!G196&lt;0,ABS('Task 2'!G196),0),0)</f>
        <v>176</v>
      </c>
      <c r="E196" s="7">
        <f>ROUND('Task 2'!D196*'Task 3'!C196,0)</f>
        <v>278</v>
      </c>
      <c r="F196" s="7">
        <f>VLOOKUP(B196,'Vendor -MOQ- Lead time'!$A$2:$C$45,3,0)</f>
        <v>270</v>
      </c>
      <c r="G196" s="7">
        <f t="shared" si="6"/>
        <v>540</v>
      </c>
      <c r="H196" s="7" t="s">
        <v>2</v>
      </c>
      <c r="I196" s="7" cm="1">
        <f t="array" ref="I196">_xlfn.IFS(H196="25-50%",230,H196="Top 25 %",260,H196="50-75%",200,H196="Last 25%",170,H196="Retire",150)</f>
        <v>230</v>
      </c>
      <c r="J196" s="15">
        <f t="shared" si="7"/>
        <v>124200</v>
      </c>
    </row>
    <row r="197" spans="1:10" x14ac:dyDescent="0.3">
      <c r="A197" s="7" t="s">
        <v>249</v>
      </c>
      <c r="B197" s="7" t="str">
        <f>_xlfn.XLOOKUP(A197,'Vendor code- SKU mapping'!$B$1:$B$806,'Vendor code- SKU mapping'!$A$1:$A$806)</f>
        <v>IVS</v>
      </c>
      <c r="C197" s="7">
        <f>VLOOKUP(B197,'Vendor -MOQ- Lead time'!$A$2:$B$45,2,0)</f>
        <v>30</v>
      </c>
      <c r="D197" s="13">
        <f>ROUND(IF('Task 2'!G197&lt;0,ABS('Task 2'!G197),0),0)</f>
        <v>0</v>
      </c>
      <c r="E197" s="7">
        <f>ROUND('Task 2'!D197*'Task 3'!C197,0)</f>
        <v>187</v>
      </c>
      <c r="F197" s="7">
        <f>VLOOKUP(B197,'Vendor -MOQ- Lead time'!$A$2:$C$45,3,0)</f>
        <v>180</v>
      </c>
      <c r="G197" s="7">
        <f t="shared" si="6"/>
        <v>360</v>
      </c>
      <c r="H197" s="7" t="s">
        <v>1</v>
      </c>
      <c r="I197" s="7" cm="1">
        <f t="array" ref="I197">_xlfn.IFS(H197="25-50%",230,H197="Top 25 %",260,H197="50-75%",200,H197="Last 25%",170,H197="Retire",150)</f>
        <v>200</v>
      </c>
      <c r="J197" s="15">
        <f t="shared" si="7"/>
        <v>72000</v>
      </c>
    </row>
    <row r="198" spans="1:10" x14ac:dyDescent="0.3">
      <c r="A198" s="7" t="s">
        <v>250</v>
      </c>
      <c r="B198" s="7" t="str">
        <f>_xlfn.XLOOKUP(A198,'Vendor code- SKU mapping'!$B$1:$B$806,'Vendor code- SKU mapping'!$A$1:$A$806)</f>
        <v>ISte</v>
      </c>
      <c r="C198" s="7">
        <f>VLOOKUP(B198,'Vendor -MOQ- Lead time'!$A$2:$B$45,2,0)</f>
        <v>45</v>
      </c>
      <c r="D198" s="13">
        <f>ROUND(IF('Task 2'!G198&lt;0,ABS('Task 2'!G198),0),0)</f>
        <v>32</v>
      </c>
      <c r="E198" s="7">
        <f>ROUND('Task 2'!D198*'Task 3'!C198,0)</f>
        <v>228</v>
      </c>
      <c r="F198" s="7">
        <f>VLOOKUP(B198,'Vendor -MOQ- Lead time'!$A$2:$C$45,3,0)</f>
        <v>270</v>
      </c>
      <c r="G198" s="7">
        <f t="shared" si="6"/>
        <v>270</v>
      </c>
      <c r="H198" s="7" t="s">
        <v>0</v>
      </c>
      <c r="I198" s="7" cm="1">
        <f t="array" ref="I198">_xlfn.IFS(H198="25-50%",230,H198="Top 25 %",260,H198="50-75%",200,H198="Last 25%",170,H198="Retire",150)</f>
        <v>170</v>
      </c>
      <c r="J198" s="15">
        <f t="shared" si="7"/>
        <v>45900</v>
      </c>
    </row>
    <row r="199" spans="1:10" x14ac:dyDescent="0.3">
      <c r="A199" s="7" t="s">
        <v>251</v>
      </c>
      <c r="B199" s="7" t="str">
        <f>_xlfn.XLOOKUP(A199,'Vendor code- SKU mapping'!$B$1:$B$806,'Vendor code- SKU mapping'!$A$1:$A$806)</f>
        <v>OMah</v>
      </c>
      <c r="C199" s="7">
        <f>VLOOKUP(B199,'Vendor -MOQ- Lead time'!$A$2:$B$45,2,0)</f>
        <v>45</v>
      </c>
      <c r="D199" s="13">
        <f>ROUND(IF('Task 2'!G199&lt;0,ABS('Task 2'!G199),0),0)</f>
        <v>95</v>
      </c>
      <c r="E199" s="7">
        <f>ROUND('Task 2'!D199*'Task 3'!C199,0)</f>
        <v>269</v>
      </c>
      <c r="F199" s="7">
        <f>VLOOKUP(B199,'Vendor -MOQ- Lead time'!$A$2:$C$45,3,0)</f>
        <v>270</v>
      </c>
      <c r="G199" s="7">
        <f t="shared" si="6"/>
        <v>540</v>
      </c>
      <c r="H199" s="7" t="s">
        <v>0</v>
      </c>
      <c r="I199" s="7" cm="1">
        <f t="array" ref="I199">_xlfn.IFS(H199="25-50%",230,H199="Top 25 %",260,H199="50-75%",200,H199="Last 25%",170,H199="Retire",150)</f>
        <v>170</v>
      </c>
      <c r="J199" s="15">
        <f t="shared" si="7"/>
        <v>91800</v>
      </c>
    </row>
    <row r="200" spans="1:10" x14ac:dyDescent="0.3">
      <c r="A200" s="7" t="s">
        <v>252</v>
      </c>
      <c r="B200" s="7" t="str">
        <f>_xlfn.XLOOKUP(A200,'Vendor code- SKU mapping'!$B$1:$B$806,'Vendor code- SKU mapping'!$A$1:$A$806)</f>
        <v>AAdi</v>
      </c>
      <c r="C200" s="7">
        <f>VLOOKUP(B200,'Vendor -MOQ- Lead time'!$A$2:$B$45,2,0)</f>
        <v>45</v>
      </c>
      <c r="D200" s="13">
        <f>ROUND(IF('Task 2'!G200&lt;0,ABS('Task 2'!G200),0),0)</f>
        <v>0</v>
      </c>
      <c r="E200" s="7">
        <f>ROUND('Task 2'!D200*'Task 3'!C200,0)</f>
        <v>227</v>
      </c>
      <c r="F200" s="7">
        <f>VLOOKUP(B200,'Vendor -MOQ- Lead time'!$A$2:$C$45,3,0)</f>
        <v>270</v>
      </c>
      <c r="G200" s="7">
        <f t="shared" si="6"/>
        <v>270</v>
      </c>
      <c r="H200" s="7" t="s">
        <v>0</v>
      </c>
      <c r="I200" s="7" cm="1">
        <f t="array" ref="I200">_xlfn.IFS(H200="25-50%",230,H200="Top 25 %",260,H200="50-75%",200,H200="Last 25%",170,H200="Retire",150)</f>
        <v>170</v>
      </c>
      <c r="J200" s="15">
        <f t="shared" si="7"/>
        <v>45900</v>
      </c>
    </row>
    <row r="201" spans="1:10" x14ac:dyDescent="0.3">
      <c r="A201" s="7" t="s">
        <v>253</v>
      </c>
      <c r="B201" s="7" t="str">
        <f>_xlfn.XLOOKUP(A201,'Vendor code- SKU mapping'!$B$1:$B$806,'Vendor code- SKU mapping'!$A$1:$A$806)</f>
        <v>EDaz</v>
      </c>
      <c r="C201" s="7">
        <f>VLOOKUP(B201,'Vendor -MOQ- Lead time'!$A$2:$B$45,2,0)</f>
        <v>30</v>
      </c>
      <c r="D201" s="13">
        <f>ROUND(IF('Task 2'!G201&lt;0,ABS('Task 2'!G201),0),0)</f>
        <v>0</v>
      </c>
      <c r="E201" s="7">
        <f>ROUND('Task 2'!D201*'Task 3'!C201,0)</f>
        <v>187</v>
      </c>
      <c r="F201" s="7">
        <f>VLOOKUP(B201,'Vendor -MOQ- Lead time'!$A$2:$C$45,3,0)</f>
        <v>180</v>
      </c>
      <c r="G201" s="7">
        <f t="shared" si="6"/>
        <v>360</v>
      </c>
      <c r="H201" s="7" t="s">
        <v>4</v>
      </c>
      <c r="I201" s="7" cm="1">
        <f t="array" ref="I201">_xlfn.IFS(H201="25-50%",230,H201="Top 25 %",260,H201="50-75%",200,H201="Last 25%",170,H201="Retire",150)</f>
        <v>260</v>
      </c>
      <c r="J201" s="15">
        <f t="shared" si="7"/>
        <v>93600</v>
      </c>
    </row>
    <row r="202" spans="1:10" x14ac:dyDescent="0.3">
      <c r="A202" s="7" t="s">
        <v>254</v>
      </c>
      <c r="B202" s="7" t="str">
        <f>_xlfn.XLOOKUP(A202,'Vendor code- SKU mapping'!$B$1:$B$806,'Vendor code- SKU mapping'!$A$1:$A$806)</f>
        <v>OMah</v>
      </c>
      <c r="C202" s="7">
        <f>VLOOKUP(B202,'Vendor -MOQ- Lead time'!$A$2:$B$45,2,0)</f>
        <v>45</v>
      </c>
      <c r="D202" s="13">
        <f>ROUND(IF('Task 2'!G202&lt;0,ABS('Task 2'!G202),0),0)</f>
        <v>0</v>
      </c>
      <c r="E202" s="7">
        <f>ROUND('Task 2'!D202*'Task 3'!C202,0)</f>
        <v>350</v>
      </c>
      <c r="F202" s="7">
        <f>VLOOKUP(B202,'Vendor -MOQ- Lead time'!$A$2:$C$45,3,0)</f>
        <v>270</v>
      </c>
      <c r="G202" s="7">
        <f t="shared" si="6"/>
        <v>540</v>
      </c>
      <c r="H202" s="7" t="s">
        <v>2</v>
      </c>
      <c r="I202" s="7" cm="1">
        <f t="array" ref="I202">_xlfn.IFS(H202="25-50%",230,H202="Top 25 %",260,H202="50-75%",200,H202="Last 25%",170,H202="Retire",150)</f>
        <v>230</v>
      </c>
      <c r="J202" s="15">
        <f t="shared" si="7"/>
        <v>124200</v>
      </c>
    </row>
    <row r="203" spans="1:10" x14ac:dyDescent="0.3">
      <c r="A203" s="7" t="s">
        <v>255</v>
      </c>
      <c r="B203" s="7" t="str">
        <f>_xlfn.XLOOKUP(A203,'Vendor code- SKU mapping'!$B$1:$B$806,'Vendor code- SKU mapping'!$A$1:$A$806)</f>
        <v>OMah</v>
      </c>
      <c r="C203" s="7">
        <f>VLOOKUP(B203,'Vendor -MOQ- Lead time'!$A$2:$B$45,2,0)</f>
        <v>45</v>
      </c>
      <c r="D203" s="13">
        <f>ROUND(IF('Task 2'!G203&lt;0,ABS('Task 2'!G203),0),0)</f>
        <v>104</v>
      </c>
      <c r="E203" s="7">
        <f>ROUND('Task 2'!D203*'Task 3'!C203,0)</f>
        <v>380</v>
      </c>
      <c r="F203" s="7">
        <f>VLOOKUP(B203,'Vendor -MOQ- Lead time'!$A$2:$C$45,3,0)</f>
        <v>270</v>
      </c>
      <c r="G203" s="7">
        <f t="shared" si="6"/>
        <v>540</v>
      </c>
      <c r="H203" s="7" t="s">
        <v>2</v>
      </c>
      <c r="I203" s="7" cm="1">
        <f t="array" ref="I203">_xlfn.IFS(H203="25-50%",230,H203="Top 25 %",260,H203="50-75%",200,H203="Last 25%",170,H203="Retire",150)</f>
        <v>230</v>
      </c>
      <c r="J203" s="15">
        <f t="shared" si="7"/>
        <v>124200</v>
      </c>
    </row>
    <row r="204" spans="1:10" x14ac:dyDescent="0.3">
      <c r="A204" s="7" t="s">
        <v>256</v>
      </c>
      <c r="B204" s="7" t="str">
        <f>_xlfn.XLOOKUP(A204,'Vendor code- SKU mapping'!$B$1:$B$806,'Vendor code- SKU mapping'!$A$1:$A$806)</f>
        <v>IVS</v>
      </c>
      <c r="C204" s="7">
        <f>VLOOKUP(B204,'Vendor -MOQ- Lead time'!$A$2:$B$45,2,0)</f>
        <v>30</v>
      </c>
      <c r="D204" s="13">
        <f>ROUND(IF('Task 2'!G204&lt;0,ABS('Task 2'!G204),0),0)</f>
        <v>0</v>
      </c>
      <c r="E204" s="7">
        <f>ROUND('Task 2'!D204*'Task 3'!C204,0)</f>
        <v>241</v>
      </c>
      <c r="F204" s="7">
        <f>VLOOKUP(B204,'Vendor -MOQ- Lead time'!$A$2:$C$45,3,0)</f>
        <v>180</v>
      </c>
      <c r="G204" s="7">
        <f t="shared" si="6"/>
        <v>360</v>
      </c>
      <c r="H204" s="7" t="s">
        <v>0</v>
      </c>
      <c r="I204" s="7" cm="1">
        <f t="array" ref="I204">_xlfn.IFS(H204="25-50%",230,H204="Top 25 %",260,H204="50-75%",200,H204="Last 25%",170,H204="Retire",150)</f>
        <v>170</v>
      </c>
      <c r="J204" s="15">
        <f t="shared" si="7"/>
        <v>61200</v>
      </c>
    </row>
    <row r="205" spans="1:10" x14ac:dyDescent="0.3">
      <c r="A205" s="7" t="s">
        <v>257</v>
      </c>
      <c r="B205" s="7" t="str">
        <f>_xlfn.XLOOKUP(A205,'Vendor code- SKU mapping'!$B$1:$B$806,'Vendor code- SKU mapping'!$A$1:$A$806)</f>
        <v>EFai</v>
      </c>
      <c r="C205" s="7">
        <f>VLOOKUP(B205,'Vendor -MOQ- Lead time'!$A$2:$B$45,2,0)</f>
        <v>60</v>
      </c>
      <c r="D205" s="13">
        <f>ROUND(IF('Task 2'!G205&lt;0,ABS('Task 2'!G205),0),0)</f>
        <v>0</v>
      </c>
      <c r="E205" s="7">
        <f>ROUND('Task 2'!D205*'Task 3'!C205,0)</f>
        <v>212</v>
      </c>
      <c r="F205" s="7">
        <f>VLOOKUP(B205,'Vendor -MOQ- Lead time'!$A$2:$C$45,3,0)</f>
        <v>1080</v>
      </c>
      <c r="G205" s="7">
        <f t="shared" si="6"/>
        <v>1080</v>
      </c>
      <c r="H205" s="7" t="s">
        <v>0</v>
      </c>
      <c r="I205" s="7" cm="1">
        <f t="array" ref="I205">_xlfn.IFS(H205="25-50%",230,H205="Top 25 %",260,H205="50-75%",200,H205="Last 25%",170,H205="Retire",150)</f>
        <v>170</v>
      </c>
      <c r="J205" s="15">
        <f t="shared" si="7"/>
        <v>183600</v>
      </c>
    </row>
    <row r="206" spans="1:10" x14ac:dyDescent="0.3">
      <c r="A206" s="7" t="s">
        <v>258</v>
      </c>
      <c r="B206" s="7" t="str">
        <f>_xlfn.XLOOKUP(A206,'Vendor code- SKU mapping'!$B$1:$B$806,'Vendor code- SKU mapping'!$A$1:$A$806)</f>
        <v>AAFC</v>
      </c>
      <c r="C206" s="7">
        <f>VLOOKUP(B206,'Vendor -MOQ- Lead time'!$A$2:$B$45,2,0)</f>
        <v>45</v>
      </c>
      <c r="D206" s="13">
        <f>ROUND(IF('Task 2'!G206&lt;0,ABS('Task 2'!G206),0),0)</f>
        <v>0</v>
      </c>
      <c r="E206" s="7">
        <f>ROUND('Task 2'!D206*'Task 3'!C206,0)</f>
        <v>452</v>
      </c>
      <c r="F206" s="7">
        <f>VLOOKUP(B206,'Vendor -MOQ- Lead time'!$A$2:$C$45,3,0)</f>
        <v>270</v>
      </c>
      <c r="G206" s="7">
        <f t="shared" si="6"/>
        <v>540</v>
      </c>
      <c r="H206" s="7" t="s">
        <v>0</v>
      </c>
      <c r="I206" s="7" cm="1">
        <f t="array" ref="I206">_xlfn.IFS(H206="25-50%",230,H206="Top 25 %",260,H206="50-75%",200,H206="Last 25%",170,H206="Retire",150)</f>
        <v>170</v>
      </c>
      <c r="J206" s="15">
        <f t="shared" si="7"/>
        <v>91800</v>
      </c>
    </row>
    <row r="207" spans="1:10" x14ac:dyDescent="0.3">
      <c r="A207" s="7" t="s">
        <v>259</v>
      </c>
      <c r="B207" s="7" t="str">
        <f>_xlfn.XLOOKUP(A207,'Vendor code- SKU mapping'!$B$1:$B$806,'Vendor code- SKU mapping'!$A$1:$A$806)</f>
        <v>OKP</v>
      </c>
      <c r="C207" s="7">
        <f>VLOOKUP(B207,'Vendor -MOQ- Lead time'!$A$2:$B$45,2,0)</f>
        <v>30</v>
      </c>
      <c r="D207" s="13">
        <f>ROUND(IF('Task 2'!G207&lt;0,ABS('Task 2'!G207),0),0)</f>
        <v>0</v>
      </c>
      <c r="E207" s="7">
        <f>ROUND('Task 2'!D207*'Task 3'!C207,0)</f>
        <v>123</v>
      </c>
      <c r="F207" s="7">
        <f>VLOOKUP(B207,'Vendor -MOQ- Lead time'!$A$2:$C$45,3,0)</f>
        <v>180</v>
      </c>
      <c r="G207" s="7">
        <f t="shared" si="6"/>
        <v>180</v>
      </c>
      <c r="H207" s="7" t="s">
        <v>0</v>
      </c>
      <c r="I207" s="7" cm="1">
        <f t="array" ref="I207">_xlfn.IFS(H207="25-50%",230,H207="Top 25 %",260,H207="50-75%",200,H207="Last 25%",170,H207="Retire",150)</f>
        <v>170</v>
      </c>
      <c r="J207" s="15">
        <f t="shared" si="7"/>
        <v>30600</v>
      </c>
    </row>
    <row r="208" spans="1:10" x14ac:dyDescent="0.3">
      <c r="A208" s="7" t="s">
        <v>260</v>
      </c>
      <c r="B208" s="7" t="str">
        <f>_xlfn.XLOOKUP(A208,'Vendor code- SKU mapping'!$B$1:$B$806,'Vendor code- SKU mapping'!$A$1:$A$806)</f>
        <v>AAFC</v>
      </c>
      <c r="C208" s="7">
        <f>VLOOKUP(B208,'Vendor -MOQ- Lead time'!$A$2:$B$45,2,0)</f>
        <v>45</v>
      </c>
      <c r="D208" s="13">
        <f>ROUND(IF('Task 2'!G208&lt;0,ABS('Task 2'!G208),0),0)</f>
        <v>0</v>
      </c>
      <c r="E208" s="7">
        <f>ROUND('Task 2'!D208*'Task 3'!C208,0)</f>
        <v>146</v>
      </c>
      <c r="F208" s="7">
        <f>VLOOKUP(B208,'Vendor -MOQ- Lead time'!$A$2:$C$45,3,0)</f>
        <v>270</v>
      </c>
      <c r="G208" s="7">
        <f t="shared" si="6"/>
        <v>270</v>
      </c>
      <c r="H208" s="7" t="s">
        <v>0</v>
      </c>
      <c r="I208" s="7" cm="1">
        <f t="array" ref="I208">_xlfn.IFS(H208="25-50%",230,H208="Top 25 %",260,H208="50-75%",200,H208="Last 25%",170,H208="Retire",150)</f>
        <v>170</v>
      </c>
      <c r="J208" s="15">
        <f t="shared" si="7"/>
        <v>45900</v>
      </c>
    </row>
    <row r="209" spans="1:10" x14ac:dyDescent="0.3">
      <c r="A209" s="7" t="s">
        <v>261</v>
      </c>
      <c r="B209" s="7" t="str">
        <f>_xlfn.XLOOKUP(A209,'Vendor code- SKU mapping'!$B$1:$B$806,'Vendor code- SKU mapping'!$A$1:$A$806)</f>
        <v>OMah</v>
      </c>
      <c r="C209" s="7">
        <f>VLOOKUP(B209,'Vendor -MOQ- Lead time'!$A$2:$B$45,2,0)</f>
        <v>45</v>
      </c>
      <c r="D209" s="13">
        <f>ROUND(IF('Task 2'!G209&lt;0,ABS('Task 2'!G209),0),0)</f>
        <v>0</v>
      </c>
      <c r="E209" s="7">
        <f>ROUND('Task 2'!D209*'Task 3'!C209,0)</f>
        <v>251</v>
      </c>
      <c r="F209" s="7">
        <f>VLOOKUP(B209,'Vendor -MOQ- Lead time'!$A$2:$C$45,3,0)</f>
        <v>270</v>
      </c>
      <c r="G209" s="7">
        <f t="shared" si="6"/>
        <v>270</v>
      </c>
      <c r="H209" s="7" t="s">
        <v>1</v>
      </c>
      <c r="I209" s="7" cm="1">
        <f t="array" ref="I209">_xlfn.IFS(H209="25-50%",230,H209="Top 25 %",260,H209="50-75%",200,H209="Last 25%",170,H209="Retire",150)</f>
        <v>200</v>
      </c>
      <c r="J209" s="15">
        <f t="shared" si="7"/>
        <v>54000</v>
      </c>
    </row>
    <row r="210" spans="1:10" x14ac:dyDescent="0.3">
      <c r="A210" s="7" t="s">
        <v>262</v>
      </c>
      <c r="B210" s="7" t="str">
        <f>_xlfn.XLOOKUP(A210,'Vendor code- SKU mapping'!$B$1:$B$806,'Vendor code- SKU mapping'!$A$1:$A$806)</f>
        <v>ONex</v>
      </c>
      <c r="C210" s="7">
        <f>VLOOKUP(B210,'Vendor -MOQ- Lead time'!$A$2:$B$45,2,0)</f>
        <v>90</v>
      </c>
      <c r="D210" s="13">
        <f>ROUND(IF('Task 2'!G210&lt;0,ABS('Task 2'!G210),0),0)</f>
        <v>0</v>
      </c>
      <c r="E210" s="7">
        <f>ROUND('Task 2'!D210*'Task 3'!C210,0)</f>
        <v>393</v>
      </c>
      <c r="F210" s="7">
        <f>VLOOKUP(B210,'Vendor -MOQ- Lead time'!$A$2:$C$45,3,0)</f>
        <v>1440</v>
      </c>
      <c r="G210" s="7">
        <f t="shared" si="6"/>
        <v>1440</v>
      </c>
      <c r="H210" s="7" t="s">
        <v>1</v>
      </c>
      <c r="I210" s="7" cm="1">
        <f t="array" ref="I210">_xlfn.IFS(H210="25-50%",230,H210="Top 25 %",260,H210="50-75%",200,H210="Last 25%",170,H210="Retire",150)</f>
        <v>200</v>
      </c>
      <c r="J210" s="15">
        <f t="shared" si="7"/>
        <v>288000</v>
      </c>
    </row>
    <row r="211" spans="1:10" x14ac:dyDescent="0.3">
      <c r="A211" s="7" t="s">
        <v>263</v>
      </c>
      <c r="B211" s="7" t="str">
        <f>_xlfn.XLOOKUP(A211,'Vendor code- SKU mapping'!$B$1:$B$806,'Vendor code- SKU mapping'!$A$1:$A$806)</f>
        <v>OShe</v>
      </c>
      <c r="C211" s="7">
        <f>VLOOKUP(B211,'Vendor -MOQ- Lead time'!$A$2:$B$45,2,0)</f>
        <v>30</v>
      </c>
      <c r="D211" s="13">
        <f>ROUND(IF('Task 2'!G211&lt;0,ABS('Task 2'!G211),0),0)</f>
        <v>0</v>
      </c>
      <c r="E211" s="7">
        <f>ROUND('Task 2'!D211*'Task 3'!C211,0)</f>
        <v>155</v>
      </c>
      <c r="F211" s="7">
        <f>VLOOKUP(B211,'Vendor -MOQ- Lead time'!$A$2:$C$45,3,0)</f>
        <v>180</v>
      </c>
      <c r="G211" s="7">
        <f t="shared" si="6"/>
        <v>180</v>
      </c>
      <c r="H211" s="7" t="s">
        <v>0</v>
      </c>
      <c r="I211" s="7" cm="1">
        <f t="array" ref="I211">_xlfn.IFS(H211="25-50%",230,H211="Top 25 %",260,H211="50-75%",200,H211="Last 25%",170,H211="Retire",150)</f>
        <v>170</v>
      </c>
      <c r="J211" s="15">
        <f t="shared" si="7"/>
        <v>30600</v>
      </c>
    </row>
    <row r="212" spans="1:10" x14ac:dyDescent="0.3">
      <c r="A212" s="7" t="s">
        <v>264</v>
      </c>
      <c r="B212" s="7" t="str">
        <f>_xlfn.XLOOKUP(A212,'Vendor code- SKU mapping'!$B$1:$B$806,'Vendor code- SKU mapping'!$A$1:$A$806)</f>
        <v>AARH</v>
      </c>
      <c r="C212" s="7">
        <f>VLOOKUP(B212,'Vendor -MOQ- Lead time'!$A$2:$B$45,2,0)</f>
        <v>90</v>
      </c>
      <c r="D212" s="13">
        <f>ROUND(IF('Task 2'!G212&lt;0,ABS('Task 2'!G212),0),0)</f>
        <v>0</v>
      </c>
      <c r="E212" s="7">
        <f>ROUND('Task 2'!D212*'Task 3'!C212,0)</f>
        <v>273</v>
      </c>
      <c r="F212" s="7">
        <f>VLOOKUP(B212,'Vendor -MOQ- Lead time'!$A$2:$C$45,3,0)</f>
        <v>1080</v>
      </c>
      <c r="G212" s="7">
        <f t="shared" si="6"/>
        <v>1080</v>
      </c>
      <c r="H212" s="7" t="s">
        <v>0</v>
      </c>
      <c r="I212" s="7" cm="1">
        <f t="array" ref="I212">_xlfn.IFS(H212="25-50%",230,H212="Top 25 %",260,H212="50-75%",200,H212="Last 25%",170,H212="Retire",150)</f>
        <v>170</v>
      </c>
      <c r="J212" s="15">
        <f t="shared" si="7"/>
        <v>183600</v>
      </c>
    </row>
    <row r="213" spans="1:10" x14ac:dyDescent="0.3">
      <c r="A213" s="7" t="s">
        <v>265</v>
      </c>
      <c r="B213" s="7" t="str">
        <f>_xlfn.XLOOKUP(A213,'Vendor code- SKU mapping'!$B$1:$B$806,'Vendor code- SKU mapping'!$A$1:$A$806)</f>
        <v>AAFC</v>
      </c>
      <c r="C213" s="7">
        <f>VLOOKUP(B213,'Vendor -MOQ- Lead time'!$A$2:$B$45,2,0)</f>
        <v>45</v>
      </c>
      <c r="D213" s="13">
        <f>ROUND(IF('Task 2'!G213&lt;0,ABS('Task 2'!G213),0),0)</f>
        <v>0</v>
      </c>
      <c r="E213" s="7">
        <f>ROUND('Task 2'!D213*'Task 3'!C213,0)</f>
        <v>116</v>
      </c>
      <c r="F213" s="7">
        <f>VLOOKUP(B213,'Vendor -MOQ- Lead time'!$A$2:$C$45,3,0)</f>
        <v>270</v>
      </c>
      <c r="G213" s="7">
        <f t="shared" si="6"/>
        <v>270</v>
      </c>
      <c r="H213" s="7" t="s">
        <v>0</v>
      </c>
      <c r="I213" s="7" cm="1">
        <f t="array" ref="I213">_xlfn.IFS(H213="25-50%",230,H213="Top 25 %",260,H213="50-75%",200,H213="Last 25%",170,H213="Retire",150)</f>
        <v>170</v>
      </c>
      <c r="J213" s="15">
        <f t="shared" si="7"/>
        <v>45900</v>
      </c>
    </row>
    <row r="214" spans="1:10" x14ac:dyDescent="0.3">
      <c r="A214" s="7" t="s">
        <v>266</v>
      </c>
      <c r="B214" s="7" t="str">
        <f>_xlfn.XLOOKUP(A214,'Vendor code- SKU mapping'!$B$1:$B$806,'Vendor code- SKU mapping'!$A$1:$A$806)</f>
        <v>IStu</v>
      </c>
      <c r="C214" s="7">
        <f>VLOOKUP(B214,'Vendor -MOQ- Lead time'!$A$2:$B$45,2,0)</f>
        <v>30</v>
      </c>
      <c r="D214" s="13">
        <f>ROUND(IF('Task 2'!G214&lt;0,ABS('Task 2'!G214),0),0)</f>
        <v>0</v>
      </c>
      <c r="E214" s="7">
        <f>ROUND('Task 2'!D214*'Task 3'!C214,0)</f>
        <v>162</v>
      </c>
      <c r="F214" s="7">
        <f>VLOOKUP(B214,'Vendor -MOQ- Lead time'!$A$2:$C$45,3,0)</f>
        <v>180</v>
      </c>
      <c r="G214" s="7">
        <f t="shared" si="6"/>
        <v>180</v>
      </c>
      <c r="H214" s="7" t="s">
        <v>0</v>
      </c>
      <c r="I214" s="7" cm="1">
        <f t="array" ref="I214">_xlfn.IFS(H214="25-50%",230,H214="Top 25 %",260,H214="50-75%",200,H214="Last 25%",170,H214="Retire",150)</f>
        <v>170</v>
      </c>
      <c r="J214" s="15">
        <f t="shared" si="7"/>
        <v>30600</v>
      </c>
    </row>
    <row r="215" spans="1:10" x14ac:dyDescent="0.3">
      <c r="A215" s="7" t="s">
        <v>267</v>
      </c>
      <c r="B215" s="7" t="str">
        <f>_xlfn.XLOOKUP(A215,'Vendor code- SKU mapping'!$B$1:$B$806,'Vendor code- SKU mapping'!$A$1:$A$806)</f>
        <v>ONex</v>
      </c>
      <c r="C215" s="7">
        <f>VLOOKUP(B215,'Vendor -MOQ- Lead time'!$A$2:$B$45,2,0)</f>
        <v>90</v>
      </c>
      <c r="D215" s="13">
        <f>ROUND(IF('Task 2'!G215&lt;0,ABS('Task 2'!G215),0),0)</f>
        <v>0</v>
      </c>
      <c r="E215" s="7">
        <f>ROUND('Task 2'!D215*'Task 3'!C215,0)</f>
        <v>357</v>
      </c>
      <c r="F215" s="7">
        <f>VLOOKUP(B215,'Vendor -MOQ- Lead time'!$A$2:$C$45,3,0)</f>
        <v>1440</v>
      </c>
      <c r="G215" s="7">
        <f t="shared" si="6"/>
        <v>1440</v>
      </c>
      <c r="H215" s="7" t="s">
        <v>0</v>
      </c>
      <c r="I215" s="7" cm="1">
        <f t="array" ref="I215">_xlfn.IFS(H215="25-50%",230,H215="Top 25 %",260,H215="50-75%",200,H215="Last 25%",170,H215="Retire",150)</f>
        <v>170</v>
      </c>
      <c r="J215" s="15">
        <f t="shared" si="7"/>
        <v>244800</v>
      </c>
    </row>
    <row r="216" spans="1:10" x14ac:dyDescent="0.3">
      <c r="A216" s="7" t="s">
        <v>268</v>
      </c>
      <c r="B216" s="7" t="str">
        <f>_xlfn.XLOOKUP(A216,'Vendor code- SKU mapping'!$B$1:$B$806,'Vendor code- SKU mapping'!$A$1:$A$806)</f>
        <v>EDaz</v>
      </c>
      <c r="C216" s="7">
        <f>VLOOKUP(B216,'Vendor -MOQ- Lead time'!$A$2:$B$45,2,0)</f>
        <v>30</v>
      </c>
      <c r="D216" s="13">
        <f>ROUND(IF('Task 2'!G216&lt;0,ABS('Task 2'!G216),0),0)</f>
        <v>69</v>
      </c>
      <c r="E216" s="7">
        <f>ROUND('Task 2'!D216*'Task 3'!C216,0)</f>
        <v>378</v>
      </c>
      <c r="F216" s="7">
        <f>VLOOKUP(B216,'Vendor -MOQ- Lead time'!$A$2:$C$45,3,0)</f>
        <v>180</v>
      </c>
      <c r="G216" s="7">
        <f t="shared" si="6"/>
        <v>540</v>
      </c>
      <c r="H216" s="7" t="s">
        <v>2</v>
      </c>
      <c r="I216" s="7" cm="1">
        <f t="array" ref="I216">_xlfn.IFS(H216="25-50%",230,H216="Top 25 %",260,H216="50-75%",200,H216="Last 25%",170,H216="Retire",150)</f>
        <v>230</v>
      </c>
      <c r="J216" s="15">
        <f t="shared" si="7"/>
        <v>124200</v>
      </c>
    </row>
    <row r="217" spans="1:10" x14ac:dyDescent="0.3">
      <c r="A217" s="7" t="s">
        <v>269</v>
      </c>
      <c r="B217" s="7" t="str">
        <f>_xlfn.XLOOKUP(A217,'Vendor code- SKU mapping'!$B$1:$B$806,'Vendor code- SKU mapping'!$A$1:$A$806)</f>
        <v>OMah</v>
      </c>
      <c r="C217" s="7">
        <f>VLOOKUP(B217,'Vendor -MOQ- Lead time'!$A$2:$B$45,2,0)</f>
        <v>45</v>
      </c>
      <c r="D217" s="13">
        <f>ROUND(IF('Task 2'!G217&lt;0,ABS('Task 2'!G217),0),0)</f>
        <v>0</v>
      </c>
      <c r="E217" s="7">
        <f>ROUND('Task 2'!D217*'Task 3'!C217,0)</f>
        <v>393</v>
      </c>
      <c r="F217" s="7">
        <f>VLOOKUP(B217,'Vendor -MOQ- Lead time'!$A$2:$C$45,3,0)</f>
        <v>270</v>
      </c>
      <c r="G217" s="7">
        <f t="shared" si="6"/>
        <v>540</v>
      </c>
      <c r="H217" s="7" t="s">
        <v>1</v>
      </c>
      <c r="I217" s="7" cm="1">
        <f t="array" ref="I217">_xlfn.IFS(H217="25-50%",230,H217="Top 25 %",260,H217="50-75%",200,H217="Last 25%",170,H217="Retire",150)</f>
        <v>200</v>
      </c>
      <c r="J217" s="15">
        <f t="shared" si="7"/>
        <v>108000</v>
      </c>
    </row>
    <row r="218" spans="1:10" x14ac:dyDescent="0.3">
      <c r="A218" s="7" t="s">
        <v>270</v>
      </c>
      <c r="B218" s="7" t="str">
        <f>_xlfn.XLOOKUP(A218,'Vendor code- SKU mapping'!$B$1:$B$806,'Vendor code- SKU mapping'!$A$1:$A$806)</f>
        <v>OMah</v>
      </c>
      <c r="C218" s="7">
        <f>VLOOKUP(B218,'Vendor -MOQ- Lead time'!$A$2:$B$45,2,0)</f>
        <v>45</v>
      </c>
      <c r="D218" s="13">
        <f>ROUND(IF('Task 2'!G218&lt;0,ABS('Task 2'!G218),0),0)</f>
        <v>0</v>
      </c>
      <c r="E218" s="7">
        <f>ROUND('Task 2'!D218*'Task 3'!C218,0)</f>
        <v>341</v>
      </c>
      <c r="F218" s="7">
        <f>VLOOKUP(B218,'Vendor -MOQ- Lead time'!$A$2:$C$45,3,0)</f>
        <v>270</v>
      </c>
      <c r="G218" s="7">
        <f t="shared" si="6"/>
        <v>540</v>
      </c>
      <c r="H218" s="7" t="s">
        <v>1</v>
      </c>
      <c r="I218" s="7" cm="1">
        <f t="array" ref="I218">_xlfn.IFS(H218="25-50%",230,H218="Top 25 %",260,H218="50-75%",200,H218="Last 25%",170,H218="Retire",150)</f>
        <v>200</v>
      </c>
      <c r="J218" s="15">
        <f t="shared" si="7"/>
        <v>108000</v>
      </c>
    </row>
    <row r="219" spans="1:10" x14ac:dyDescent="0.3">
      <c r="A219" s="7" t="s">
        <v>271</v>
      </c>
      <c r="B219" s="7" t="str">
        <f>_xlfn.XLOOKUP(A219,'Vendor code- SKU mapping'!$B$1:$B$806,'Vendor code- SKU mapping'!$A$1:$A$806)</f>
        <v>ORoy</v>
      </c>
      <c r="C219" s="7">
        <f>VLOOKUP(B219,'Vendor -MOQ- Lead time'!$A$2:$B$45,2,0)</f>
        <v>45</v>
      </c>
      <c r="D219" s="13">
        <f>ROUND(IF('Task 2'!G219&lt;0,ABS('Task 2'!G219),0),0)</f>
        <v>84</v>
      </c>
      <c r="E219" s="7">
        <f>ROUND('Task 2'!D219*'Task 3'!C219,0)</f>
        <v>293</v>
      </c>
      <c r="F219" s="7">
        <f>VLOOKUP(B219,'Vendor -MOQ- Lead time'!$A$2:$C$45,3,0)</f>
        <v>270</v>
      </c>
      <c r="G219" s="7">
        <f t="shared" si="6"/>
        <v>540</v>
      </c>
      <c r="H219" s="7" t="s">
        <v>0</v>
      </c>
      <c r="I219" s="7" cm="1">
        <f t="array" ref="I219">_xlfn.IFS(H219="25-50%",230,H219="Top 25 %",260,H219="50-75%",200,H219="Last 25%",170,H219="Retire",150)</f>
        <v>170</v>
      </c>
      <c r="J219" s="15">
        <f t="shared" si="7"/>
        <v>91800</v>
      </c>
    </row>
    <row r="220" spans="1:10" x14ac:dyDescent="0.3">
      <c r="A220" s="7" t="s">
        <v>272</v>
      </c>
      <c r="B220" s="7" t="str">
        <f>_xlfn.XLOOKUP(A220,'Vendor code- SKU mapping'!$B$1:$B$806,'Vendor code- SKU mapping'!$A$1:$A$806)</f>
        <v>EHei</v>
      </c>
      <c r="C220" s="7">
        <f>VLOOKUP(B220,'Vendor -MOQ- Lead time'!$A$2:$B$45,2,0)</f>
        <v>45</v>
      </c>
      <c r="D220" s="13">
        <f>ROUND(IF('Task 2'!G220&lt;0,ABS('Task 2'!G220),0),0)</f>
        <v>0</v>
      </c>
      <c r="E220" s="7">
        <f>ROUND('Task 2'!D220*'Task 3'!C220,0)</f>
        <v>132</v>
      </c>
      <c r="F220" s="7">
        <f>VLOOKUP(B220,'Vendor -MOQ- Lead time'!$A$2:$C$45,3,0)</f>
        <v>270</v>
      </c>
      <c r="G220" s="7">
        <f t="shared" si="6"/>
        <v>270</v>
      </c>
      <c r="H220" s="7" t="s">
        <v>0</v>
      </c>
      <c r="I220" s="7" cm="1">
        <f t="array" ref="I220">_xlfn.IFS(H220="25-50%",230,H220="Top 25 %",260,H220="50-75%",200,H220="Last 25%",170,H220="Retire",150)</f>
        <v>170</v>
      </c>
      <c r="J220" s="15">
        <f t="shared" si="7"/>
        <v>45900</v>
      </c>
    </row>
    <row r="221" spans="1:10" x14ac:dyDescent="0.3">
      <c r="A221" s="7" t="s">
        <v>273</v>
      </c>
      <c r="B221" s="7" t="str">
        <f>_xlfn.XLOOKUP(A221,'Vendor code- SKU mapping'!$B$1:$B$806,'Vendor code- SKU mapping'!$A$1:$A$806)</f>
        <v>AAre</v>
      </c>
      <c r="C221" s="7">
        <f>VLOOKUP(B221,'Vendor -MOQ- Lead time'!$A$2:$B$45,2,0)</f>
        <v>45</v>
      </c>
      <c r="D221" s="13">
        <f>ROUND(IF('Task 2'!G221&lt;0,ABS('Task 2'!G221),0),0)</f>
        <v>95</v>
      </c>
      <c r="E221" s="7">
        <f>ROUND('Task 2'!D221*'Task 3'!C221,0)</f>
        <v>311</v>
      </c>
      <c r="F221" s="7">
        <f>VLOOKUP(B221,'Vendor -MOQ- Lead time'!$A$2:$C$45,3,0)</f>
        <v>270</v>
      </c>
      <c r="G221" s="7">
        <f t="shared" si="6"/>
        <v>540</v>
      </c>
      <c r="H221" s="7" t="s">
        <v>2</v>
      </c>
      <c r="I221" s="7" cm="1">
        <f t="array" ref="I221">_xlfn.IFS(H221="25-50%",230,H221="Top 25 %",260,H221="50-75%",200,H221="Last 25%",170,H221="Retire",150)</f>
        <v>230</v>
      </c>
      <c r="J221" s="15">
        <f t="shared" si="7"/>
        <v>124200</v>
      </c>
    </row>
    <row r="222" spans="1:10" x14ac:dyDescent="0.3">
      <c r="A222" s="7" t="s">
        <v>274</v>
      </c>
      <c r="B222" s="7" t="str">
        <f>_xlfn.XLOOKUP(A222,'Vendor code- SKU mapping'!$B$1:$B$806,'Vendor code- SKU mapping'!$A$1:$A$806)</f>
        <v>OShe</v>
      </c>
      <c r="C222" s="7">
        <f>VLOOKUP(B222,'Vendor -MOQ- Lead time'!$A$2:$B$45,2,0)</f>
        <v>30</v>
      </c>
      <c r="D222" s="13">
        <f>ROUND(IF('Task 2'!G222&lt;0,ABS('Task 2'!G222),0),0)</f>
        <v>0</v>
      </c>
      <c r="E222" s="7">
        <f>ROUND('Task 2'!D222*'Task 3'!C222,0)</f>
        <v>153</v>
      </c>
      <c r="F222" s="7">
        <f>VLOOKUP(B222,'Vendor -MOQ- Lead time'!$A$2:$C$45,3,0)</f>
        <v>180</v>
      </c>
      <c r="G222" s="7">
        <f t="shared" si="6"/>
        <v>180</v>
      </c>
      <c r="H222" s="7" t="s">
        <v>0</v>
      </c>
      <c r="I222" s="7" cm="1">
        <f t="array" ref="I222">_xlfn.IFS(H222="25-50%",230,H222="Top 25 %",260,H222="50-75%",200,H222="Last 25%",170,H222="Retire",150)</f>
        <v>170</v>
      </c>
      <c r="J222" s="15">
        <f t="shared" si="7"/>
        <v>30600</v>
      </c>
    </row>
    <row r="223" spans="1:10" x14ac:dyDescent="0.3">
      <c r="A223" s="7" t="s">
        <v>275</v>
      </c>
      <c r="B223" s="7" t="str">
        <f>_xlfn.XLOOKUP(A223,'Vendor code- SKU mapping'!$B$1:$B$806,'Vendor code- SKU mapping'!$A$1:$A$806)</f>
        <v>OMah</v>
      </c>
      <c r="C223" s="7">
        <f>VLOOKUP(B223,'Vendor -MOQ- Lead time'!$A$2:$B$45,2,0)</f>
        <v>45</v>
      </c>
      <c r="D223" s="13">
        <f>ROUND(IF('Task 2'!G223&lt;0,ABS('Task 2'!G223),0),0)</f>
        <v>43</v>
      </c>
      <c r="E223" s="7">
        <f>ROUND('Task 2'!D223*'Task 3'!C223,0)</f>
        <v>209</v>
      </c>
      <c r="F223" s="7">
        <f>VLOOKUP(B223,'Vendor -MOQ- Lead time'!$A$2:$C$45,3,0)</f>
        <v>270</v>
      </c>
      <c r="G223" s="7">
        <f t="shared" si="6"/>
        <v>270</v>
      </c>
      <c r="H223" s="7" t="s">
        <v>0</v>
      </c>
      <c r="I223" s="7" cm="1">
        <f t="array" ref="I223">_xlfn.IFS(H223="25-50%",230,H223="Top 25 %",260,H223="50-75%",200,H223="Last 25%",170,H223="Retire",150)</f>
        <v>170</v>
      </c>
      <c r="J223" s="15">
        <f t="shared" si="7"/>
        <v>45900</v>
      </c>
    </row>
    <row r="224" spans="1:10" x14ac:dyDescent="0.3">
      <c r="A224" s="7" t="s">
        <v>276</v>
      </c>
      <c r="B224" s="7" t="str">
        <f>_xlfn.XLOOKUP(A224,'Vendor code- SKU mapping'!$B$1:$B$806,'Vendor code- SKU mapping'!$A$1:$A$806)</f>
        <v>EIta</v>
      </c>
      <c r="C224" s="7">
        <f>VLOOKUP(B224,'Vendor -MOQ- Lead time'!$A$2:$B$45,2,0)</f>
        <v>60</v>
      </c>
      <c r="D224" s="13">
        <f>ROUND(IF('Task 2'!G224&lt;0,ABS('Task 2'!G224),0),0)</f>
        <v>0</v>
      </c>
      <c r="E224" s="7">
        <f>ROUND('Task 2'!D224*'Task 3'!C224,0)</f>
        <v>178</v>
      </c>
      <c r="F224" s="7">
        <f>VLOOKUP(B224,'Vendor -MOQ- Lead time'!$A$2:$C$45,3,0)</f>
        <v>1080</v>
      </c>
      <c r="G224" s="7">
        <f t="shared" si="6"/>
        <v>1080</v>
      </c>
      <c r="H224" s="7" t="s">
        <v>0</v>
      </c>
      <c r="I224" s="7" cm="1">
        <f t="array" ref="I224">_xlfn.IFS(H224="25-50%",230,H224="Top 25 %",260,H224="50-75%",200,H224="Last 25%",170,H224="Retire",150)</f>
        <v>170</v>
      </c>
      <c r="J224" s="15">
        <f t="shared" si="7"/>
        <v>183600</v>
      </c>
    </row>
    <row r="225" spans="1:10" x14ac:dyDescent="0.3">
      <c r="A225" s="7" t="s">
        <v>277</v>
      </c>
      <c r="B225" s="7" t="str">
        <f>_xlfn.XLOOKUP(A225,'Vendor code- SKU mapping'!$B$1:$B$806,'Vendor code- SKU mapping'!$A$1:$A$806)</f>
        <v>EDaz</v>
      </c>
      <c r="C225" s="7">
        <f>VLOOKUP(B225,'Vendor -MOQ- Lead time'!$A$2:$B$45,2,0)</f>
        <v>30</v>
      </c>
      <c r="D225" s="13">
        <f>ROUND(IF('Task 2'!G225&lt;0,ABS('Task 2'!G225),0),0)</f>
        <v>189</v>
      </c>
      <c r="E225" s="7">
        <f>ROUND('Task 2'!D225*'Task 3'!C225,0)</f>
        <v>268</v>
      </c>
      <c r="F225" s="7">
        <f>VLOOKUP(B225,'Vendor -MOQ- Lead time'!$A$2:$C$45,3,0)</f>
        <v>180</v>
      </c>
      <c r="G225" s="7">
        <f t="shared" si="6"/>
        <v>540</v>
      </c>
      <c r="H225" s="7" t="s">
        <v>2</v>
      </c>
      <c r="I225" s="7" cm="1">
        <f t="array" ref="I225">_xlfn.IFS(H225="25-50%",230,H225="Top 25 %",260,H225="50-75%",200,H225="Last 25%",170,H225="Retire",150)</f>
        <v>230</v>
      </c>
      <c r="J225" s="15">
        <f t="shared" si="7"/>
        <v>124200</v>
      </c>
    </row>
    <row r="226" spans="1:10" x14ac:dyDescent="0.3">
      <c r="A226" s="7" t="s">
        <v>278</v>
      </c>
      <c r="B226" s="7" t="str">
        <f>_xlfn.XLOOKUP(A226,'Vendor code- SKU mapping'!$B$1:$B$806,'Vendor code- SKU mapping'!$A$1:$A$806)</f>
        <v>OShe</v>
      </c>
      <c r="C226" s="7">
        <f>VLOOKUP(B226,'Vendor -MOQ- Lead time'!$A$2:$B$45,2,0)</f>
        <v>30</v>
      </c>
      <c r="D226" s="13">
        <f>ROUND(IF('Task 2'!G226&lt;0,ABS('Task 2'!G226),0),0)</f>
        <v>0</v>
      </c>
      <c r="E226" s="7">
        <f>ROUND('Task 2'!D226*'Task 3'!C226,0)</f>
        <v>173</v>
      </c>
      <c r="F226" s="7">
        <f>VLOOKUP(B226,'Vendor -MOQ- Lead time'!$A$2:$C$45,3,0)</f>
        <v>180</v>
      </c>
      <c r="G226" s="7">
        <f t="shared" si="6"/>
        <v>180</v>
      </c>
      <c r="H226" s="7" t="s">
        <v>1</v>
      </c>
      <c r="I226" s="7" cm="1">
        <f t="array" ref="I226">_xlfn.IFS(H226="25-50%",230,H226="Top 25 %",260,H226="50-75%",200,H226="Last 25%",170,H226="Retire",150)</f>
        <v>200</v>
      </c>
      <c r="J226" s="15">
        <f t="shared" si="7"/>
        <v>36000</v>
      </c>
    </row>
    <row r="227" spans="1:10" x14ac:dyDescent="0.3">
      <c r="A227" s="7" t="s">
        <v>279</v>
      </c>
      <c r="B227" s="7" t="str">
        <f>_xlfn.XLOOKUP(A227,'Vendor code- SKU mapping'!$B$1:$B$806,'Vendor code- SKU mapping'!$A$1:$A$806)</f>
        <v>IVS</v>
      </c>
      <c r="C227" s="7">
        <f>VLOOKUP(B227,'Vendor -MOQ- Lead time'!$A$2:$B$45,2,0)</f>
        <v>30</v>
      </c>
      <c r="D227" s="13">
        <f>ROUND(IF('Task 2'!G227&lt;0,ABS('Task 2'!G227),0),0)</f>
        <v>0</v>
      </c>
      <c r="E227" s="7">
        <f>ROUND('Task 2'!D227*'Task 3'!C227,0)</f>
        <v>158</v>
      </c>
      <c r="F227" s="7">
        <f>VLOOKUP(B227,'Vendor -MOQ- Lead time'!$A$2:$C$45,3,0)</f>
        <v>180</v>
      </c>
      <c r="G227" s="7">
        <f t="shared" si="6"/>
        <v>180</v>
      </c>
      <c r="H227" s="7" t="s">
        <v>1</v>
      </c>
      <c r="I227" s="7" cm="1">
        <f t="array" ref="I227">_xlfn.IFS(H227="25-50%",230,H227="Top 25 %",260,H227="50-75%",200,H227="Last 25%",170,H227="Retire",150)</f>
        <v>200</v>
      </c>
      <c r="J227" s="15">
        <f t="shared" si="7"/>
        <v>36000</v>
      </c>
    </row>
    <row r="228" spans="1:10" x14ac:dyDescent="0.3">
      <c r="A228" s="7" t="s">
        <v>280</v>
      </c>
      <c r="B228" s="7" t="str">
        <f>_xlfn.XLOOKUP(A228,'Vendor code- SKU mapping'!$B$1:$B$806,'Vendor code- SKU mapping'!$A$1:$A$806)</f>
        <v>OMug</v>
      </c>
      <c r="C228" s="7">
        <f>VLOOKUP(B228,'Vendor -MOQ- Lead time'!$A$2:$B$45,2,0)</f>
        <v>45</v>
      </c>
      <c r="D228" s="13">
        <f>ROUND(IF('Task 2'!G228&lt;0,ABS('Task 2'!G228),0),0)</f>
        <v>205</v>
      </c>
      <c r="E228" s="7">
        <f>ROUND('Task 2'!D228*'Task 3'!C228,0)</f>
        <v>366</v>
      </c>
      <c r="F228" s="7">
        <f>VLOOKUP(B228,'Vendor -MOQ- Lead time'!$A$2:$C$45,3,0)</f>
        <v>270</v>
      </c>
      <c r="G228" s="7">
        <f t="shared" si="6"/>
        <v>810</v>
      </c>
      <c r="H228" s="7" t="s">
        <v>0</v>
      </c>
      <c r="I228" s="7" cm="1">
        <f t="array" ref="I228">_xlfn.IFS(H228="25-50%",230,H228="Top 25 %",260,H228="50-75%",200,H228="Last 25%",170,H228="Retire",150)</f>
        <v>170</v>
      </c>
      <c r="J228" s="15">
        <f t="shared" si="7"/>
        <v>137700</v>
      </c>
    </row>
    <row r="229" spans="1:10" x14ac:dyDescent="0.3">
      <c r="A229" s="7" t="s">
        <v>281</v>
      </c>
      <c r="B229" s="7" t="str">
        <f>_xlfn.XLOOKUP(A229,'Vendor code- SKU mapping'!$B$1:$B$806,'Vendor code- SKU mapping'!$A$1:$A$806)</f>
        <v>OShe</v>
      </c>
      <c r="C229" s="7">
        <f>VLOOKUP(B229,'Vendor -MOQ- Lead time'!$A$2:$B$45,2,0)</f>
        <v>30</v>
      </c>
      <c r="D229" s="13">
        <f>ROUND(IF('Task 2'!G229&lt;0,ABS('Task 2'!G229),0),0)</f>
        <v>0</v>
      </c>
      <c r="E229" s="7">
        <f>ROUND('Task 2'!D229*'Task 3'!C229,0)</f>
        <v>161</v>
      </c>
      <c r="F229" s="7">
        <f>VLOOKUP(B229,'Vendor -MOQ- Lead time'!$A$2:$C$45,3,0)</f>
        <v>180</v>
      </c>
      <c r="G229" s="7">
        <f t="shared" si="6"/>
        <v>180</v>
      </c>
      <c r="H229" s="7" t="s">
        <v>0</v>
      </c>
      <c r="I229" s="7" cm="1">
        <f t="array" ref="I229">_xlfn.IFS(H229="25-50%",230,H229="Top 25 %",260,H229="50-75%",200,H229="Last 25%",170,H229="Retire",150)</f>
        <v>170</v>
      </c>
      <c r="J229" s="15">
        <f t="shared" si="7"/>
        <v>30600</v>
      </c>
    </row>
    <row r="230" spans="1:10" x14ac:dyDescent="0.3">
      <c r="A230" s="7" t="s">
        <v>282</v>
      </c>
      <c r="B230" s="7" t="str">
        <f>_xlfn.XLOOKUP(A230,'Vendor code- SKU mapping'!$B$1:$B$806,'Vendor code- SKU mapping'!$A$1:$A$806)</f>
        <v>ISte</v>
      </c>
      <c r="C230" s="7">
        <f>VLOOKUP(B230,'Vendor -MOQ- Lead time'!$A$2:$B$45,2,0)</f>
        <v>45</v>
      </c>
      <c r="D230" s="13">
        <f>ROUND(IF('Task 2'!G230&lt;0,ABS('Task 2'!G230),0),0)</f>
        <v>0</v>
      </c>
      <c r="E230" s="7">
        <f>ROUND('Task 2'!D230*'Task 3'!C230,0)</f>
        <v>204</v>
      </c>
      <c r="F230" s="7">
        <f>VLOOKUP(B230,'Vendor -MOQ- Lead time'!$A$2:$C$45,3,0)</f>
        <v>270</v>
      </c>
      <c r="G230" s="7">
        <f t="shared" si="6"/>
        <v>270</v>
      </c>
      <c r="H230" s="7" t="s">
        <v>0</v>
      </c>
      <c r="I230" s="7" cm="1">
        <f t="array" ref="I230">_xlfn.IFS(H230="25-50%",230,H230="Top 25 %",260,H230="50-75%",200,H230="Last 25%",170,H230="Retire",150)</f>
        <v>170</v>
      </c>
      <c r="J230" s="15">
        <f t="shared" si="7"/>
        <v>45900</v>
      </c>
    </row>
    <row r="231" spans="1:10" x14ac:dyDescent="0.3">
      <c r="A231" s="7" t="s">
        <v>283</v>
      </c>
      <c r="B231" s="7" t="str">
        <f>_xlfn.XLOOKUP(A231,'Vendor code- SKU mapping'!$B$1:$B$806,'Vendor code- SKU mapping'!$A$1:$A$806)</f>
        <v>AAFC</v>
      </c>
      <c r="C231" s="7">
        <f>VLOOKUP(B231,'Vendor -MOQ- Lead time'!$A$2:$B$45,2,0)</f>
        <v>45</v>
      </c>
      <c r="D231" s="13">
        <f>ROUND(IF('Task 2'!G231&lt;0,ABS('Task 2'!G231),0),0)</f>
        <v>0</v>
      </c>
      <c r="E231" s="7">
        <f>ROUND('Task 2'!D231*'Task 3'!C231,0)</f>
        <v>239</v>
      </c>
      <c r="F231" s="7">
        <f>VLOOKUP(B231,'Vendor -MOQ- Lead time'!$A$2:$C$45,3,0)</f>
        <v>270</v>
      </c>
      <c r="G231" s="7">
        <f t="shared" si="6"/>
        <v>270</v>
      </c>
      <c r="H231" s="7" t="s">
        <v>0</v>
      </c>
      <c r="I231" s="7" cm="1">
        <f t="array" ref="I231">_xlfn.IFS(H231="25-50%",230,H231="Top 25 %",260,H231="50-75%",200,H231="Last 25%",170,H231="Retire",150)</f>
        <v>170</v>
      </c>
      <c r="J231" s="15">
        <f t="shared" si="7"/>
        <v>45900</v>
      </c>
    </row>
    <row r="232" spans="1:10" x14ac:dyDescent="0.3">
      <c r="A232" s="7" t="s">
        <v>284</v>
      </c>
      <c r="B232" s="7" t="str">
        <f>_xlfn.XLOOKUP(A232,'Vendor code- SKU mapping'!$B$1:$B$806,'Vendor code- SKU mapping'!$A$1:$A$806)</f>
        <v>ISV</v>
      </c>
      <c r="C232" s="7">
        <f>VLOOKUP(B232,'Vendor -MOQ- Lead time'!$A$2:$B$45,2,0)</f>
        <v>45</v>
      </c>
      <c r="D232" s="13">
        <f>ROUND(IF('Task 2'!G232&lt;0,ABS('Task 2'!G232),0),0)</f>
        <v>0</v>
      </c>
      <c r="E232" s="7">
        <f>ROUND('Task 2'!D232*'Task 3'!C232,0)</f>
        <v>177</v>
      </c>
      <c r="F232" s="7">
        <f>VLOOKUP(B232,'Vendor -MOQ- Lead time'!$A$2:$C$45,3,0)</f>
        <v>270</v>
      </c>
      <c r="G232" s="7">
        <f t="shared" si="6"/>
        <v>270</v>
      </c>
      <c r="H232" s="7" t="s">
        <v>0</v>
      </c>
      <c r="I232" s="7" cm="1">
        <f t="array" ref="I232">_xlfn.IFS(H232="25-50%",230,H232="Top 25 %",260,H232="50-75%",200,H232="Last 25%",170,H232="Retire",150)</f>
        <v>170</v>
      </c>
      <c r="J232" s="15">
        <f t="shared" si="7"/>
        <v>45900</v>
      </c>
    </row>
    <row r="233" spans="1:10" x14ac:dyDescent="0.3">
      <c r="A233" s="7" t="s">
        <v>285</v>
      </c>
      <c r="B233" s="7" t="str">
        <f>_xlfn.XLOOKUP(A233,'Vendor code- SKU mapping'!$B$1:$B$806,'Vendor code- SKU mapping'!$A$1:$A$806)</f>
        <v>EHei</v>
      </c>
      <c r="C233" s="7">
        <f>VLOOKUP(B233,'Vendor -MOQ- Lead time'!$A$2:$B$45,2,0)</f>
        <v>45</v>
      </c>
      <c r="D233" s="13">
        <f>ROUND(IF('Task 2'!G233&lt;0,ABS('Task 2'!G233),0),0)</f>
        <v>0</v>
      </c>
      <c r="E233" s="7">
        <f>ROUND('Task 2'!D233*'Task 3'!C233,0)</f>
        <v>128</v>
      </c>
      <c r="F233" s="7">
        <f>VLOOKUP(B233,'Vendor -MOQ- Lead time'!$A$2:$C$45,3,0)</f>
        <v>270</v>
      </c>
      <c r="G233" s="7">
        <f t="shared" si="6"/>
        <v>270</v>
      </c>
      <c r="H233" s="7" t="s">
        <v>0</v>
      </c>
      <c r="I233" s="7" cm="1">
        <f t="array" ref="I233">_xlfn.IFS(H233="25-50%",230,H233="Top 25 %",260,H233="50-75%",200,H233="Last 25%",170,H233="Retire",150)</f>
        <v>170</v>
      </c>
      <c r="J233" s="15">
        <f t="shared" si="7"/>
        <v>45900</v>
      </c>
    </row>
    <row r="234" spans="1:10" x14ac:dyDescent="0.3">
      <c r="A234" s="7" t="s">
        <v>286</v>
      </c>
      <c r="B234" s="7" t="str">
        <f>_xlfn.XLOOKUP(A234,'Vendor code- SKU mapping'!$B$1:$B$806,'Vendor code- SKU mapping'!$A$1:$A$806)</f>
        <v>ONex</v>
      </c>
      <c r="C234" s="7">
        <f>VLOOKUP(B234,'Vendor -MOQ- Lead time'!$A$2:$B$45,2,0)</f>
        <v>90</v>
      </c>
      <c r="D234" s="13">
        <f>ROUND(IF('Task 2'!G234&lt;0,ABS('Task 2'!G234),0),0)</f>
        <v>0</v>
      </c>
      <c r="E234" s="7">
        <f>ROUND('Task 2'!D234*'Task 3'!C234,0)</f>
        <v>261</v>
      </c>
      <c r="F234" s="7">
        <f>VLOOKUP(B234,'Vendor -MOQ- Lead time'!$A$2:$C$45,3,0)</f>
        <v>1440</v>
      </c>
      <c r="G234" s="7">
        <f t="shared" si="6"/>
        <v>1440</v>
      </c>
      <c r="H234" s="7" t="s">
        <v>0</v>
      </c>
      <c r="I234" s="7" cm="1">
        <f t="array" ref="I234">_xlfn.IFS(H234="25-50%",230,H234="Top 25 %",260,H234="50-75%",200,H234="Last 25%",170,H234="Retire",150)</f>
        <v>170</v>
      </c>
      <c r="J234" s="15">
        <f t="shared" si="7"/>
        <v>244800</v>
      </c>
    </row>
    <row r="235" spans="1:10" x14ac:dyDescent="0.3">
      <c r="A235" s="7" t="s">
        <v>287</v>
      </c>
      <c r="B235" s="7" t="str">
        <f>_xlfn.XLOOKUP(A235,'Vendor code- SKU mapping'!$B$1:$B$806,'Vendor code- SKU mapping'!$A$1:$A$806)</f>
        <v>ISte</v>
      </c>
      <c r="C235" s="7">
        <f>VLOOKUP(B235,'Vendor -MOQ- Lead time'!$A$2:$B$45,2,0)</f>
        <v>45</v>
      </c>
      <c r="D235" s="13">
        <f>ROUND(IF('Task 2'!G235&lt;0,ABS('Task 2'!G235),0),0)</f>
        <v>243</v>
      </c>
      <c r="E235" s="7">
        <f>ROUND('Task 2'!D235*'Task 3'!C235,0)</f>
        <v>441</v>
      </c>
      <c r="F235" s="7">
        <f>VLOOKUP(B235,'Vendor -MOQ- Lead time'!$A$2:$C$45,3,0)</f>
        <v>270</v>
      </c>
      <c r="G235" s="7">
        <f t="shared" si="6"/>
        <v>810</v>
      </c>
      <c r="H235" s="7" t="s">
        <v>0</v>
      </c>
      <c r="I235" s="7" cm="1">
        <f t="array" ref="I235">_xlfn.IFS(H235="25-50%",230,H235="Top 25 %",260,H235="50-75%",200,H235="Last 25%",170,H235="Retire",150)</f>
        <v>170</v>
      </c>
      <c r="J235" s="15">
        <f t="shared" si="7"/>
        <v>137700</v>
      </c>
    </row>
    <row r="236" spans="1:10" x14ac:dyDescent="0.3">
      <c r="A236" s="7" t="s">
        <v>288</v>
      </c>
      <c r="B236" s="7" t="str">
        <f>_xlfn.XLOOKUP(A236,'Vendor code- SKU mapping'!$B$1:$B$806,'Vendor code- SKU mapping'!$A$1:$A$806)</f>
        <v>ONex</v>
      </c>
      <c r="C236" s="7">
        <f>VLOOKUP(B236,'Vendor -MOQ- Lead time'!$A$2:$B$45,2,0)</f>
        <v>90</v>
      </c>
      <c r="D236" s="13">
        <f>ROUND(IF('Task 2'!G236&lt;0,ABS('Task 2'!G236),0),0)</f>
        <v>0</v>
      </c>
      <c r="E236" s="7">
        <f>ROUND('Task 2'!D236*'Task 3'!C236,0)</f>
        <v>291</v>
      </c>
      <c r="F236" s="7">
        <f>VLOOKUP(B236,'Vendor -MOQ- Lead time'!$A$2:$C$45,3,0)</f>
        <v>1440</v>
      </c>
      <c r="G236" s="7">
        <f t="shared" si="6"/>
        <v>1440</v>
      </c>
      <c r="H236" s="7" t="s">
        <v>0</v>
      </c>
      <c r="I236" s="7" cm="1">
        <f t="array" ref="I236">_xlfn.IFS(H236="25-50%",230,H236="Top 25 %",260,H236="50-75%",200,H236="Last 25%",170,H236="Retire",150)</f>
        <v>170</v>
      </c>
      <c r="J236" s="15">
        <f t="shared" si="7"/>
        <v>244800</v>
      </c>
    </row>
    <row r="237" spans="1:10" x14ac:dyDescent="0.3">
      <c r="A237" s="7" t="s">
        <v>289</v>
      </c>
      <c r="B237" s="7" t="str">
        <f>_xlfn.XLOOKUP(A237,'Vendor code- SKU mapping'!$B$1:$B$806,'Vendor code- SKU mapping'!$A$1:$A$806)</f>
        <v>ISte</v>
      </c>
      <c r="C237" s="7">
        <f>VLOOKUP(B237,'Vendor -MOQ- Lead time'!$A$2:$B$45,2,0)</f>
        <v>45</v>
      </c>
      <c r="D237" s="13">
        <f>ROUND(IF('Task 2'!G237&lt;0,ABS('Task 2'!G237),0),0)</f>
        <v>0</v>
      </c>
      <c r="E237" s="7">
        <f>ROUND('Task 2'!D237*'Task 3'!C237,0)</f>
        <v>201</v>
      </c>
      <c r="F237" s="7">
        <f>VLOOKUP(B237,'Vendor -MOQ- Lead time'!$A$2:$C$45,3,0)</f>
        <v>270</v>
      </c>
      <c r="G237" s="7">
        <f t="shared" si="6"/>
        <v>270</v>
      </c>
      <c r="H237" s="7" t="s">
        <v>0</v>
      </c>
      <c r="I237" s="7" cm="1">
        <f t="array" ref="I237">_xlfn.IFS(H237="25-50%",230,H237="Top 25 %",260,H237="50-75%",200,H237="Last 25%",170,H237="Retire",150)</f>
        <v>170</v>
      </c>
      <c r="J237" s="15">
        <f t="shared" si="7"/>
        <v>45900</v>
      </c>
    </row>
    <row r="238" spans="1:10" x14ac:dyDescent="0.3">
      <c r="A238" s="7" t="s">
        <v>290</v>
      </c>
      <c r="B238" s="7" t="str">
        <f>_xlfn.XLOOKUP(A238,'Vendor code- SKU mapping'!$B$1:$B$806,'Vendor code- SKU mapping'!$A$1:$A$806)</f>
        <v>EIta</v>
      </c>
      <c r="C238" s="7">
        <f>VLOOKUP(B238,'Vendor -MOQ- Lead time'!$A$2:$B$45,2,0)</f>
        <v>60</v>
      </c>
      <c r="D238" s="13">
        <f>ROUND(IF('Task 2'!G238&lt;0,ABS('Task 2'!G238),0),0)</f>
        <v>0</v>
      </c>
      <c r="E238" s="7">
        <f>ROUND('Task 2'!D238*'Task 3'!C238,0)</f>
        <v>148</v>
      </c>
      <c r="F238" s="7">
        <f>VLOOKUP(B238,'Vendor -MOQ- Lead time'!$A$2:$C$45,3,0)</f>
        <v>1080</v>
      </c>
      <c r="G238" s="7">
        <f t="shared" si="6"/>
        <v>1080</v>
      </c>
      <c r="H238" s="7" t="s">
        <v>0</v>
      </c>
      <c r="I238" s="7" cm="1">
        <f t="array" ref="I238">_xlfn.IFS(H238="25-50%",230,H238="Top 25 %",260,H238="50-75%",200,H238="Last 25%",170,H238="Retire",150)</f>
        <v>170</v>
      </c>
      <c r="J238" s="15">
        <f t="shared" si="7"/>
        <v>183600</v>
      </c>
    </row>
    <row r="239" spans="1:10" x14ac:dyDescent="0.3">
      <c r="A239" s="7" t="s">
        <v>291</v>
      </c>
      <c r="B239" s="7" t="str">
        <f>_xlfn.XLOOKUP(A239,'Vendor code- SKU mapping'!$B$1:$B$806,'Vendor code- SKU mapping'!$A$1:$A$806)</f>
        <v>EFai</v>
      </c>
      <c r="C239" s="7">
        <f>VLOOKUP(B239,'Vendor -MOQ- Lead time'!$A$2:$B$45,2,0)</f>
        <v>60</v>
      </c>
      <c r="D239" s="13">
        <f>ROUND(IF('Task 2'!G239&lt;0,ABS('Task 2'!G239),0),0)</f>
        <v>0</v>
      </c>
      <c r="E239" s="7">
        <f>ROUND('Task 2'!D239*'Task 3'!C239,0)</f>
        <v>152</v>
      </c>
      <c r="F239" s="7">
        <f>VLOOKUP(B239,'Vendor -MOQ- Lead time'!$A$2:$C$45,3,0)</f>
        <v>1080</v>
      </c>
      <c r="G239" s="7">
        <f t="shared" si="6"/>
        <v>1080</v>
      </c>
      <c r="H239" s="7" t="s">
        <v>0</v>
      </c>
      <c r="I239" s="7" cm="1">
        <f t="array" ref="I239">_xlfn.IFS(H239="25-50%",230,H239="Top 25 %",260,H239="50-75%",200,H239="Last 25%",170,H239="Retire",150)</f>
        <v>170</v>
      </c>
      <c r="J239" s="15">
        <f t="shared" si="7"/>
        <v>183600</v>
      </c>
    </row>
    <row r="240" spans="1:10" x14ac:dyDescent="0.3">
      <c r="A240" s="7" t="s">
        <v>292</v>
      </c>
      <c r="B240" s="7" t="str">
        <f>_xlfn.XLOOKUP(A240,'Vendor code- SKU mapping'!$B$1:$B$806,'Vendor code- SKU mapping'!$A$1:$A$806)</f>
        <v>EFai</v>
      </c>
      <c r="C240" s="7">
        <f>VLOOKUP(B240,'Vendor -MOQ- Lead time'!$A$2:$B$45,2,0)</f>
        <v>60</v>
      </c>
      <c r="D240" s="13">
        <f>ROUND(IF('Task 2'!G240&lt;0,ABS('Task 2'!G240),0),0)</f>
        <v>0</v>
      </c>
      <c r="E240" s="7">
        <f>ROUND('Task 2'!D240*'Task 3'!C240,0)</f>
        <v>182</v>
      </c>
      <c r="F240" s="7">
        <f>VLOOKUP(B240,'Vendor -MOQ- Lead time'!$A$2:$C$45,3,0)</f>
        <v>1080</v>
      </c>
      <c r="G240" s="7">
        <f t="shared" si="6"/>
        <v>1080</v>
      </c>
      <c r="H240" s="7" t="s">
        <v>0</v>
      </c>
      <c r="I240" s="7" cm="1">
        <f t="array" ref="I240">_xlfn.IFS(H240="25-50%",230,H240="Top 25 %",260,H240="50-75%",200,H240="Last 25%",170,H240="Retire",150)</f>
        <v>170</v>
      </c>
      <c r="J240" s="15">
        <f t="shared" si="7"/>
        <v>183600</v>
      </c>
    </row>
    <row r="241" spans="1:10" x14ac:dyDescent="0.3">
      <c r="A241" s="7" t="s">
        <v>293</v>
      </c>
      <c r="B241" s="7" t="str">
        <f>_xlfn.XLOOKUP(A241,'Vendor code- SKU mapping'!$B$1:$B$806,'Vendor code- SKU mapping'!$A$1:$A$806)</f>
        <v>AARH</v>
      </c>
      <c r="C241" s="7">
        <f>VLOOKUP(B241,'Vendor -MOQ- Lead time'!$A$2:$B$45,2,0)</f>
        <v>90</v>
      </c>
      <c r="D241" s="13">
        <f>ROUND(IF('Task 2'!G241&lt;0,ABS('Task 2'!G241),0),0)</f>
        <v>0</v>
      </c>
      <c r="E241" s="7">
        <f>ROUND('Task 2'!D241*'Task 3'!C241,0)</f>
        <v>186</v>
      </c>
      <c r="F241" s="7">
        <f>VLOOKUP(B241,'Vendor -MOQ- Lead time'!$A$2:$C$45,3,0)</f>
        <v>1080</v>
      </c>
      <c r="G241" s="7">
        <f t="shared" si="6"/>
        <v>1080</v>
      </c>
      <c r="H241" s="7" t="s">
        <v>0</v>
      </c>
      <c r="I241" s="7" cm="1">
        <f t="array" ref="I241">_xlfn.IFS(H241="25-50%",230,H241="Top 25 %",260,H241="50-75%",200,H241="Last 25%",170,H241="Retire",150)</f>
        <v>170</v>
      </c>
      <c r="J241" s="15">
        <f t="shared" si="7"/>
        <v>183600</v>
      </c>
    </row>
    <row r="242" spans="1:10" x14ac:dyDescent="0.3">
      <c r="A242" s="7" t="s">
        <v>294</v>
      </c>
      <c r="B242" s="7" t="str">
        <f>_xlfn.XLOOKUP(A242,'Vendor code- SKU mapping'!$B$1:$B$806,'Vendor code- SKU mapping'!$A$1:$A$806)</f>
        <v>AAFC</v>
      </c>
      <c r="C242" s="7">
        <f>VLOOKUP(B242,'Vendor -MOQ- Lead time'!$A$2:$B$45,2,0)</f>
        <v>45</v>
      </c>
      <c r="D242" s="13">
        <f>ROUND(IF('Task 2'!G242&lt;0,ABS('Task 2'!G242),0),0)</f>
        <v>0</v>
      </c>
      <c r="E242" s="7">
        <f>ROUND('Task 2'!D242*'Task 3'!C242,0)</f>
        <v>113</v>
      </c>
      <c r="F242" s="7">
        <f>VLOOKUP(B242,'Vendor -MOQ- Lead time'!$A$2:$C$45,3,0)</f>
        <v>270</v>
      </c>
      <c r="G242" s="7">
        <f t="shared" si="6"/>
        <v>270</v>
      </c>
      <c r="H242" s="7" t="s">
        <v>0</v>
      </c>
      <c r="I242" s="7" cm="1">
        <f t="array" ref="I242">_xlfn.IFS(H242="25-50%",230,H242="Top 25 %",260,H242="50-75%",200,H242="Last 25%",170,H242="Retire",150)</f>
        <v>170</v>
      </c>
      <c r="J242" s="15">
        <f t="shared" si="7"/>
        <v>45900</v>
      </c>
    </row>
    <row r="243" spans="1:10" x14ac:dyDescent="0.3">
      <c r="A243" s="7" t="s">
        <v>295</v>
      </c>
      <c r="B243" s="7" t="str">
        <f>_xlfn.XLOOKUP(A243,'Vendor code- SKU mapping'!$B$1:$B$806,'Vendor code- SKU mapping'!$A$1:$A$806)</f>
        <v>OMug</v>
      </c>
      <c r="C243" s="7">
        <f>VLOOKUP(B243,'Vendor -MOQ- Lead time'!$A$2:$B$45,2,0)</f>
        <v>45</v>
      </c>
      <c r="D243" s="13">
        <f>ROUND(IF('Task 2'!G243&lt;0,ABS('Task 2'!G243),0),0)</f>
        <v>0</v>
      </c>
      <c r="E243" s="7">
        <f>ROUND('Task 2'!D243*'Task 3'!C243,0)</f>
        <v>171</v>
      </c>
      <c r="F243" s="7">
        <f>VLOOKUP(B243,'Vendor -MOQ- Lead time'!$A$2:$C$45,3,0)</f>
        <v>270</v>
      </c>
      <c r="G243" s="7">
        <f t="shared" si="6"/>
        <v>270</v>
      </c>
      <c r="H243" s="7" t="s">
        <v>0</v>
      </c>
      <c r="I243" s="7" cm="1">
        <f t="array" ref="I243">_xlfn.IFS(H243="25-50%",230,H243="Top 25 %",260,H243="50-75%",200,H243="Last 25%",170,H243="Retire",150)</f>
        <v>170</v>
      </c>
      <c r="J243" s="15">
        <f t="shared" si="7"/>
        <v>45900</v>
      </c>
    </row>
    <row r="244" spans="1:10" x14ac:dyDescent="0.3">
      <c r="A244" s="7" t="s">
        <v>296</v>
      </c>
      <c r="B244" s="7" t="str">
        <f>_xlfn.XLOOKUP(A244,'Vendor code- SKU mapping'!$B$1:$B$806,'Vendor code- SKU mapping'!$A$1:$A$806)</f>
        <v>OKP</v>
      </c>
      <c r="C244" s="7">
        <f>VLOOKUP(B244,'Vendor -MOQ- Lead time'!$A$2:$B$45,2,0)</f>
        <v>30</v>
      </c>
      <c r="D244" s="13">
        <f>ROUND(IF('Task 2'!G244&lt;0,ABS('Task 2'!G244),0),0)</f>
        <v>87</v>
      </c>
      <c r="E244" s="7">
        <f>ROUND('Task 2'!D244*'Task 3'!C244,0)</f>
        <v>159</v>
      </c>
      <c r="F244" s="7">
        <f>VLOOKUP(B244,'Vendor -MOQ- Lead time'!$A$2:$C$45,3,0)</f>
        <v>180</v>
      </c>
      <c r="G244" s="7">
        <f t="shared" si="6"/>
        <v>360</v>
      </c>
      <c r="H244" s="7" t="s">
        <v>0</v>
      </c>
      <c r="I244" s="7" cm="1">
        <f t="array" ref="I244">_xlfn.IFS(H244="25-50%",230,H244="Top 25 %",260,H244="50-75%",200,H244="Last 25%",170,H244="Retire",150)</f>
        <v>170</v>
      </c>
      <c r="J244" s="15">
        <f t="shared" si="7"/>
        <v>61200</v>
      </c>
    </row>
    <row r="245" spans="1:10" x14ac:dyDescent="0.3">
      <c r="A245" s="7" t="s">
        <v>297</v>
      </c>
      <c r="B245" s="7" t="str">
        <f>_xlfn.XLOOKUP(A245,'Vendor code- SKU mapping'!$B$1:$B$806,'Vendor code- SKU mapping'!$A$1:$A$806)</f>
        <v>OMah</v>
      </c>
      <c r="C245" s="7">
        <f>VLOOKUP(B245,'Vendor -MOQ- Lead time'!$A$2:$B$45,2,0)</f>
        <v>45</v>
      </c>
      <c r="D245" s="13">
        <f>ROUND(IF('Task 2'!G245&lt;0,ABS('Task 2'!G245),0),0)</f>
        <v>0</v>
      </c>
      <c r="E245" s="7">
        <f>ROUND('Task 2'!D245*'Task 3'!C245,0)</f>
        <v>144</v>
      </c>
      <c r="F245" s="7">
        <f>VLOOKUP(B245,'Vendor -MOQ- Lead time'!$A$2:$C$45,3,0)</f>
        <v>270</v>
      </c>
      <c r="G245" s="7">
        <f t="shared" si="6"/>
        <v>270</v>
      </c>
      <c r="H245" s="7" t="s">
        <v>0</v>
      </c>
      <c r="I245" s="7" cm="1">
        <f t="array" ref="I245">_xlfn.IFS(H245="25-50%",230,H245="Top 25 %",260,H245="50-75%",200,H245="Last 25%",170,H245="Retire",150)</f>
        <v>170</v>
      </c>
      <c r="J245" s="15">
        <f t="shared" si="7"/>
        <v>45900</v>
      </c>
    </row>
    <row r="246" spans="1:10" x14ac:dyDescent="0.3">
      <c r="A246" s="7" t="s">
        <v>298</v>
      </c>
      <c r="B246" s="7" t="str">
        <f>_xlfn.XLOOKUP(A246,'Vendor code- SKU mapping'!$B$1:$B$806,'Vendor code- SKU mapping'!$A$1:$A$806)</f>
        <v>OMah</v>
      </c>
      <c r="C246" s="7">
        <f>VLOOKUP(B246,'Vendor -MOQ- Lead time'!$A$2:$B$45,2,0)</f>
        <v>45</v>
      </c>
      <c r="D246" s="13">
        <f>ROUND(IF('Task 2'!G246&lt;0,ABS('Task 2'!G246),0),0)</f>
        <v>2</v>
      </c>
      <c r="E246" s="7">
        <f>ROUND('Task 2'!D246*'Task 3'!C246,0)</f>
        <v>161</v>
      </c>
      <c r="F246" s="7">
        <f>VLOOKUP(B246,'Vendor -MOQ- Lead time'!$A$2:$C$45,3,0)</f>
        <v>270</v>
      </c>
      <c r="G246" s="7">
        <f t="shared" si="6"/>
        <v>270</v>
      </c>
      <c r="H246" s="7" t="s">
        <v>0</v>
      </c>
      <c r="I246" s="7" cm="1">
        <f t="array" ref="I246">_xlfn.IFS(H246="25-50%",230,H246="Top 25 %",260,H246="50-75%",200,H246="Last 25%",170,H246="Retire",150)</f>
        <v>170</v>
      </c>
      <c r="J246" s="15">
        <f t="shared" si="7"/>
        <v>45900</v>
      </c>
    </row>
    <row r="247" spans="1:10" x14ac:dyDescent="0.3">
      <c r="A247" s="7" t="s">
        <v>299</v>
      </c>
      <c r="B247" s="7" t="str">
        <f>_xlfn.XLOOKUP(A247,'Vendor code- SKU mapping'!$B$1:$B$806,'Vendor code- SKU mapping'!$A$1:$A$806)</f>
        <v>IVS</v>
      </c>
      <c r="C247" s="7">
        <f>VLOOKUP(B247,'Vendor -MOQ- Lead time'!$A$2:$B$45,2,0)</f>
        <v>30</v>
      </c>
      <c r="D247" s="13">
        <f>ROUND(IF('Task 2'!G247&lt;0,ABS('Task 2'!G247),0),0)</f>
        <v>0</v>
      </c>
      <c r="E247" s="7">
        <f>ROUND('Task 2'!D247*'Task 3'!C247,0)</f>
        <v>146</v>
      </c>
      <c r="F247" s="7">
        <f>VLOOKUP(B247,'Vendor -MOQ- Lead time'!$A$2:$C$45,3,0)</f>
        <v>180</v>
      </c>
      <c r="G247" s="7">
        <f t="shared" si="6"/>
        <v>180</v>
      </c>
      <c r="H247" s="7" t="s">
        <v>1</v>
      </c>
      <c r="I247" s="7" cm="1">
        <f t="array" ref="I247">_xlfn.IFS(H247="25-50%",230,H247="Top 25 %",260,H247="50-75%",200,H247="Last 25%",170,H247="Retire",150)</f>
        <v>200</v>
      </c>
      <c r="J247" s="15">
        <f t="shared" si="7"/>
        <v>36000</v>
      </c>
    </row>
    <row r="248" spans="1:10" x14ac:dyDescent="0.3">
      <c r="A248" s="7" t="s">
        <v>300</v>
      </c>
      <c r="B248" s="7" t="str">
        <f>_xlfn.XLOOKUP(A248,'Vendor code- SKU mapping'!$B$1:$B$806,'Vendor code- SKU mapping'!$A$1:$A$806)</f>
        <v>AAdi</v>
      </c>
      <c r="C248" s="7">
        <f>VLOOKUP(B248,'Vendor -MOQ- Lead time'!$A$2:$B$45,2,0)</f>
        <v>45</v>
      </c>
      <c r="D248" s="13">
        <f>ROUND(IF('Task 2'!G248&lt;0,ABS('Task 2'!G248),0),0)</f>
        <v>123</v>
      </c>
      <c r="E248" s="7">
        <f>ROUND('Task 2'!D248*'Task 3'!C248,0)</f>
        <v>270</v>
      </c>
      <c r="F248" s="7">
        <f>VLOOKUP(B248,'Vendor -MOQ- Lead time'!$A$2:$C$45,3,0)</f>
        <v>270</v>
      </c>
      <c r="G248" s="7">
        <f t="shared" si="6"/>
        <v>540</v>
      </c>
      <c r="H248" s="7" t="s">
        <v>0</v>
      </c>
      <c r="I248" s="7" cm="1">
        <f t="array" ref="I248">_xlfn.IFS(H248="25-50%",230,H248="Top 25 %",260,H248="50-75%",200,H248="Last 25%",170,H248="Retire",150)</f>
        <v>170</v>
      </c>
      <c r="J248" s="15">
        <f t="shared" si="7"/>
        <v>91800</v>
      </c>
    </row>
    <row r="249" spans="1:10" x14ac:dyDescent="0.3">
      <c r="A249" s="7" t="s">
        <v>301</v>
      </c>
      <c r="B249" s="7" t="str">
        <f>_xlfn.XLOOKUP(A249,'Vendor code- SKU mapping'!$B$1:$B$806,'Vendor code- SKU mapping'!$A$1:$A$806)</f>
        <v>EFai</v>
      </c>
      <c r="C249" s="7">
        <f>VLOOKUP(B249,'Vendor -MOQ- Lead time'!$A$2:$B$45,2,0)</f>
        <v>60</v>
      </c>
      <c r="D249" s="13">
        <f>ROUND(IF('Task 2'!G249&lt;0,ABS('Task 2'!G249),0),0)</f>
        <v>0</v>
      </c>
      <c r="E249" s="7">
        <f>ROUND('Task 2'!D249*'Task 3'!C249,0)</f>
        <v>152</v>
      </c>
      <c r="F249" s="7">
        <f>VLOOKUP(B249,'Vendor -MOQ- Lead time'!$A$2:$C$45,3,0)</f>
        <v>1080</v>
      </c>
      <c r="G249" s="7">
        <f t="shared" si="6"/>
        <v>1080</v>
      </c>
      <c r="H249" s="7" t="s">
        <v>0</v>
      </c>
      <c r="I249" s="7" cm="1">
        <f t="array" ref="I249">_xlfn.IFS(H249="25-50%",230,H249="Top 25 %",260,H249="50-75%",200,H249="Last 25%",170,H249="Retire",150)</f>
        <v>170</v>
      </c>
      <c r="J249" s="15">
        <f t="shared" si="7"/>
        <v>183600</v>
      </c>
    </row>
    <row r="250" spans="1:10" x14ac:dyDescent="0.3">
      <c r="A250" s="7" t="s">
        <v>302</v>
      </c>
      <c r="B250" s="7" t="str">
        <f>_xlfn.XLOOKUP(A250,'Vendor code- SKU mapping'!$B$1:$B$806,'Vendor code- SKU mapping'!$A$1:$A$806)</f>
        <v>ORad</v>
      </c>
      <c r="C250" s="7">
        <f>VLOOKUP(B250,'Vendor -MOQ- Lead time'!$A$2:$B$45,2,0)</f>
        <v>45</v>
      </c>
      <c r="D250" s="13">
        <f>ROUND(IF('Task 2'!G250&lt;0,ABS('Task 2'!G250),0),0)</f>
        <v>0</v>
      </c>
      <c r="E250" s="7">
        <f>ROUND('Task 2'!D250*'Task 3'!C250,0)</f>
        <v>135</v>
      </c>
      <c r="F250" s="7">
        <f>VLOOKUP(B250,'Vendor -MOQ- Lead time'!$A$2:$C$45,3,0)</f>
        <v>270</v>
      </c>
      <c r="G250" s="7">
        <f t="shared" si="6"/>
        <v>270</v>
      </c>
      <c r="H250" s="7" t="s">
        <v>0</v>
      </c>
      <c r="I250" s="7" cm="1">
        <f t="array" ref="I250">_xlfn.IFS(H250="25-50%",230,H250="Top 25 %",260,H250="50-75%",200,H250="Last 25%",170,H250="Retire",150)</f>
        <v>170</v>
      </c>
      <c r="J250" s="15">
        <f t="shared" si="7"/>
        <v>45900</v>
      </c>
    </row>
    <row r="251" spans="1:10" x14ac:dyDescent="0.3">
      <c r="A251" s="7" t="s">
        <v>303</v>
      </c>
      <c r="B251" s="7" t="str">
        <f>_xlfn.XLOOKUP(A251,'Vendor code- SKU mapping'!$B$1:$B$806,'Vendor code- SKU mapping'!$A$1:$A$806)</f>
        <v>ORad</v>
      </c>
      <c r="C251" s="7">
        <f>VLOOKUP(B251,'Vendor -MOQ- Lead time'!$A$2:$B$45,2,0)</f>
        <v>45</v>
      </c>
      <c r="D251" s="13">
        <f>ROUND(IF('Task 2'!G251&lt;0,ABS('Task 2'!G251),0),0)</f>
        <v>0</v>
      </c>
      <c r="E251" s="7">
        <f>ROUND('Task 2'!D251*'Task 3'!C251,0)</f>
        <v>357</v>
      </c>
      <c r="F251" s="7">
        <f>VLOOKUP(B251,'Vendor -MOQ- Lead time'!$A$2:$C$45,3,0)</f>
        <v>270</v>
      </c>
      <c r="G251" s="7">
        <f t="shared" si="6"/>
        <v>540</v>
      </c>
      <c r="H251" s="7" t="s">
        <v>0</v>
      </c>
      <c r="I251" s="7" cm="1">
        <f t="array" ref="I251">_xlfn.IFS(H251="25-50%",230,H251="Top 25 %",260,H251="50-75%",200,H251="Last 25%",170,H251="Retire",150)</f>
        <v>170</v>
      </c>
      <c r="J251" s="15">
        <f t="shared" si="7"/>
        <v>91800</v>
      </c>
    </row>
    <row r="252" spans="1:10" x14ac:dyDescent="0.3">
      <c r="A252" s="7" t="s">
        <v>304</v>
      </c>
      <c r="B252" s="7" t="str">
        <f>_xlfn.XLOOKUP(A252,'Vendor code- SKU mapping'!$B$1:$B$806,'Vendor code- SKU mapping'!$A$1:$A$806)</f>
        <v>OMah</v>
      </c>
      <c r="C252" s="7">
        <f>VLOOKUP(B252,'Vendor -MOQ- Lead time'!$A$2:$B$45,2,0)</f>
        <v>45</v>
      </c>
      <c r="D252" s="13">
        <f>ROUND(IF('Task 2'!G252&lt;0,ABS('Task 2'!G252),0),0)</f>
        <v>50</v>
      </c>
      <c r="E252" s="7">
        <f>ROUND('Task 2'!D252*'Task 3'!C252,0)</f>
        <v>174</v>
      </c>
      <c r="F252" s="7">
        <f>VLOOKUP(B252,'Vendor -MOQ- Lead time'!$A$2:$C$45,3,0)</f>
        <v>270</v>
      </c>
      <c r="G252" s="7">
        <f t="shared" si="6"/>
        <v>270</v>
      </c>
      <c r="H252" s="7" t="s">
        <v>0</v>
      </c>
      <c r="I252" s="7" cm="1">
        <f t="array" ref="I252">_xlfn.IFS(H252="25-50%",230,H252="Top 25 %",260,H252="50-75%",200,H252="Last 25%",170,H252="Retire",150)</f>
        <v>170</v>
      </c>
      <c r="J252" s="15">
        <f t="shared" si="7"/>
        <v>45900</v>
      </c>
    </row>
    <row r="253" spans="1:10" x14ac:dyDescent="0.3">
      <c r="A253" s="7" t="s">
        <v>305</v>
      </c>
      <c r="B253" s="7" t="str">
        <f>_xlfn.XLOOKUP(A253,'Vendor code- SKU mapping'!$B$1:$B$806,'Vendor code- SKU mapping'!$A$1:$A$806)</f>
        <v>OPar</v>
      </c>
      <c r="C253" s="7">
        <f>VLOOKUP(B253,'Vendor -MOQ- Lead time'!$A$2:$B$45,2,0)</f>
        <v>30</v>
      </c>
      <c r="D253" s="13">
        <f>ROUND(IF('Task 2'!G253&lt;0,ABS('Task 2'!G253),0),0)</f>
        <v>0</v>
      </c>
      <c r="E253" s="7">
        <f>ROUND('Task 2'!D253*'Task 3'!C253,0)</f>
        <v>110</v>
      </c>
      <c r="F253" s="7">
        <f>VLOOKUP(B253,'Vendor -MOQ- Lead time'!$A$2:$C$45,3,0)</f>
        <v>180</v>
      </c>
      <c r="G253" s="7">
        <f t="shared" si="6"/>
        <v>180</v>
      </c>
      <c r="H253" s="7" t="s">
        <v>0</v>
      </c>
      <c r="I253" s="7" cm="1">
        <f t="array" ref="I253">_xlfn.IFS(H253="25-50%",230,H253="Top 25 %",260,H253="50-75%",200,H253="Last 25%",170,H253="Retire",150)</f>
        <v>170</v>
      </c>
      <c r="J253" s="15">
        <f t="shared" si="7"/>
        <v>30600</v>
      </c>
    </row>
    <row r="254" spans="1:10" x14ac:dyDescent="0.3">
      <c r="A254" s="7" t="s">
        <v>306</v>
      </c>
      <c r="B254" s="7" t="str">
        <f>_xlfn.XLOOKUP(A254,'Vendor code- SKU mapping'!$B$1:$B$806,'Vendor code- SKU mapping'!$A$1:$A$806)</f>
        <v>OMah</v>
      </c>
      <c r="C254" s="7">
        <f>VLOOKUP(B254,'Vendor -MOQ- Lead time'!$A$2:$B$45,2,0)</f>
        <v>45</v>
      </c>
      <c r="D254" s="13">
        <f>ROUND(IF('Task 2'!G254&lt;0,ABS('Task 2'!G254),0),0)</f>
        <v>0</v>
      </c>
      <c r="E254" s="7">
        <f>ROUND('Task 2'!D254*'Task 3'!C254,0)</f>
        <v>185</v>
      </c>
      <c r="F254" s="7">
        <f>VLOOKUP(B254,'Vendor -MOQ- Lead time'!$A$2:$C$45,3,0)</f>
        <v>270</v>
      </c>
      <c r="G254" s="7">
        <f t="shared" si="6"/>
        <v>270</v>
      </c>
      <c r="H254" s="7" t="s">
        <v>0</v>
      </c>
      <c r="I254" s="7" cm="1">
        <f t="array" ref="I254">_xlfn.IFS(H254="25-50%",230,H254="Top 25 %",260,H254="50-75%",200,H254="Last 25%",170,H254="Retire",150)</f>
        <v>170</v>
      </c>
      <c r="J254" s="15">
        <f t="shared" si="7"/>
        <v>45900</v>
      </c>
    </row>
    <row r="255" spans="1:10" x14ac:dyDescent="0.3">
      <c r="A255" s="7" t="s">
        <v>307</v>
      </c>
      <c r="B255" s="7" t="str">
        <f>_xlfn.XLOOKUP(A255,'Vendor code- SKU mapping'!$B$1:$B$806,'Vendor code- SKU mapping'!$A$1:$A$806)</f>
        <v>AAFC</v>
      </c>
      <c r="C255" s="7">
        <f>VLOOKUP(B255,'Vendor -MOQ- Lead time'!$A$2:$B$45,2,0)</f>
        <v>45</v>
      </c>
      <c r="D255" s="13">
        <f>ROUND(IF('Task 2'!G255&lt;0,ABS('Task 2'!G255),0),0)</f>
        <v>0</v>
      </c>
      <c r="E255" s="7">
        <f>ROUND('Task 2'!D255*'Task 3'!C255,0)</f>
        <v>111</v>
      </c>
      <c r="F255" s="7">
        <f>VLOOKUP(B255,'Vendor -MOQ- Lead time'!$A$2:$C$45,3,0)</f>
        <v>270</v>
      </c>
      <c r="G255" s="7">
        <f t="shared" si="6"/>
        <v>270</v>
      </c>
      <c r="H255" s="7" t="s">
        <v>0</v>
      </c>
      <c r="I255" s="7" cm="1">
        <f t="array" ref="I255">_xlfn.IFS(H255="25-50%",230,H255="Top 25 %",260,H255="50-75%",200,H255="Last 25%",170,H255="Retire",150)</f>
        <v>170</v>
      </c>
      <c r="J255" s="15">
        <f t="shared" si="7"/>
        <v>45900</v>
      </c>
    </row>
    <row r="256" spans="1:10" x14ac:dyDescent="0.3">
      <c r="A256" s="7" t="s">
        <v>308</v>
      </c>
      <c r="B256" s="7" t="str">
        <f>_xlfn.XLOOKUP(A256,'Vendor code- SKU mapping'!$B$1:$B$806,'Vendor code- SKU mapping'!$A$1:$A$806)</f>
        <v>ORav</v>
      </c>
      <c r="C256" s="7">
        <f>VLOOKUP(B256,'Vendor -MOQ- Lead time'!$A$2:$B$45,2,0)</f>
        <v>30</v>
      </c>
      <c r="D256" s="13">
        <f>ROUND(IF('Task 2'!G256&lt;0,ABS('Task 2'!G256),0),0)</f>
        <v>5</v>
      </c>
      <c r="E256" s="7">
        <f>ROUND('Task 2'!D256*'Task 3'!C256,0)</f>
        <v>41</v>
      </c>
      <c r="F256" s="7">
        <f>VLOOKUP(B256,'Vendor -MOQ- Lead time'!$A$2:$C$45,3,0)</f>
        <v>180</v>
      </c>
      <c r="G256" s="7">
        <f t="shared" si="6"/>
        <v>180</v>
      </c>
      <c r="H256" s="7" t="s">
        <v>0</v>
      </c>
      <c r="I256" s="7" cm="1">
        <f t="array" ref="I256">_xlfn.IFS(H256="25-50%",230,H256="Top 25 %",260,H256="50-75%",200,H256="Last 25%",170,H256="Retire",150)</f>
        <v>170</v>
      </c>
      <c r="J256" s="15">
        <f t="shared" si="7"/>
        <v>30600</v>
      </c>
    </row>
    <row r="257" spans="1:10" x14ac:dyDescent="0.3">
      <c r="A257" s="7" t="s">
        <v>309</v>
      </c>
      <c r="B257" s="7" t="str">
        <f>_xlfn.XLOOKUP(A257,'Vendor code- SKU mapping'!$B$1:$B$806,'Vendor code- SKU mapping'!$A$1:$A$806)</f>
        <v>AAdi</v>
      </c>
      <c r="C257" s="7">
        <f>VLOOKUP(B257,'Vendor -MOQ- Lead time'!$A$2:$B$45,2,0)</f>
        <v>45</v>
      </c>
      <c r="D257" s="13">
        <f>ROUND(IF('Task 2'!G257&lt;0,ABS('Task 2'!G257),0),0)</f>
        <v>0</v>
      </c>
      <c r="E257" s="7">
        <f>ROUND('Task 2'!D257*'Task 3'!C257,0)</f>
        <v>123</v>
      </c>
      <c r="F257" s="7">
        <f>VLOOKUP(B257,'Vendor -MOQ- Lead time'!$A$2:$C$45,3,0)</f>
        <v>270</v>
      </c>
      <c r="G257" s="7">
        <f t="shared" si="6"/>
        <v>270</v>
      </c>
      <c r="H257" s="7" t="s">
        <v>0</v>
      </c>
      <c r="I257" s="7" cm="1">
        <f t="array" ref="I257">_xlfn.IFS(H257="25-50%",230,H257="Top 25 %",260,H257="50-75%",200,H257="Last 25%",170,H257="Retire",150)</f>
        <v>170</v>
      </c>
      <c r="J257" s="15">
        <f t="shared" si="7"/>
        <v>45900</v>
      </c>
    </row>
    <row r="258" spans="1:10" x14ac:dyDescent="0.3">
      <c r="A258" s="7" t="s">
        <v>310</v>
      </c>
      <c r="B258" s="7" t="str">
        <f>_xlfn.XLOOKUP(A258,'Vendor code- SKU mapping'!$B$1:$B$806,'Vendor code- SKU mapping'!$A$1:$A$806)</f>
        <v>OMah</v>
      </c>
      <c r="C258" s="7">
        <f>VLOOKUP(B258,'Vendor -MOQ- Lead time'!$A$2:$B$45,2,0)</f>
        <v>45</v>
      </c>
      <c r="D258" s="13">
        <f>ROUND(IF('Task 2'!G258&lt;0,ABS('Task 2'!G258),0),0)</f>
        <v>0</v>
      </c>
      <c r="E258" s="7">
        <f>ROUND('Task 2'!D258*'Task 3'!C258,0)</f>
        <v>116</v>
      </c>
      <c r="F258" s="7">
        <f>VLOOKUP(B258,'Vendor -MOQ- Lead time'!$A$2:$C$45,3,0)</f>
        <v>270</v>
      </c>
      <c r="G258" s="7">
        <f t="shared" si="6"/>
        <v>270</v>
      </c>
      <c r="H258" s="7" t="s">
        <v>0</v>
      </c>
      <c r="I258" s="7" cm="1">
        <f t="array" ref="I258">_xlfn.IFS(H258="25-50%",230,H258="Top 25 %",260,H258="50-75%",200,H258="Last 25%",170,H258="Retire",150)</f>
        <v>170</v>
      </c>
      <c r="J258" s="15">
        <f t="shared" si="7"/>
        <v>45900</v>
      </c>
    </row>
    <row r="259" spans="1:10" x14ac:dyDescent="0.3">
      <c r="A259" s="7" t="s">
        <v>311</v>
      </c>
      <c r="B259" s="7" t="str">
        <f>_xlfn.XLOOKUP(A259,'Vendor code- SKU mapping'!$B$1:$B$806,'Vendor code- SKU mapping'!$A$1:$A$806)</f>
        <v>ORed</v>
      </c>
      <c r="C259" s="7">
        <f>VLOOKUP(B259,'Vendor -MOQ- Lead time'!$A$2:$B$45,2,0)</f>
        <v>30</v>
      </c>
      <c r="D259" s="13">
        <f>ROUND(IF('Task 2'!G259&lt;0,ABS('Task 2'!G259),0),0)</f>
        <v>28</v>
      </c>
      <c r="E259" s="7">
        <f>ROUND('Task 2'!D259*'Task 3'!C259,0)</f>
        <v>133</v>
      </c>
      <c r="F259" s="7">
        <f>VLOOKUP(B259,'Vendor -MOQ- Lead time'!$A$2:$C$45,3,0)</f>
        <v>180</v>
      </c>
      <c r="G259" s="7">
        <f t="shared" ref="G259:G322" si="8">CEILING(D259+E259,F259)</f>
        <v>180</v>
      </c>
      <c r="H259" s="7" t="s">
        <v>1</v>
      </c>
      <c r="I259" s="7" cm="1">
        <f t="array" ref="I259">_xlfn.IFS(H259="25-50%",230,H259="Top 25 %",260,H259="50-75%",200,H259="Last 25%",170,H259="Retire",150)</f>
        <v>200</v>
      </c>
      <c r="J259" s="15">
        <f t="shared" ref="J259:J322" si="9">G259*I259</f>
        <v>36000</v>
      </c>
    </row>
    <row r="260" spans="1:10" x14ac:dyDescent="0.3">
      <c r="A260" s="7" t="s">
        <v>312</v>
      </c>
      <c r="B260" s="7" t="str">
        <f>_xlfn.XLOOKUP(A260,'Vendor code- SKU mapping'!$B$1:$B$806,'Vendor code- SKU mapping'!$A$1:$A$806)</f>
        <v>OShe</v>
      </c>
      <c r="C260" s="7">
        <f>VLOOKUP(B260,'Vendor -MOQ- Lead time'!$A$2:$B$45,2,0)</f>
        <v>30</v>
      </c>
      <c r="D260" s="13">
        <f>ROUND(IF('Task 2'!G260&lt;0,ABS('Task 2'!G260),0),0)</f>
        <v>0</v>
      </c>
      <c r="E260" s="7">
        <f>ROUND('Task 2'!D260*'Task 3'!C260,0)</f>
        <v>121</v>
      </c>
      <c r="F260" s="7">
        <f>VLOOKUP(B260,'Vendor -MOQ- Lead time'!$A$2:$C$45,3,0)</f>
        <v>180</v>
      </c>
      <c r="G260" s="7">
        <f t="shared" si="8"/>
        <v>180</v>
      </c>
      <c r="H260" s="7" t="s">
        <v>1</v>
      </c>
      <c r="I260" s="7" cm="1">
        <f t="array" ref="I260">_xlfn.IFS(H260="25-50%",230,H260="Top 25 %",260,H260="50-75%",200,H260="Last 25%",170,H260="Retire",150)</f>
        <v>200</v>
      </c>
      <c r="J260" s="15">
        <f t="shared" si="9"/>
        <v>36000</v>
      </c>
    </row>
    <row r="261" spans="1:10" x14ac:dyDescent="0.3">
      <c r="A261" s="7" t="s">
        <v>313</v>
      </c>
      <c r="B261" s="7" t="str">
        <f>_xlfn.XLOOKUP(A261,'Vendor code- SKU mapping'!$B$1:$B$806,'Vendor code- SKU mapping'!$A$1:$A$806)</f>
        <v>AAFC</v>
      </c>
      <c r="C261" s="7">
        <f>VLOOKUP(B261,'Vendor -MOQ- Lead time'!$A$2:$B$45,2,0)</f>
        <v>45</v>
      </c>
      <c r="D261" s="13">
        <f>ROUND(IF('Task 2'!G261&lt;0,ABS('Task 2'!G261),0),0)</f>
        <v>2</v>
      </c>
      <c r="E261" s="7">
        <f>ROUND('Task 2'!D261*'Task 3'!C261,0)</f>
        <v>152</v>
      </c>
      <c r="F261" s="7">
        <f>VLOOKUP(B261,'Vendor -MOQ- Lead time'!$A$2:$C$45,3,0)</f>
        <v>270</v>
      </c>
      <c r="G261" s="7">
        <f t="shared" si="8"/>
        <v>270</v>
      </c>
      <c r="H261" s="7" t="s">
        <v>0</v>
      </c>
      <c r="I261" s="7" cm="1">
        <f t="array" ref="I261">_xlfn.IFS(H261="25-50%",230,H261="Top 25 %",260,H261="50-75%",200,H261="Last 25%",170,H261="Retire",150)</f>
        <v>170</v>
      </c>
      <c r="J261" s="15">
        <f t="shared" si="9"/>
        <v>45900</v>
      </c>
    </row>
    <row r="262" spans="1:10" x14ac:dyDescent="0.3">
      <c r="A262" s="7" t="s">
        <v>314</v>
      </c>
      <c r="B262" s="7" t="str">
        <f>_xlfn.XLOOKUP(A262,'Vendor code- SKU mapping'!$B$1:$B$806,'Vendor code- SKU mapping'!$A$1:$A$806)</f>
        <v>EFai</v>
      </c>
      <c r="C262" s="7">
        <f>VLOOKUP(B262,'Vendor -MOQ- Lead time'!$A$2:$B$45,2,0)</f>
        <v>60</v>
      </c>
      <c r="D262" s="13">
        <f>ROUND(IF('Task 2'!G262&lt;0,ABS('Task 2'!G262),0),0)</f>
        <v>0</v>
      </c>
      <c r="E262" s="7">
        <f>ROUND('Task 2'!D262*'Task 3'!C262,0)</f>
        <v>240</v>
      </c>
      <c r="F262" s="7">
        <f>VLOOKUP(B262,'Vendor -MOQ- Lead time'!$A$2:$C$45,3,0)</f>
        <v>1080</v>
      </c>
      <c r="G262" s="7">
        <f t="shared" si="8"/>
        <v>1080</v>
      </c>
      <c r="H262" s="7" t="s">
        <v>0</v>
      </c>
      <c r="I262" s="7" cm="1">
        <f t="array" ref="I262">_xlfn.IFS(H262="25-50%",230,H262="Top 25 %",260,H262="50-75%",200,H262="Last 25%",170,H262="Retire",150)</f>
        <v>170</v>
      </c>
      <c r="J262" s="15">
        <f t="shared" si="9"/>
        <v>183600</v>
      </c>
    </row>
    <row r="263" spans="1:10" x14ac:dyDescent="0.3">
      <c r="A263" s="7" t="s">
        <v>315</v>
      </c>
      <c r="B263" s="7" t="str">
        <f>_xlfn.XLOOKUP(A263,'Vendor code- SKU mapping'!$B$1:$B$806,'Vendor code- SKU mapping'!$A$1:$A$806)</f>
        <v>ORoy</v>
      </c>
      <c r="C263" s="7">
        <f>VLOOKUP(B263,'Vendor -MOQ- Lead time'!$A$2:$B$45,2,0)</f>
        <v>45</v>
      </c>
      <c r="D263" s="13">
        <f>ROUND(IF('Task 2'!G263&lt;0,ABS('Task 2'!G263),0),0)</f>
        <v>0</v>
      </c>
      <c r="E263" s="7">
        <f>ROUND('Task 2'!D263*'Task 3'!C263,0)</f>
        <v>95</v>
      </c>
      <c r="F263" s="7">
        <f>VLOOKUP(B263,'Vendor -MOQ- Lead time'!$A$2:$C$45,3,0)</f>
        <v>270</v>
      </c>
      <c r="G263" s="7">
        <f t="shared" si="8"/>
        <v>270</v>
      </c>
      <c r="H263" s="7" t="s">
        <v>0</v>
      </c>
      <c r="I263" s="7" cm="1">
        <f t="array" ref="I263">_xlfn.IFS(H263="25-50%",230,H263="Top 25 %",260,H263="50-75%",200,H263="Last 25%",170,H263="Retire",150)</f>
        <v>170</v>
      </c>
      <c r="J263" s="15">
        <f t="shared" si="9"/>
        <v>45900</v>
      </c>
    </row>
    <row r="264" spans="1:10" x14ac:dyDescent="0.3">
      <c r="A264" s="7" t="s">
        <v>316</v>
      </c>
      <c r="B264" s="7" t="str">
        <f>_xlfn.XLOOKUP(A264,'Vendor code- SKU mapping'!$B$1:$B$806,'Vendor code- SKU mapping'!$A$1:$A$806)</f>
        <v>OSha</v>
      </c>
      <c r="C264" s="7">
        <f>VLOOKUP(B264,'Vendor -MOQ- Lead time'!$A$2:$B$45,2,0)</f>
        <v>45</v>
      </c>
      <c r="D264" s="13">
        <f>ROUND(IF('Task 2'!G264&lt;0,ABS('Task 2'!G264),0),0)</f>
        <v>59</v>
      </c>
      <c r="E264" s="7">
        <f>ROUND('Task 2'!D264*'Task 3'!C264,0)</f>
        <v>161</v>
      </c>
      <c r="F264" s="7">
        <f>VLOOKUP(B264,'Vendor -MOQ- Lead time'!$A$2:$C$45,3,0)</f>
        <v>270</v>
      </c>
      <c r="G264" s="7">
        <f t="shared" si="8"/>
        <v>270</v>
      </c>
      <c r="H264" s="7" t="s">
        <v>0</v>
      </c>
      <c r="I264" s="7" cm="1">
        <f t="array" ref="I264">_xlfn.IFS(H264="25-50%",230,H264="Top 25 %",260,H264="50-75%",200,H264="Last 25%",170,H264="Retire",150)</f>
        <v>170</v>
      </c>
      <c r="J264" s="15">
        <f t="shared" si="9"/>
        <v>45900</v>
      </c>
    </row>
    <row r="265" spans="1:10" x14ac:dyDescent="0.3">
      <c r="A265" s="7" t="s">
        <v>317</v>
      </c>
      <c r="B265" s="7" t="str">
        <f>_xlfn.XLOOKUP(A265,'Vendor code- SKU mapping'!$B$1:$B$806,'Vendor code- SKU mapping'!$A$1:$A$806)</f>
        <v>EFai</v>
      </c>
      <c r="C265" s="7">
        <f>VLOOKUP(B265,'Vendor -MOQ- Lead time'!$A$2:$B$45,2,0)</f>
        <v>60</v>
      </c>
      <c r="D265" s="13">
        <f>ROUND(IF('Task 2'!G265&lt;0,ABS('Task 2'!G265),0),0)</f>
        <v>0</v>
      </c>
      <c r="E265" s="7">
        <f>ROUND('Task 2'!D265*'Task 3'!C265,0)</f>
        <v>176</v>
      </c>
      <c r="F265" s="7">
        <f>VLOOKUP(B265,'Vendor -MOQ- Lead time'!$A$2:$C$45,3,0)</f>
        <v>1080</v>
      </c>
      <c r="G265" s="7">
        <f t="shared" si="8"/>
        <v>1080</v>
      </c>
      <c r="H265" s="7" t="s">
        <v>0</v>
      </c>
      <c r="I265" s="7" cm="1">
        <f t="array" ref="I265">_xlfn.IFS(H265="25-50%",230,H265="Top 25 %",260,H265="50-75%",200,H265="Last 25%",170,H265="Retire",150)</f>
        <v>170</v>
      </c>
      <c r="J265" s="15">
        <f t="shared" si="9"/>
        <v>183600</v>
      </c>
    </row>
    <row r="266" spans="1:10" x14ac:dyDescent="0.3">
      <c r="A266" s="7" t="s">
        <v>318</v>
      </c>
      <c r="B266" s="7" t="str">
        <f>_xlfn.XLOOKUP(A266,'Vendor code- SKU mapping'!$B$1:$B$806,'Vendor code- SKU mapping'!$A$1:$A$806)</f>
        <v>OPar</v>
      </c>
      <c r="C266" s="7">
        <f>VLOOKUP(B266,'Vendor -MOQ- Lead time'!$A$2:$B$45,2,0)</f>
        <v>30</v>
      </c>
      <c r="D266" s="13">
        <f>ROUND(IF('Task 2'!G266&lt;0,ABS('Task 2'!G266),0),0)</f>
        <v>0</v>
      </c>
      <c r="E266" s="7">
        <f>ROUND('Task 2'!D266*'Task 3'!C266,0)</f>
        <v>92</v>
      </c>
      <c r="F266" s="7">
        <f>VLOOKUP(B266,'Vendor -MOQ- Lead time'!$A$2:$C$45,3,0)</f>
        <v>180</v>
      </c>
      <c r="G266" s="7">
        <f t="shared" si="8"/>
        <v>180</v>
      </c>
      <c r="H266" s="7" t="s">
        <v>0</v>
      </c>
      <c r="I266" s="7" cm="1">
        <f t="array" ref="I266">_xlfn.IFS(H266="25-50%",230,H266="Top 25 %",260,H266="50-75%",200,H266="Last 25%",170,H266="Retire",150)</f>
        <v>170</v>
      </c>
      <c r="J266" s="15">
        <f t="shared" si="9"/>
        <v>30600</v>
      </c>
    </row>
    <row r="267" spans="1:10" x14ac:dyDescent="0.3">
      <c r="A267" s="7" t="s">
        <v>319</v>
      </c>
      <c r="B267" s="7" t="str">
        <f>_xlfn.XLOOKUP(A267,'Vendor code- SKU mapping'!$B$1:$B$806,'Vendor code- SKU mapping'!$A$1:$A$806)</f>
        <v>ORed</v>
      </c>
      <c r="C267" s="7">
        <f>VLOOKUP(B267,'Vendor -MOQ- Lead time'!$A$2:$B$45,2,0)</f>
        <v>30</v>
      </c>
      <c r="D267" s="13">
        <f>ROUND(IF('Task 2'!G267&lt;0,ABS('Task 2'!G267),0),0)</f>
        <v>45</v>
      </c>
      <c r="E267" s="7">
        <f>ROUND('Task 2'!D267*'Task 3'!C267,0)</f>
        <v>171</v>
      </c>
      <c r="F267" s="7">
        <f>VLOOKUP(B267,'Vendor -MOQ- Lead time'!$A$2:$C$45,3,0)</f>
        <v>180</v>
      </c>
      <c r="G267" s="7">
        <f t="shared" si="8"/>
        <v>360</v>
      </c>
      <c r="H267" s="7" t="s">
        <v>0</v>
      </c>
      <c r="I267" s="7" cm="1">
        <f t="array" ref="I267">_xlfn.IFS(H267="25-50%",230,H267="Top 25 %",260,H267="50-75%",200,H267="Last 25%",170,H267="Retire",150)</f>
        <v>170</v>
      </c>
      <c r="J267" s="15">
        <f t="shared" si="9"/>
        <v>61200</v>
      </c>
    </row>
    <row r="268" spans="1:10" x14ac:dyDescent="0.3">
      <c r="A268" s="7" t="s">
        <v>320</v>
      </c>
      <c r="B268" s="7" t="str">
        <f>_xlfn.XLOOKUP(A268,'Vendor code- SKU mapping'!$B$1:$B$806,'Vendor code- SKU mapping'!$A$1:$A$806)</f>
        <v>OSAI</v>
      </c>
      <c r="C268" s="7">
        <f>VLOOKUP(B268,'Vendor -MOQ- Lead time'!$A$2:$B$45,2,0)</f>
        <v>30</v>
      </c>
      <c r="D268" s="13">
        <f>ROUND(IF('Task 2'!G268&lt;0,ABS('Task 2'!G268),0),0)</f>
        <v>0</v>
      </c>
      <c r="E268" s="7">
        <f>ROUND('Task 2'!D268*'Task 3'!C268,0)</f>
        <v>87</v>
      </c>
      <c r="F268" s="7">
        <f>VLOOKUP(B268,'Vendor -MOQ- Lead time'!$A$2:$C$45,3,0)</f>
        <v>180</v>
      </c>
      <c r="G268" s="7">
        <f t="shared" si="8"/>
        <v>180</v>
      </c>
      <c r="H268" s="7" t="s">
        <v>0</v>
      </c>
      <c r="I268" s="7" cm="1">
        <f t="array" ref="I268">_xlfn.IFS(H268="25-50%",230,H268="Top 25 %",260,H268="50-75%",200,H268="Last 25%",170,H268="Retire",150)</f>
        <v>170</v>
      </c>
      <c r="J268" s="15">
        <f t="shared" si="9"/>
        <v>30600</v>
      </c>
    </row>
    <row r="269" spans="1:10" x14ac:dyDescent="0.3">
      <c r="A269" s="7" t="s">
        <v>321</v>
      </c>
      <c r="B269" s="7" t="str">
        <f>_xlfn.XLOOKUP(A269,'Vendor code- SKU mapping'!$B$1:$B$806,'Vendor code- SKU mapping'!$A$1:$A$806)</f>
        <v>EFai</v>
      </c>
      <c r="C269" s="7">
        <f>VLOOKUP(B269,'Vendor -MOQ- Lead time'!$A$2:$B$45,2,0)</f>
        <v>60</v>
      </c>
      <c r="D269" s="13">
        <f>ROUND(IF('Task 2'!G269&lt;0,ABS('Task 2'!G269),0),0)</f>
        <v>0</v>
      </c>
      <c r="E269" s="7">
        <f>ROUND('Task 2'!D269*'Task 3'!C269,0)</f>
        <v>216</v>
      </c>
      <c r="F269" s="7">
        <f>VLOOKUP(B269,'Vendor -MOQ- Lead time'!$A$2:$C$45,3,0)</f>
        <v>1080</v>
      </c>
      <c r="G269" s="7">
        <f t="shared" si="8"/>
        <v>1080</v>
      </c>
      <c r="H269" s="7" t="s">
        <v>0</v>
      </c>
      <c r="I269" s="7" cm="1">
        <f t="array" ref="I269">_xlfn.IFS(H269="25-50%",230,H269="Top 25 %",260,H269="50-75%",200,H269="Last 25%",170,H269="Retire",150)</f>
        <v>170</v>
      </c>
      <c r="J269" s="15">
        <f t="shared" si="9"/>
        <v>183600</v>
      </c>
    </row>
    <row r="270" spans="1:10" x14ac:dyDescent="0.3">
      <c r="A270" s="7" t="s">
        <v>322</v>
      </c>
      <c r="B270" s="7" t="str">
        <f>_xlfn.XLOOKUP(A270,'Vendor code- SKU mapping'!$B$1:$B$806,'Vendor code- SKU mapping'!$A$1:$A$806)</f>
        <v>ISte</v>
      </c>
      <c r="C270" s="7">
        <f>VLOOKUP(B270,'Vendor -MOQ- Lead time'!$A$2:$B$45,2,0)</f>
        <v>45</v>
      </c>
      <c r="D270" s="13">
        <f>ROUND(IF('Task 2'!G270&lt;0,ABS('Task 2'!G270),0),0)</f>
        <v>45</v>
      </c>
      <c r="E270" s="7">
        <f>ROUND('Task 2'!D270*'Task 3'!C270,0)</f>
        <v>239</v>
      </c>
      <c r="F270" s="7">
        <f>VLOOKUP(B270,'Vendor -MOQ- Lead time'!$A$2:$C$45,3,0)</f>
        <v>270</v>
      </c>
      <c r="G270" s="7">
        <f t="shared" si="8"/>
        <v>540</v>
      </c>
      <c r="H270" s="7" t="s">
        <v>0</v>
      </c>
      <c r="I270" s="7" cm="1">
        <f t="array" ref="I270">_xlfn.IFS(H270="25-50%",230,H270="Top 25 %",260,H270="50-75%",200,H270="Last 25%",170,H270="Retire",150)</f>
        <v>170</v>
      </c>
      <c r="J270" s="15">
        <f t="shared" si="9"/>
        <v>91800</v>
      </c>
    </row>
    <row r="271" spans="1:10" x14ac:dyDescent="0.3">
      <c r="A271" s="7" t="s">
        <v>323</v>
      </c>
      <c r="B271" s="7" t="str">
        <f>_xlfn.XLOOKUP(A271,'Vendor code- SKU mapping'!$B$1:$B$806,'Vendor code- SKU mapping'!$A$1:$A$806)</f>
        <v>EIta</v>
      </c>
      <c r="C271" s="7">
        <f>VLOOKUP(B271,'Vendor -MOQ- Lead time'!$A$2:$B$45,2,0)</f>
        <v>60</v>
      </c>
      <c r="D271" s="13">
        <f>ROUND(IF('Task 2'!G271&lt;0,ABS('Task 2'!G271),0),0)</f>
        <v>0</v>
      </c>
      <c r="E271" s="7">
        <f>ROUND('Task 2'!D271*'Task 3'!C271,0)</f>
        <v>278</v>
      </c>
      <c r="F271" s="7">
        <f>VLOOKUP(B271,'Vendor -MOQ- Lead time'!$A$2:$C$45,3,0)</f>
        <v>1080</v>
      </c>
      <c r="G271" s="7">
        <f t="shared" si="8"/>
        <v>1080</v>
      </c>
      <c r="H271" s="7" t="s">
        <v>0</v>
      </c>
      <c r="I271" s="7" cm="1">
        <f t="array" ref="I271">_xlfn.IFS(H271="25-50%",230,H271="Top 25 %",260,H271="50-75%",200,H271="Last 25%",170,H271="Retire",150)</f>
        <v>170</v>
      </c>
      <c r="J271" s="15">
        <f t="shared" si="9"/>
        <v>183600</v>
      </c>
    </row>
    <row r="272" spans="1:10" x14ac:dyDescent="0.3">
      <c r="A272" s="7" t="s">
        <v>324</v>
      </c>
      <c r="B272" s="7" t="str">
        <f>_xlfn.XLOOKUP(A272,'Vendor code- SKU mapping'!$B$1:$B$806,'Vendor code- SKU mapping'!$A$1:$A$806)</f>
        <v>ONex</v>
      </c>
      <c r="C272" s="7">
        <f>VLOOKUP(B272,'Vendor -MOQ- Lead time'!$A$2:$B$45,2,0)</f>
        <v>90</v>
      </c>
      <c r="D272" s="13">
        <f>ROUND(IF('Task 2'!G272&lt;0,ABS('Task 2'!G272),0),0)</f>
        <v>0</v>
      </c>
      <c r="E272" s="7">
        <f>ROUND('Task 2'!D272*'Task 3'!C272,0)</f>
        <v>207</v>
      </c>
      <c r="F272" s="7">
        <f>VLOOKUP(B272,'Vendor -MOQ- Lead time'!$A$2:$C$45,3,0)</f>
        <v>1440</v>
      </c>
      <c r="G272" s="7">
        <f t="shared" si="8"/>
        <v>1440</v>
      </c>
      <c r="H272" s="7" t="s">
        <v>0</v>
      </c>
      <c r="I272" s="7" cm="1">
        <f t="array" ref="I272">_xlfn.IFS(H272="25-50%",230,H272="Top 25 %",260,H272="50-75%",200,H272="Last 25%",170,H272="Retire",150)</f>
        <v>170</v>
      </c>
      <c r="J272" s="15">
        <f t="shared" si="9"/>
        <v>244800</v>
      </c>
    </row>
    <row r="273" spans="1:10" x14ac:dyDescent="0.3">
      <c r="A273" s="7" t="s">
        <v>325</v>
      </c>
      <c r="B273" s="7" t="str">
        <f>_xlfn.XLOOKUP(A273,'Vendor code- SKU mapping'!$B$1:$B$806,'Vendor code- SKU mapping'!$A$1:$A$806)</f>
        <v>EGV</v>
      </c>
      <c r="C273" s="7">
        <f>VLOOKUP(B273,'Vendor -MOQ- Lead time'!$A$2:$B$45,2,0)</f>
        <v>45</v>
      </c>
      <c r="D273" s="13">
        <f>ROUND(IF('Task 2'!G273&lt;0,ABS('Task 2'!G273),0),0)</f>
        <v>0</v>
      </c>
      <c r="E273" s="7">
        <f>ROUND('Task 2'!D273*'Task 3'!C273,0)</f>
        <v>149</v>
      </c>
      <c r="F273" s="7">
        <f>VLOOKUP(B273,'Vendor -MOQ- Lead time'!$A$2:$C$45,3,0)</f>
        <v>270</v>
      </c>
      <c r="G273" s="7">
        <f t="shared" si="8"/>
        <v>270</v>
      </c>
      <c r="H273" s="7" t="s">
        <v>0</v>
      </c>
      <c r="I273" s="7" cm="1">
        <f t="array" ref="I273">_xlfn.IFS(H273="25-50%",230,H273="Top 25 %",260,H273="50-75%",200,H273="Last 25%",170,H273="Retire",150)</f>
        <v>170</v>
      </c>
      <c r="J273" s="15">
        <f t="shared" si="9"/>
        <v>45900</v>
      </c>
    </row>
    <row r="274" spans="1:10" x14ac:dyDescent="0.3">
      <c r="A274" s="7" t="s">
        <v>326</v>
      </c>
      <c r="B274" s="7" t="str">
        <f>_xlfn.XLOOKUP(A274,'Vendor code- SKU mapping'!$B$1:$B$806,'Vendor code- SKU mapping'!$A$1:$A$806)</f>
        <v>OMah</v>
      </c>
      <c r="C274" s="7">
        <f>VLOOKUP(B274,'Vendor -MOQ- Lead time'!$A$2:$B$45,2,0)</f>
        <v>45</v>
      </c>
      <c r="D274" s="13">
        <f>ROUND(IF('Task 2'!G274&lt;0,ABS('Task 2'!G274),0),0)</f>
        <v>0</v>
      </c>
      <c r="E274" s="7">
        <f>ROUND('Task 2'!D274*'Task 3'!C274,0)</f>
        <v>159</v>
      </c>
      <c r="F274" s="7">
        <f>VLOOKUP(B274,'Vendor -MOQ- Lead time'!$A$2:$C$45,3,0)</f>
        <v>270</v>
      </c>
      <c r="G274" s="7">
        <f t="shared" si="8"/>
        <v>270</v>
      </c>
      <c r="H274" s="7" t="s">
        <v>0</v>
      </c>
      <c r="I274" s="7" cm="1">
        <f t="array" ref="I274">_xlfn.IFS(H274="25-50%",230,H274="Top 25 %",260,H274="50-75%",200,H274="Last 25%",170,H274="Retire",150)</f>
        <v>170</v>
      </c>
      <c r="J274" s="15">
        <f t="shared" si="9"/>
        <v>45900</v>
      </c>
    </row>
    <row r="275" spans="1:10" x14ac:dyDescent="0.3">
      <c r="A275" s="7" t="s">
        <v>327</v>
      </c>
      <c r="B275" s="7" t="str">
        <f>_xlfn.XLOOKUP(A275,'Vendor code- SKU mapping'!$B$1:$B$806,'Vendor code- SKU mapping'!$A$1:$A$806)</f>
        <v>OKP</v>
      </c>
      <c r="C275" s="7">
        <f>VLOOKUP(B275,'Vendor -MOQ- Lead time'!$A$2:$B$45,2,0)</f>
        <v>30</v>
      </c>
      <c r="D275" s="13">
        <f>ROUND(IF('Task 2'!G275&lt;0,ABS('Task 2'!G275),0),0)</f>
        <v>0</v>
      </c>
      <c r="E275" s="7">
        <f>ROUND('Task 2'!D275*'Task 3'!C275,0)</f>
        <v>114</v>
      </c>
      <c r="F275" s="7">
        <f>VLOOKUP(B275,'Vendor -MOQ- Lead time'!$A$2:$C$45,3,0)</f>
        <v>180</v>
      </c>
      <c r="G275" s="7">
        <f t="shared" si="8"/>
        <v>180</v>
      </c>
      <c r="H275" s="7" t="s">
        <v>0</v>
      </c>
      <c r="I275" s="7" cm="1">
        <f t="array" ref="I275">_xlfn.IFS(H275="25-50%",230,H275="Top 25 %",260,H275="50-75%",200,H275="Last 25%",170,H275="Retire",150)</f>
        <v>170</v>
      </c>
      <c r="J275" s="15">
        <f t="shared" si="9"/>
        <v>30600</v>
      </c>
    </row>
    <row r="276" spans="1:10" x14ac:dyDescent="0.3">
      <c r="A276" s="7" t="s">
        <v>328</v>
      </c>
      <c r="B276" s="7" t="str">
        <f>_xlfn.XLOOKUP(A276,'Vendor code- SKU mapping'!$B$1:$B$806,'Vendor code- SKU mapping'!$A$1:$A$806)</f>
        <v>AAB</v>
      </c>
      <c r="C276" s="7">
        <f>VLOOKUP(B276,'Vendor -MOQ- Lead time'!$A$2:$B$45,2,0)</f>
        <v>45</v>
      </c>
      <c r="D276" s="13">
        <f>ROUND(IF('Task 2'!G276&lt;0,ABS('Task 2'!G276),0),0)</f>
        <v>17</v>
      </c>
      <c r="E276" s="7">
        <f>ROUND('Task 2'!D276*'Task 3'!C276,0)</f>
        <v>98</v>
      </c>
      <c r="F276" s="7">
        <f>VLOOKUP(B276,'Vendor -MOQ- Lead time'!$A$2:$C$45,3,0)</f>
        <v>270</v>
      </c>
      <c r="G276" s="7">
        <f t="shared" si="8"/>
        <v>270</v>
      </c>
      <c r="H276" s="7" t="s">
        <v>0</v>
      </c>
      <c r="I276" s="7" cm="1">
        <f t="array" ref="I276">_xlfn.IFS(H276="25-50%",230,H276="Top 25 %",260,H276="50-75%",200,H276="Last 25%",170,H276="Retire",150)</f>
        <v>170</v>
      </c>
      <c r="J276" s="15">
        <f t="shared" si="9"/>
        <v>45900</v>
      </c>
    </row>
    <row r="277" spans="1:10" x14ac:dyDescent="0.3">
      <c r="A277" s="7" t="s">
        <v>329</v>
      </c>
      <c r="B277" s="7" t="str">
        <f>_xlfn.XLOOKUP(A277,'Vendor code- SKU mapping'!$B$1:$B$806,'Vendor code- SKU mapping'!$A$1:$A$806)</f>
        <v>OMah</v>
      </c>
      <c r="C277" s="7">
        <f>VLOOKUP(B277,'Vendor -MOQ- Lead time'!$A$2:$B$45,2,0)</f>
        <v>45</v>
      </c>
      <c r="D277" s="13">
        <f>ROUND(IF('Task 2'!G277&lt;0,ABS('Task 2'!G277),0),0)</f>
        <v>0</v>
      </c>
      <c r="E277" s="7">
        <f>ROUND('Task 2'!D277*'Task 3'!C277,0)</f>
        <v>201</v>
      </c>
      <c r="F277" s="7">
        <f>VLOOKUP(B277,'Vendor -MOQ- Lead time'!$A$2:$C$45,3,0)</f>
        <v>270</v>
      </c>
      <c r="G277" s="7">
        <f t="shared" si="8"/>
        <v>270</v>
      </c>
      <c r="H277" s="7" t="s">
        <v>2</v>
      </c>
      <c r="I277" s="7" cm="1">
        <f t="array" ref="I277">_xlfn.IFS(H277="25-50%",230,H277="Top 25 %",260,H277="50-75%",200,H277="Last 25%",170,H277="Retire",150)</f>
        <v>230</v>
      </c>
      <c r="J277" s="15">
        <f t="shared" si="9"/>
        <v>62100</v>
      </c>
    </row>
    <row r="278" spans="1:10" x14ac:dyDescent="0.3">
      <c r="A278" s="7" t="s">
        <v>330</v>
      </c>
      <c r="B278" s="7" t="str">
        <f>_xlfn.XLOOKUP(A278,'Vendor code- SKU mapping'!$B$1:$B$806,'Vendor code- SKU mapping'!$A$1:$A$806)</f>
        <v>OMah</v>
      </c>
      <c r="C278" s="7">
        <f>VLOOKUP(B278,'Vendor -MOQ- Lead time'!$A$2:$B$45,2,0)</f>
        <v>45</v>
      </c>
      <c r="D278" s="13">
        <f>ROUND(IF('Task 2'!G278&lt;0,ABS('Task 2'!G278),0),0)</f>
        <v>0</v>
      </c>
      <c r="E278" s="7">
        <f>ROUND('Task 2'!D278*'Task 3'!C278,0)</f>
        <v>156</v>
      </c>
      <c r="F278" s="7">
        <f>VLOOKUP(B278,'Vendor -MOQ- Lead time'!$A$2:$C$45,3,0)</f>
        <v>270</v>
      </c>
      <c r="G278" s="7">
        <f t="shared" si="8"/>
        <v>270</v>
      </c>
      <c r="H278" s="7" t="s">
        <v>2</v>
      </c>
      <c r="I278" s="7" cm="1">
        <f t="array" ref="I278">_xlfn.IFS(H278="25-50%",230,H278="Top 25 %",260,H278="50-75%",200,H278="Last 25%",170,H278="Retire",150)</f>
        <v>230</v>
      </c>
      <c r="J278" s="15">
        <f t="shared" si="9"/>
        <v>62100</v>
      </c>
    </row>
    <row r="279" spans="1:10" x14ac:dyDescent="0.3">
      <c r="A279" s="7" t="s">
        <v>331</v>
      </c>
      <c r="B279" s="7" t="str">
        <f>_xlfn.XLOOKUP(A279,'Vendor code- SKU mapping'!$B$1:$B$806,'Vendor code- SKU mapping'!$A$1:$A$806)</f>
        <v>EHei</v>
      </c>
      <c r="C279" s="7">
        <f>VLOOKUP(B279,'Vendor -MOQ- Lead time'!$A$2:$B$45,2,0)</f>
        <v>45</v>
      </c>
      <c r="D279" s="13">
        <f>ROUND(IF('Task 2'!G279&lt;0,ABS('Task 2'!G279),0),0)</f>
        <v>0</v>
      </c>
      <c r="E279" s="7">
        <f>ROUND('Task 2'!D279*'Task 3'!C279,0)</f>
        <v>162</v>
      </c>
      <c r="F279" s="7">
        <f>VLOOKUP(B279,'Vendor -MOQ- Lead time'!$A$2:$C$45,3,0)</f>
        <v>270</v>
      </c>
      <c r="G279" s="7">
        <f t="shared" si="8"/>
        <v>270</v>
      </c>
      <c r="H279" s="7" t="s">
        <v>0</v>
      </c>
      <c r="I279" s="7" cm="1">
        <f t="array" ref="I279">_xlfn.IFS(H279="25-50%",230,H279="Top 25 %",260,H279="50-75%",200,H279="Last 25%",170,H279="Retire",150)</f>
        <v>170</v>
      </c>
      <c r="J279" s="15">
        <f t="shared" si="9"/>
        <v>45900</v>
      </c>
    </row>
    <row r="280" spans="1:10" x14ac:dyDescent="0.3">
      <c r="A280" s="7" t="s">
        <v>332</v>
      </c>
      <c r="B280" s="7" t="str">
        <f>_xlfn.XLOOKUP(A280,'Vendor code- SKU mapping'!$B$1:$B$806,'Vendor code- SKU mapping'!$A$1:$A$806)</f>
        <v>AAFC</v>
      </c>
      <c r="C280" s="7">
        <f>VLOOKUP(B280,'Vendor -MOQ- Lead time'!$A$2:$B$45,2,0)</f>
        <v>45</v>
      </c>
      <c r="D280" s="13">
        <f>ROUND(IF('Task 2'!G280&lt;0,ABS('Task 2'!G280),0),0)</f>
        <v>0</v>
      </c>
      <c r="E280" s="7">
        <f>ROUND('Task 2'!D280*'Task 3'!C280,0)</f>
        <v>158</v>
      </c>
      <c r="F280" s="7">
        <f>VLOOKUP(B280,'Vendor -MOQ- Lead time'!$A$2:$C$45,3,0)</f>
        <v>270</v>
      </c>
      <c r="G280" s="7">
        <f t="shared" si="8"/>
        <v>270</v>
      </c>
      <c r="H280" s="7" t="s">
        <v>0</v>
      </c>
      <c r="I280" s="7" cm="1">
        <f t="array" ref="I280">_xlfn.IFS(H280="25-50%",230,H280="Top 25 %",260,H280="50-75%",200,H280="Last 25%",170,H280="Retire",150)</f>
        <v>170</v>
      </c>
      <c r="J280" s="15">
        <f t="shared" si="9"/>
        <v>45900</v>
      </c>
    </row>
    <row r="281" spans="1:10" x14ac:dyDescent="0.3">
      <c r="A281" s="7" t="s">
        <v>333</v>
      </c>
      <c r="B281" s="7" t="str">
        <f>_xlfn.XLOOKUP(A281,'Vendor code- SKU mapping'!$B$1:$B$806,'Vendor code- SKU mapping'!$A$1:$A$806)</f>
        <v>OMah</v>
      </c>
      <c r="C281" s="7">
        <f>VLOOKUP(B281,'Vendor -MOQ- Lead time'!$A$2:$B$45,2,0)</f>
        <v>45</v>
      </c>
      <c r="D281" s="13">
        <f>ROUND(IF('Task 2'!G281&lt;0,ABS('Task 2'!G281),0),0)</f>
        <v>70</v>
      </c>
      <c r="E281" s="7">
        <f>ROUND('Task 2'!D281*'Task 3'!C281,0)</f>
        <v>209</v>
      </c>
      <c r="F281" s="7">
        <f>VLOOKUP(B281,'Vendor -MOQ- Lead time'!$A$2:$C$45,3,0)</f>
        <v>270</v>
      </c>
      <c r="G281" s="7">
        <f t="shared" si="8"/>
        <v>540</v>
      </c>
      <c r="H281" s="7" t="s">
        <v>0</v>
      </c>
      <c r="I281" s="7" cm="1">
        <f t="array" ref="I281">_xlfn.IFS(H281="25-50%",230,H281="Top 25 %",260,H281="50-75%",200,H281="Last 25%",170,H281="Retire",150)</f>
        <v>170</v>
      </c>
      <c r="J281" s="15">
        <f t="shared" si="9"/>
        <v>91800</v>
      </c>
    </row>
    <row r="282" spans="1:10" x14ac:dyDescent="0.3">
      <c r="A282" s="7" t="s">
        <v>334</v>
      </c>
      <c r="B282" s="7" t="str">
        <f>_xlfn.XLOOKUP(A282,'Vendor code- SKU mapping'!$B$1:$B$806,'Vendor code- SKU mapping'!$A$1:$A$806)</f>
        <v>EGV</v>
      </c>
      <c r="C282" s="7">
        <f>VLOOKUP(B282,'Vendor -MOQ- Lead time'!$A$2:$B$45,2,0)</f>
        <v>45</v>
      </c>
      <c r="D282" s="13">
        <f>ROUND(IF('Task 2'!G282&lt;0,ABS('Task 2'!G282),0),0)</f>
        <v>0</v>
      </c>
      <c r="E282" s="7">
        <f>ROUND('Task 2'!D282*'Task 3'!C282,0)</f>
        <v>198</v>
      </c>
      <c r="F282" s="7">
        <f>VLOOKUP(B282,'Vendor -MOQ- Lead time'!$A$2:$C$45,3,0)</f>
        <v>270</v>
      </c>
      <c r="G282" s="7">
        <f t="shared" si="8"/>
        <v>270</v>
      </c>
      <c r="H282" s="7" t="s">
        <v>0</v>
      </c>
      <c r="I282" s="7" cm="1">
        <f t="array" ref="I282">_xlfn.IFS(H282="25-50%",230,H282="Top 25 %",260,H282="50-75%",200,H282="Last 25%",170,H282="Retire",150)</f>
        <v>170</v>
      </c>
      <c r="J282" s="15">
        <f t="shared" si="9"/>
        <v>45900</v>
      </c>
    </row>
    <row r="283" spans="1:10" x14ac:dyDescent="0.3">
      <c r="A283" s="7" t="s">
        <v>335</v>
      </c>
      <c r="B283" s="7" t="str">
        <f>_xlfn.XLOOKUP(A283,'Vendor code- SKU mapping'!$B$1:$B$806,'Vendor code- SKU mapping'!$A$1:$A$806)</f>
        <v>EGV</v>
      </c>
      <c r="C283" s="7">
        <f>VLOOKUP(B283,'Vendor -MOQ- Lead time'!$A$2:$B$45,2,0)</f>
        <v>45</v>
      </c>
      <c r="D283" s="13">
        <f>ROUND(IF('Task 2'!G283&lt;0,ABS('Task 2'!G283),0),0)</f>
        <v>0</v>
      </c>
      <c r="E283" s="7">
        <f>ROUND('Task 2'!D283*'Task 3'!C283,0)</f>
        <v>182</v>
      </c>
      <c r="F283" s="7">
        <f>VLOOKUP(B283,'Vendor -MOQ- Lead time'!$A$2:$C$45,3,0)</f>
        <v>270</v>
      </c>
      <c r="G283" s="7">
        <f t="shared" si="8"/>
        <v>270</v>
      </c>
      <c r="H283" s="7" t="s">
        <v>0</v>
      </c>
      <c r="I283" s="7" cm="1">
        <f t="array" ref="I283">_xlfn.IFS(H283="25-50%",230,H283="Top 25 %",260,H283="50-75%",200,H283="Last 25%",170,H283="Retire",150)</f>
        <v>170</v>
      </c>
      <c r="J283" s="15">
        <f t="shared" si="9"/>
        <v>45900</v>
      </c>
    </row>
    <row r="284" spans="1:10" x14ac:dyDescent="0.3">
      <c r="A284" s="7" t="s">
        <v>336</v>
      </c>
      <c r="B284" s="7" t="str">
        <f>_xlfn.XLOOKUP(A284,'Vendor code- SKU mapping'!$B$1:$B$806,'Vendor code- SKU mapping'!$A$1:$A$806)</f>
        <v>OMug</v>
      </c>
      <c r="C284" s="7">
        <f>VLOOKUP(B284,'Vendor -MOQ- Lead time'!$A$2:$B$45,2,0)</f>
        <v>45</v>
      </c>
      <c r="D284" s="13">
        <f>ROUND(IF('Task 2'!G284&lt;0,ABS('Task 2'!G284),0),0)</f>
        <v>0</v>
      </c>
      <c r="E284" s="7">
        <f>ROUND('Task 2'!D284*'Task 3'!C284,0)</f>
        <v>164</v>
      </c>
      <c r="F284" s="7">
        <f>VLOOKUP(B284,'Vendor -MOQ- Lead time'!$A$2:$C$45,3,0)</f>
        <v>270</v>
      </c>
      <c r="G284" s="7">
        <f t="shared" si="8"/>
        <v>270</v>
      </c>
      <c r="H284" s="7" t="s">
        <v>0</v>
      </c>
      <c r="I284" s="7" cm="1">
        <f t="array" ref="I284">_xlfn.IFS(H284="25-50%",230,H284="Top 25 %",260,H284="50-75%",200,H284="Last 25%",170,H284="Retire",150)</f>
        <v>170</v>
      </c>
      <c r="J284" s="15">
        <f t="shared" si="9"/>
        <v>45900</v>
      </c>
    </row>
    <row r="285" spans="1:10" x14ac:dyDescent="0.3">
      <c r="A285" s="7" t="s">
        <v>337</v>
      </c>
      <c r="B285" s="7" t="str">
        <f>_xlfn.XLOOKUP(A285,'Vendor code- SKU mapping'!$B$1:$B$806,'Vendor code- SKU mapping'!$A$1:$A$806)</f>
        <v>OMah</v>
      </c>
      <c r="C285" s="7">
        <f>VLOOKUP(B285,'Vendor -MOQ- Lead time'!$A$2:$B$45,2,0)</f>
        <v>45</v>
      </c>
      <c r="D285" s="13">
        <f>ROUND(IF('Task 2'!G285&lt;0,ABS('Task 2'!G285),0),0)</f>
        <v>0</v>
      </c>
      <c r="E285" s="7">
        <f>ROUND('Task 2'!D285*'Task 3'!C285,0)</f>
        <v>155</v>
      </c>
      <c r="F285" s="7">
        <f>VLOOKUP(B285,'Vendor -MOQ- Lead time'!$A$2:$C$45,3,0)</f>
        <v>270</v>
      </c>
      <c r="G285" s="7">
        <f t="shared" si="8"/>
        <v>270</v>
      </c>
      <c r="H285" s="7" t="s">
        <v>0</v>
      </c>
      <c r="I285" s="7" cm="1">
        <f t="array" ref="I285">_xlfn.IFS(H285="25-50%",230,H285="Top 25 %",260,H285="50-75%",200,H285="Last 25%",170,H285="Retire",150)</f>
        <v>170</v>
      </c>
      <c r="J285" s="15">
        <f t="shared" si="9"/>
        <v>45900</v>
      </c>
    </row>
    <row r="286" spans="1:10" x14ac:dyDescent="0.3">
      <c r="A286" s="7" t="s">
        <v>338</v>
      </c>
      <c r="B286" s="7" t="str">
        <f>_xlfn.XLOOKUP(A286,'Vendor code- SKU mapping'!$B$1:$B$806,'Vendor code- SKU mapping'!$A$1:$A$806)</f>
        <v>ORoy</v>
      </c>
      <c r="C286" s="7">
        <f>VLOOKUP(B286,'Vendor -MOQ- Lead time'!$A$2:$B$45,2,0)</f>
        <v>45</v>
      </c>
      <c r="D286" s="13">
        <f>ROUND(IF('Task 2'!G286&lt;0,ABS('Task 2'!G286),0),0)</f>
        <v>0</v>
      </c>
      <c r="E286" s="7">
        <f>ROUND('Task 2'!D286*'Task 3'!C286,0)</f>
        <v>102</v>
      </c>
      <c r="F286" s="7">
        <f>VLOOKUP(B286,'Vendor -MOQ- Lead time'!$A$2:$C$45,3,0)</f>
        <v>270</v>
      </c>
      <c r="G286" s="7">
        <f t="shared" si="8"/>
        <v>270</v>
      </c>
      <c r="H286" s="7" t="s">
        <v>0</v>
      </c>
      <c r="I286" s="7" cm="1">
        <f t="array" ref="I286">_xlfn.IFS(H286="25-50%",230,H286="Top 25 %",260,H286="50-75%",200,H286="Last 25%",170,H286="Retire",150)</f>
        <v>170</v>
      </c>
      <c r="J286" s="15">
        <f t="shared" si="9"/>
        <v>45900</v>
      </c>
    </row>
    <row r="287" spans="1:10" x14ac:dyDescent="0.3">
      <c r="A287" s="7" t="s">
        <v>339</v>
      </c>
      <c r="B287" s="7" t="str">
        <f>_xlfn.XLOOKUP(A287,'Vendor code- SKU mapping'!$B$1:$B$806,'Vendor code- SKU mapping'!$A$1:$A$806)</f>
        <v>ORav</v>
      </c>
      <c r="C287" s="7">
        <f>VLOOKUP(B287,'Vendor -MOQ- Lead time'!$A$2:$B$45,2,0)</f>
        <v>30</v>
      </c>
      <c r="D287" s="13">
        <f>ROUND(IF('Task 2'!G287&lt;0,ABS('Task 2'!G287),0),0)</f>
        <v>5</v>
      </c>
      <c r="E287" s="7">
        <f>ROUND('Task 2'!D287*'Task 3'!C287,0)</f>
        <v>38</v>
      </c>
      <c r="F287" s="7">
        <f>VLOOKUP(B287,'Vendor -MOQ- Lead time'!$A$2:$C$45,3,0)</f>
        <v>180</v>
      </c>
      <c r="G287" s="7">
        <f t="shared" si="8"/>
        <v>180</v>
      </c>
      <c r="H287" s="7" t="s">
        <v>0</v>
      </c>
      <c r="I287" s="7" cm="1">
        <f t="array" ref="I287">_xlfn.IFS(H287="25-50%",230,H287="Top 25 %",260,H287="50-75%",200,H287="Last 25%",170,H287="Retire",150)</f>
        <v>170</v>
      </c>
      <c r="J287" s="15">
        <f t="shared" si="9"/>
        <v>30600</v>
      </c>
    </row>
    <row r="288" spans="1:10" x14ac:dyDescent="0.3">
      <c r="A288" s="7" t="s">
        <v>340</v>
      </c>
      <c r="B288" s="7" t="str">
        <f>_xlfn.XLOOKUP(A288,'Vendor code- SKU mapping'!$B$1:$B$806,'Vendor code- SKU mapping'!$A$1:$A$806)</f>
        <v>ORed</v>
      </c>
      <c r="C288" s="7">
        <f>VLOOKUP(B288,'Vendor -MOQ- Lead time'!$A$2:$B$45,2,0)</f>
        <v>30</v>
      </c>
      <c r="D288" s="13">
        <f>ROUND(IF('Task 2'!G288&lt;0,ABS('Task 2'!G288),0),0)</f>
        <v>0</v>
      </c>
      <c r="E288" s="7">
        <f>ROUND('Task 2'!D288*'Task 3'!C288,0)</f>
        <v>77</v>
      </c>
      <c r="F288" s="7">
        <f>VLOOKUP(B288,'Vendor -MOQ- Lead time'!$A$2:$C$45,3,0)</f>
        <v>180</v>
      </c>
      <c r="G288" s="7">
        <f t="shared" si="8"/>
        <v>180</v>
      </c>
      <c r="H288" s="7" t="s">
        <v>1</v>
      </c>
      <c r="I288" s="7" cm="1">
        <f t="array" ref="I288">_xlfn.IFS(H288="25-50%",230,H288="Top 25 %",260,H288="50-75%",200,H288="Last 25%",170,H288="Retire",150)</f>
        <v>200</v>
      </c>
      <c r="J288" s="15">
        <f t="shared" si="9"/>
        <v>36000</v>
      </c>
    </row>
    <row r="289" spans="1:10" x14ac:dyDescent="0.3">
      <c r="A289" s="7" t="s">
        <v>341</v>
      </c>
      <c r="B289" s="7" t="str">
        <f>_xlfn.XLOOKUP(A289,'Vendor code- SKU mapping'!$B$1:$B$806,'Vendor code- SKU mapping'!$A$1:$A$806)</f>
        <v>OLux</v>
      </c>
      <c r="C289" s="7">
        <f>VLOOKUP(B289,'Vendor -MOQ- Lead time'!$A$2:$B$45,2,0)</f>
        <v>30</v>
      </c>
      <c r="D289" s="13">
        <f>ROUND(IF('Task 2'!G289&lt;0,ABS('Task 2'!G289),0),0)</f>
        <v>4</v>
      </c>
      <c r="E289" s="7">
        <f>ROUND('Task 2'!D289*'Task 3'!C289,0)</f>
        <v>163</v>
      </c>
      <c r="F289" s="7">
        <f>VLOOKUP(B289,'Vendor -MOQ- Lead time'!$A$2:$C$45,3,0)</f>
        <v>180</v>
      </c>
      <c r="G289" s="7">
        <f t="shared" si="8"/>
        <v>180</v>
      </c>
      <c r="H289" s="7" t="s">
        <v>0</v>
      </c>
      <c r="I289" s="7" cm="1">
        <f t="array" ref="I289">_xlfn.IFS(H289="25-50%",230,H289="Top 25 %",260,H289="50-75%",200,H289="Last 25%",170,H289="Retire",150)</f>
        <v>170</v>
      </c>
      <c r="J289" s="15">
        <f t="shared" si="9"/>
        <v>30600</v>
      </c>
    </row>
    <row r="290" spans="1:10" x14ac:dyDescent="0.3">
      <c r="A290" s="7" t="s">
        <v>342</v>
      </c>
      <c r="B290" s="7" t="str">
        <f>_xlfn.XLOOKUP(A290,'Vendor code- SKU mapping'!$B$1:$B$806,'Vendor code- SKU mapping'!$A$1:$A$806)</f>
        <v>ISte</v>
      </c>
      <c r="C290" s="7">
        <f>VLOOKUP(B290,'Vendor -MOQ- Lead time'!$A$2:$B$45,2,0)</f>
        <v>45</v>
      </c>
      <c r="D290" s="13">
        <f>ROUND(IF('Task 2'!G290&lt;0,ABS('Task 2'!G290),0),0)</f>
        <v>4</v>
      </c>
      <c r="E290" s="7">
        <f>ROUND('Task 2'!D290*'Task 3'!C290,0)</f>
        <v>110</v>
      </c>
      <c r="F290" s="7">
        <f>VLOOKUP(B290,'Vendor -MOQ- Lead time'!$A$2:$C$45,3,0)</f>
        <v>270</v>
      </c>
      <c r="G290" s="7">
        <f t="shared" si="8"/>
        <v>270</v>
      </c>
      <c r="H290" s="7" t="s">
        <v>0</v>
      </c>
      <c r="I290" s="7" cm="1">
        <f t="array" ref="I290">_xlfn.IFS(H290="25-50%",230,H290="Top 25 %",260,H290="50-75%",200,H290="Last 25%",170,H290="Retire",150)</f>
        <v>170</v>
      </c>
      <c r="J290" s="15">
        <f t="shared" si="9"/>
        <v>45900</v>
      </c>
    </row>
    <row r="291" spans="1:10" x14ac:dyDescent="0.3">
      <c r="A291" s="7" t="s">
        <v>343</v>
      </c>
      <c r="B291" s="7" t="str">
        <f>_xlfn.XLOOKUP(A291,'Vendor code- SKU mapping'!$B$1:$B$806,'Vendor code- SKU mapping'!$A$1:$A$806)</f>
        <v>OMah</v>
      </c>
      <c r="C291" s="7">
        <f>VLOOKUP(B291,'Vendor -MOQ- Lead time'!$A$2:$B$45,2,0)</f>
        <v>45</v>
      </c>
      <c r="D291" s="13">
        <f>ROUND(IF('Task 2'!G291&lt;0,ABS('Task 2'!G291),0),0)</f>
        <v>0</v>
      </c>
      <c r="E291" s="7">
        <f>ROUND('Task 2'!D291*'Task 3'!C291,0)</f>
        <v>102</v>
      </c>
      <c r="F291" s="7">
        <f>VLOOKUP(B291,'Vendor -MOQ- Lead time'!$A$2:$C$45,3,0)</f>
        <v>270</v>
      </c>
      <c r="G291" s="7">
        <f t="shared" si="8"/>
        <v>270</v>
      </c>
      <c r="H291" s="7" t="s">
        <v>0</v>
      </c>
      <c r="I291" s="7" cm="1">
        <f t="array" ref="I291">_xlfn.IFS(H291="25-50%",230,H291="Top 25 %",260,H291="50-75%",200,H291="Last 25%",170,H291="Retire",150)</f>
        <v>170</v>
      </c>
      <c r="J291" s="15">
        <f t="shared" si="9"/>
        <v>45900</v>
      </c>
    </row>
    <row r="292" spans="1:10" x14ac:dyDescent="0.3">
      <c r="A292" s="7" t="s">
        <v>344</v>
      </c>
      <c r="B292" s="7" t="str">
        <f>_xlfn.XLOOKUP(A292,'Vendor code- SKU mapping'!$B$1:$B$806,'Vendor code- SKU mapping'!$A$1:$A$806)</f>
        <v>ONex</v>
      </c>
      <c r="C292" s="7">
        <f>VLOOKUP(B292,'Vendor -MOQ- Lead time'!$A$2:$B$45,2,0)</f>
        <v>90</v>
      </c>
      <c r="D292" s="13">
        <f>ROUND(IF('Task 2'!G292&lt;0,ABS('Task 2'!G292),0),0)</f>
        <v>0</v>
      </c>
      <c r="E292" s="7">
        <f>ROUND('Task 2'!D292*'Task 3'!C292,0)</f>
        <v>186</v>
      </c>
      <c r="F292" s="7">
        <f>VLOOKUP(B292,'Vendor -MOQ- Lead time'!$A$2:$C$45,3,0)</f>
        <v>1440</v>
      </c>
      <c r="G292" s="7">
        <f t="shared" si="8"/>
        <v>1440</v>
      </c>
      <c r="H292" s="7" t="s">
        <v>0</v>
      </c>
      <c r="I292" s="7" cm="1">
        <f t="array" ref="I292">_xlfn.IFS(H292="25-50%",230,H292="Top 25 %",260,H292="50-75%",200,H292="Last 25%",170,H292="Retire",150)</f>
        <v>170</v>
      </c>
      <c r="J292" s="15">
        <f t="shared" si="9"/>
        <v>244800</v>
      </c>
    </row>
    <row r="293" spans="1:10" x14ac:dyDescent="0.3">
      <c r="A293" s="7" t="s">
        <v>345</v>
      </c>
      <c r="B293" s="7" t="str">
        <f>_xlfn.XLOOKUP(A293,'Vendor code- SKU mapping'!$B$1:$B$806,'Vendor code- SKU mapping'!$A$1:$A$806)</f>
        <v>EHei</v>
      </c>
      <c r="C293" s="7">
        <f>VLOOKUP(B293,'Vendor -MOQ- Lead time'!$A$2:$B$45,2,0)</f>
        <v>45</v>
      </c>
      <c r="D293" s="13">
        <f>ROUND(IF('Task 2'!G293&lt;0,ABS('Task 2'!G293),0),0)</f>
        <v>0</v>
      </c>
      <c r="E293" s="7">
        <f>ROUND('Task 2'!D293*'Task 3'!C293,0)</f>
        <v>111</v>
      </c>
      <c r="F293" s="7">
        <f>VLOOKUP(B293,'Vendor -MOQ- Lead time'!$A$2:$C$45,3,0)</f>
        <v>270</v>
      </c>
      <c r="G293" s="7">
        <f t="shared" si="8"/>
        <v>270</v>
      </c>
      <c r="H293" s="7" t="s">
        <v>0</v>
      </c>
      <c r="I293" s="7" cm="1">
        <f t="array" ref="I293">_xlfn.IFS(H293="25-50%",230,H293="Top 25 %",260,H293="50-75%",200,H293="Last 25%",170,H293="Retire",150)</f>
        <v>170</v>
      </c>
      <c r="J293" s="15">
        <f t="shared" si="9"/>
        <v>45900</v>
      </c>
    </row>
    <row r="294" spans="1:10" x14ac:dyDescent="0.3">
      <c r="A294" s="7" t="s">
        <v>346</v>
      </c>
      <c r="B294" s="7" t="str">
        <f>_xlfn.XLOOKUP(A294,'Vendor code- SKU mapping'!$B$1:$B$806,'Vendor code- SKU mapping'!$A$1:$A$806)</f>
        <v>OSha</v>
      </c>
      <c r="C294" s="7">
        <f>VLOOKUP(B294,'Vendor -MOQ- Lead time'!$A$2:$B$45,2,0)</f>
        <v>45</v>
      </c>
      <c r="D294" s="13">
        <f>ROUND(IF('Task 2'!G294&lt;0,ABS('Task 2'!G294),0),0)</f>
        <v>59</v>
      </c>
      <c r="E294" s="7">
        <f>ROUND('Task 2'!D294*'Task 3'!C294,0)</f>
        <v>152</v>
      </c>
      <c r="F294" s="7">
        <f>VLOOKUP(B294,'Vendor -MOQ- Lead time'!$A$2:$C$45,3,0)</f>
        <v>270</v>
      </c>
      <c r="G294" s="7">
        <f t="shared" si="8"/>
        <v>270</v>
      </c>
      <c r="H294" s="7" t="s">
        <v>0</v>
      </c>
      <c r="I294" s="7" cm="1">
        <f t="array" ref="I294">_xlfn.IFS(H294="25-50%",230,H294="Top 25 %",260,H294="50-75%",200,H294="Last 25%",170,H294="Retire",150)</f>
        <v>170</v>
      </c>
      <c r="J294" s="15">
        <f t="shared" si="9"/>
        <v>45900</v>
      </c>
    </row>
    <row r="295" spans="1:10" x14ac:dyDescent="0.3">
      <c r="A295" s="7" t="s">
        <v>347</v>
      </c>
      <c r="B295" s="7" t="str">
        <f>_xlfn.XLOOKUP(A295,'Vendor code- SKU mapping'!$B$1:$B$806,'Vendor code- SKU mapping'!$A$1:$A$806)</f>
        <v>OKP</v>
      </c>
      <c r="C295" s="7">
        <f>VLOOKUP(B295,'Vendor -MOQ- Lead time'!$A$2:$B$45,2,0)</f>
        <v>30</v>
      </c>
      <c r="D295" s="13">
        <f>ROUND(IF('Task 2'!G295&lt;0,ABS('Task 2'!G295),0),0)</f>
        <v>69</v>
      </c>
      <c r="E295" s="7">
        <f>ROUND('Task 2'!D295*'Task 3'!C295,0)</f>
        <v>141</v>
      </c>
      <c r="F295" s="7">
        <f>VLOOKUP(B295,'Vendor -MOQ- Lead time'!$A$2:$C$45,3,0)</f>
        <v>180</v>
      </c>
      <c r="G295" s="7">
        <f t="shared" si="8"/>
        <v>360</v>
      </c>
      <c r="H295" s="7" t="s">
        <v>0</v>
      </c>
      <c r="I295" s="7" cm="1">
        <f t="array" ref="I295">_xlfn.IFS(H295="25-50%",230,H295="Top 25 %",260,H295="50-75%",200,H295="Last 25%",170,H295="Retire",150)</f>
        <v>170</v>
      </c>
      <c r="J295" s="15">
        <f t="shared" si="9"/>
        <v>61200</v>
      </c>
    </row>
    <row r="296" spans="1:10" x14ac:dyDescent="0.3">
      <c r="A296" s="7" t="s">
        <v>348</v>
      </c>
      <c r="B296" s="7" t="str">
        <f>_xlfn.XLOOKUP(A296,'Vendor code- SKU mapping'!$B$1:$B$806,'Vendor code- SKU mapping'!$A$1:$A$806)</f>
        <v>EHei</v>
      </c>
      <c r="C296" s="7">
        <f>VLOOKUP(B296,'Vendor -MOQ- Lead time'!$A$2:$B$45,2,0)</f>
        <v>45</v>
      </c>
      <c r="D296" s="13">
        <f>ROUND(IF('Task 2'!G296&lt;0,ABS('Task 2'!G296),0),0)</f>
        <v>0</v>
      </c>
      <c r="E296" s="7">
        <f>ROUND('Task 2'!D296*'Task 3'!C296,0)</f>
        <v>117</v>
      </c>
      <c r="F296" s="7">
        <f>VLOOKUP(B296,'Vendor -MOQ- Lead time'!$A$2:$C$45,3,0)</f>
        <v>270</v>
      </c>
      <c r="G296" s="7">
        <f t="shared" si="8"/>
        <v>270</v>
      </c>
      <c r="H296" s="7" t="s">
        <v>0</v>
      </c>
      <c r="I296" s="7" cm="1">
        <f t="array" ref="I296">_xlfn.IFS(H296="25-50%",230,H296="Top 25 %",260,H296="50-75%",200,H296="Last 25%",170,H296="Retire",150)</f>
        <v>170</v>
      </c>
      <c r="J296" s="15">
        <f t="shared" si="9"/>
        <v>45900</v>
      </c>
    </row>
    <row r="297" spans="1:10" x14ac:dyDescent="0.3">
      <c r="A297" s="7" t="s">
        <v>349</v>
      </c>
      <c r="B297" s="7" t="str">
        <f>_xlfn.XLOOKUP(A297,'Vendor code- SKU mapping'!$B$1:$B$806,'Vendor code- SKU mapping'!$A$1:$A$806)</f>
        <v>ORed</v>
      </c>
      <c r="C297" s="7">
        <f>VLOOKUP(B297,'Vendor -MOQ- Lead time'!$A$2:$B$45,2,0)</f>
        <v>30</v>
      </c>
      <c r="D297" s="13">
        <f>ROUND(IF('Task 2'!G297&lt;0,ABS('Task 2'!G297),0),0)</f>
        <v>0</v>
      </c>
      <c r="E297" s="7">
        <f>ROUND('Task 2'!D297*'Task 3'!C297,0)</f>
        <v>91</v>
      </c>
      <c r="F297" s="7">
        <f>VLOOKUP(B297,'Vendor -MOQ- Lead time'!$A$2:$C$45,3,0)</f>
        <v>180</v>
      </c>
      <c r="G297" s="7">
        <f t="shared" si="8"/>
        <v>180</v>
      </c>
      <c r="H297" s="7" t="s">
        <v>0</v>
      </c>
      <c r="I297" s="7" cm="1">
        <f t="array" ref="I297">_xlfn.IFS(H297="25-50%",230,H297="Top 25 %",260,H297="50-75%",200,H297="Last 25%",170,H297="Retire",150)</f>
        <v>170</v>
      </c>
      <c r="J297" s="15">
        <f t="shared" si="9"/>
        <v>30600</v>
      </c>
    </row>
    <row r="298" spans="1:10" x14ac:dyDescent="0.3">
      <c r="A298" s="7" t="s">
        <v>350</v>
      </c>
      <c r="B298" s="7" t="str">
        <f>_xlfn.XLOOKUP(A298,'Vendor code- SKU mapping'!$B$1:$B$806,'Vendor code- SKU mapping'!$A$1:$A$806)</f>
        <v>OMug</v>
      </c>
      <c r="C298" s="7">
        <f>VLOOKUP(B298,'Vendor -MOQ- Lead time'!$A$2:$B$45,2,0)</f>
        <v>45</v>
      </c>
      <c r="D298" s="13">
        <f>ROUND(IF('Task 2'!G298&lt;0,ABS('Task 2'!G298),0),0)</f>
        <v>0</v>
      </c>
      <c r="E298" s="7">
        <f>ROUND('Task 2'!D298*'Task 3'!C298,0)</f>
        <v>129</v>
      </c>
      <c r="F298" s="7">
        <f>VLOOKUP(B298,'Vendor -MOQ- Lead time'!$A$2:$C$45,3,0)</f>
        <v>270</v>
      </c>
      <c r="G298" s="7">
        <f t="shared" si="8"/>
        <v>270</v>
      </c>
      <c r="H298" s="7" t="s">
        <v>0</v>
      </c>
      <c r="I298" s="7" cm="1">
        <f t="array" ref="I298">_xlfn.IFS(H298="25-50%",230,H298="Top 25 %",260,H298="50-75%",200,H298="Last 25%",170,H298="Retire",150)</f>
        <v>170</v>
      </c>
      <c r="J298" s="15">
        <f t="shared" si="9"/>
        <v>45900</v>
      </c>
    </row>
    <row r="299" spans="1:10" x14ac:dyDescent="0.3">
      <c r="A299" s="7" t="s">
        <v>351</v>
      </c>
      <c r="B299" s="7" t="str">
        <f>_xlfn.XLOOKUP(A299,'Vendor code- SKU mapping'!$B$1:$B$806,'Vendor code- SKU mapping'!$A$1:$A$806)</f>
        <v>ONex</v>
      </c>
      <c r="C299" s="7">
        <f>VLOOKUP(B299,'Vendor -MOQ- Lead time'!$A$2:$B$45,2,0)</f>
        <v>90</v>
      </c>
      <c r="D299" s="13">
        <f>ROUND(IF('Task 2'!G299&lt;0,ABS('Task 2'!G299),0),0)</f>
        <v>0</v>
      </c>
      <c r="E299" s="7">
        <f>ROUND('Task 2'!D299*'Task 3'!C299,0)</f>
        <v>147</v>
      </c>
      <c r="F299" s="7">
        <f>VLOOKUP(B299,'Vendor -MOQ- Lead time'!$A$2:$C$45,3,0)</f>
        <v>1440</v>
      </c>
      <c r="G299" s="7">
        <f t="shared" si="8"/>
        <v>1440</v>
      </c>
      <c r="H299" s="7" t="s">
        <v>0</v>
      </c>
      <c r="I299" s="7" cm="1">
        <f t="array" ref="I299">_xlfn.IFS(H299="25-50%",230,H299="Top 25 %",260,H299="50-75%",200,H299="Last 25%",170,H299="Retire",150)</f>
        <v>170</v>
      </c>
      <c r="J299" s="15">
        <f t="shared" si="9"/>
        <v>244800</v>
      </c>
    </row>
    <row r="300" spans="1:10" x14ac:dyDescent="0.3">
      <c r="A300" s="7" t="s">
        <v>352</v>
      </c>
      <c r="B300" s="7" t="str">
        <f>_xlfn.XLOOKUP(A300,'Vendor code- SKU mapping'!$B$1:$B$806,'Vendor code- SKU mapping'!$A$1:$A$806)</f>
        <v>EHei</v>
      </c>
      <c r="C300" s="7">
        <f>VLOOKUP(B300,'Vendor -MOQ- Lead time'!$A$2:$B$45,2,0)</f>
        <v>45</v>
      </c>
      <c r="D300" s="13">
        <f>ROUND(IF('Task 2'!G300&lt;0,ABS('Task 2'!G300),0),0)</f>
        <v>0</v>
      </c>
      <c r="E300" s="7">
        <f>ROUND('Task 2'!D300*'Task 3'!C300,0)</f>
        <v>71</v>
      </c>
      <c r="F300" s="7">
        <f>VLOOKUP(B300,'Vendor -MOQ- Lead time'!$A$2:$C$45,3,0)</f>
        <v>270</v>
      </c>
      <c r="G300" s="7">
        <f t="shared" si="8"/>
        <v>270</v>
      </c>
      <c r="H300" s="7" t="s">
        <v>0</v>
      </c>
      <c r="I300" s="7" cm="1">
        <f t="array" ref="I300">_xlfn.IFS(H300="25-50%",230,H300="Top 25 %",260,H300="50-75%",200,H300="Last 25%",170,H300="Retire",150)</f>
        <v>170</v>
      </c>
      <c r="J300" s="15">
        <f t="shared" si="9"/>
        <v>45900</v>
      </c>
    </row>
    <row r="301" spans="1:10" x14ac:dyDescent="0.3">
      <c r="A301" s="7" t="s">
        <v>353</v>
      </c>
      <c r="B301" s="7" t="str">
        <f>_xlfn.XLOOKUP(A301,'Vendor code- SKU mapping'!$B$1:$B$806,'Vendor code- SKU mapping'!$A$1:$A$806)</f>
        <v>ORed</v>
      </c>
      <c r="C301" s="7">
        <f>VLOOKUP(B301,'Vendor -MOQ- Lead time'!$A$2:$B$45,2,0)</f>
        <v>30</v>
      </c>
      <c r="D301" s="13">
        <f>ROUND(IF('Task 2'!G301&lt;0,ABS('Task 2'!G301),0),0)</f>
        <v>44</v>
      </c>
      <c r="E301" s="7">
        <f>ROUND('Task 2'!D301*'Task 3'!C301,0)</f>
        <v>134</v>
      </c>
      <c r="F301" s="7">
        <f>VLOOKUP(B301,'Vendor -MOQ- Lead time'!$A$2:$C$45,3,0)</f>
        <v>180</v>
      </c>
      <c r="G301" s="7">
        <f t="shared" si="8"/>
        <v>180</v>
      </c>
      <c r="H301" s="7" t="s">
        <v>0</v>
      </c>
      <c r="I301" s="7" cm="1">
        <f t="array" ref="I301">_xlfn.IFS(H301="25-50%",230,H301="Top 25 %",260,H301="50-75%",200,H301="Last 25%",170,H301="Retire",150)</f>
        <v>170</v>
      </c>
      <c r="J301" s="15">
        <f t="shared" si="9"/>
        <v>30600</v>
      </c>
    </row>
    <row r="302" spans="1:10" x14ac:dyDescent="0.3">
      <c r="A302" s="7" t="s">
        <v>354</v>
      </c>
      <c r="B302" s="7" t="str">
        <f>_xlfn.XLOOKUP(A302,'Vendor code- SKU mapping'!$B$1:$B$806,'Vendor code- SKU mapping'!$A$1:$A$806)</f>
        <v>OPar</v>
      </c>
      <c r="C302" s="7">
        <f>VLOOKUP(B302,'Vendor -MOQ- Lead time'!$A$2:$B$45,2,0)</f>
        <v>30</v>
      </c>
      <c r="D302" s="13">
        <f>ROUND(IF('Task 2'!G302&lt;0,ABS('Task 2'!G302),0),0)</f>
        <v>0</v>
      </c>
      <c r="E302" s="7">
        <f>ROUND('Task 2'!D302*'Task 3'!C302,0)</f>
        <v>104</v>
      </c>
      <c r="F302" s="7">
        <f>VLOOKUP(B302,'Vendor -MOQ- Lead time'!$A$2:$C$45,3,0)</f>
        <v>180</v>
      </c>
      <c r="G302" s="7">
        <f t="shared" si="8"/>
        <v>180</v>
      </c>
      <c r="H302" s="7" t="s">
        <v>0</v>
      </c>
      <c r="I302" s="7" cm="1">
        <f t="array" ref="I302">_xlfn.IFS(H302="25-50%",230,H302="Top 25 %",260,H302="50-75%",200,H302="Last 25%",170,H302="Retire",150)</f>
        <v>170</v>
      </c>
      <c r="J302" s="15">
        <f t="shared" si="9"/>
        <v>30600</v>
      </c>
    </row>
    <row r="303" spans="1:10" x14ac:dyDescent="0.3">
      <c r="A303" s="7" t="s">
        <v>355</v>
      </c>
      <c r="B303" s="7" t="str">
        <f>_xlfn.XLOOKUP(A303,'Vendor code- SKU mapping'!$B$1:$B$806,'Vendor code- SKU mapping'!$A$1:$A$806)</f>
        <v>OMah</v>
      </c>
      <c r="C303" s="7">
        <f>VLOOKUP(B303,'Vendor -MOQ- Lead time'!$A$2:$B$45,2,0)</f>
        <v>45</v>
      </c>
      <c r="D303" s="13">
        <f>ROUND(IF('Task 2'!G303&lt;0,ABS('Task 2'!G303),0),0)</f>
        <v>0</v>
      </c>
      <c r="E303" s="7">
        <f>ROUND('Task 2'!D303*'Task 3'!C303,0)</f>
        <v>122</v>
      </c>
      <c r="F303" s="7">
        <f>VLOOKUP(B303,'Vendor -MOQ- Lead time'!$A$2:$C$45,3,0)</f>
        <v>270</v>
      </c>
      <c r="G303" s="7">
        <f t="shared" si="8"/>
        <v>270</v>
      </c>
      <c r="H303" s="7" t="s">
        <v>0</v>
      </c>
      <c r="I303" s="7" cm="1">
        <f t="array" ref="I303">_xlfn.IFS(H303="25-50%",230,H303="Top 25 %",260,H303="50-75%",200,H303="Last 25%",170,H303="Retire",150)</f>
        <v>170</v>
      </c>
      <c r="J303" s="15">
        <f t="shared" si="9"/>
        <v>45900</v>
      </c>
    </row>
    <row r="304" spans="1:10" x14ac:dyDescent="0.3">
      <c r="A304" s="7" t="s">
        <v>356</v>
      </c>
      <c r="B304" s="7" t="str">
        <f>_xlfn.XLOOKUP(A304,'Vendor code- SKU mapping'!$B$1:$B$806,'Vendor code- SKU mapping'!$A$1:$A$806)</f>
        <v>ISte</v>
      </c>
      <c r="C304" s="7">
        <f>VLOOKUP(B304,'Vendor -MOQ- Lead time'!$A$2:$B$45,2,0)</f>
        <v>45</v>
      </c>
      <c r="D304" s="13">
        <f>ROUND(IF('Task 2'!G304&lt;0,ABS('Task 2'!G304),0),0)</f>
        <v>4</v>
      </c>
      <c r="E304" s="7">
        <f>ROUND('Task 2'!D304*'Task 3'!C304,0)</f>
        <v>114</v>
      </c>
      <c r="F304" s="7">
        <f>VLOOKUP(B304,'Vendor -MOQ- Lead time'!$A$2:$C$45,3,0)</f>
        <v>270</v>
      </c>
      <c r="G304" s="7">
        <f t="shared" si="8"/>
        <v>270</v>
      </c>
      <c r="H304" s="7" t="s">
        <v>0</v>
      </c>
      <c r="I304" s="7" cm="1">
        <f t="array" ref="I304">_xlfn.IFS(H304="25-50%",230,H304="Top 25 %",260,H304="50-75%",200,H304="Last 25%",170,H304="Retire",150)</f>
        <v>170</v>
      </c>
      <c r="J304" s="15">
        <f t="shared" si="9"/>
        <v>45900</v>
      </c>
    </row>
    <row r="305" spans="1:10" x14ac:dyDescent="0.3">
      <c r="A305" s="7" t="s">
        <v>357</v>
      </c>
      <c r="B305" s="7" t="str">
        <f>_xlfn.XLOOKUP(A305,'Vendor code- SKU mapping'!$B$1:$B$806,'Vendor code- SKU mapping'!$A$1:$A$806)</f>
        <v>EHei</v>
      </c>
      <c r="C305" s="7">
        <f>VLOOKUP(B305,'Vendor -MOQ- Lead time'!$A$2:$B$45,2,0)</f>
        <v>45</v>
      </c>
      <c r="D305" s="13">
        <f>ROUND(IF('Task 2'!G305&lt;0,ABS('Task 2'!G305),0),0)</f>
        <v>0</v>
      </c>
      <c r="E305" s="7">
        <f>ROUND('Task 2'!D305*'Task 3'!C305,0)</f>
        <v>63</v>
      </c>
      <c r="F305" s="7">
        <f>VLOOKUP(B305,'Vendor -MOQ- Lead time'!$A$2:$C$45,3,0)</f>
        <v>270</v>
      </c>
      <c r="G305" s="7">
        <f t="shared" si="8"/>
        <v>270</v>
      </c>
      <c r="H305" s="7" t="s">
        <v>0</v>
      </c>
      <c r="I305" s="7" cm="1">
        <f t="array" ref="I305">_xlfn.IFS(H305="25-50%",230,H305="Top 25 %",260,H305="50-75%",200,H305="Last 25%",170,H305="Retire",150)</f>
        <v>170</v>
      </c>
      <c r="J305" s="15">
        <f t="shared" si="9"/>
        <v>45900</v>
      </c>
    </row>
    <row r="306" spans="1:10" x14ac:dyDescent="0.3">
      <c r="A306" s="7" t="s">
        <v>358</v>
      </c>
      <c r="B306" s="7" t="str">
        <f>_xlfn.XLOOKUP(A306,'Vendor code- SKU mapping'!$B$1:$B$806,'Vendor code- SKU mapping'!$A$1:$A$806)</f>
        <v>AAB</v>
      </c>
      <c r="C306" s="7">
        <f>VLOOKUP(B306,'Vendor -MOQ- Lead time'!$A$2:$B$45,2,0)</f>
        <v>45</v>
      </c>
      <c r="D306" s="13">
        <f>ROUND(IF('Task 2'!G306&lt;0,ABS('Task 2'!G306),0),0)</f>
        <v>0</v>
      </c>
      <c r="E306" s="7">
        <f>ROUND('Task 2'!D306*'Task 3'!C306,0)</f>
        <v>48</v>
      </c>
      <c r="F306" s="7">
        <f>VLOOKUP(B306,'Vendor -MOQ- Lead time'!$A$2:$C$45,3,0)</f>
        <v>270</v>
      </c>
      <c r="G306" s="7">
        <f t="shared" si="8"/>
        <v>270</v>
      </c>
      <c r="H306" s="7" t="s">
        <v>0</v>
      </c>
      <c r="I306" s="7" cm="1">
        <f t="array" ref="I306">_xlfn.IFS(H306="25-50%",230,H306="Top 25 %",260,H306="50-75%",200,H306="Last 25%",170,H306="Retire",150)</f>
        <v>170</v>
      </c>
      <c r="J306" s="15">
        <f t="shared" si="9"/>
        <v>45900</v>
      </c>
    </row>
    <row r="307" spans="1:10" x14ac:dyDescent="0.3">
      <c r="A307" s="7" t="s">
        <v>359</v>
      </c>
      <c r="B307" s="7" t="str">
        <f>_xlfn.XLOOKUP(A307,'Vendor code- SKU mapping'!$B$1:$B$806,'Vendor code- SKU mapping'!$A$1:$A$806)</f>
        <v>OMah</v>
      </c>
      <c r="C307" s="7">
        <f>VLOOKUP(B307,'Vendor -MOQ- Lead time'!$A$2:$B$45,2,0)</f>
        <v>45</v>
      </c>
      <c r="D307" s="13">
        <f>ROUND(IF('Task 2'!G307&lt;0,ABS('Task 2'!G307),0),0)</f>
        <v>0</v>
      </c>
      <c r="E307" s="7">
        <f>ROUND('Task 2'!D307*'Task 3'!C307,0)</f>
        <v>179</v>
      </c>
      <c r="F307" s="7">
        <f>VLOOKUP(B307,'Vendor -MOQ- Lead time'!$A$2:$C$45,3,0)</f>
        <v>270</v>
      </c>
      <c r="G307" s="7">
        <f t="shared" si="8"/>
        <v>270</v>
      </c>
      <c r="H307" s="7" t="s">
        <v>1</v>
      </c>
      <c r="I307" s="7" cm="1">
        <f t="array" ref="I307">_xlfn.IFS(H307="25-50%",230,H307="Top 25 %",260,H307="50-75%",200,H307="Last 25%",170,H307="Retire",150)</f>
        <v>200</v>
      </c>
      <c r="J307" s="15">
        <f t="shared" si="9"/>
        <v>54000</v>
      </c>
    </row>
    <row r="308" spans="1:10" x14ac:dyDescent="0.3">
      <c r="A308" s="7" t="s">
        <v>360</v>
      </c>
      <c r="B308" s="7" t="str">
        <f>_xlfn.XLOOKUP(A308,'Vendor code- SKU mapping'!$B$1:$B$806,'Vendor code- SKU mapping'!$A$1:$A$806)</f>
        <v>OSha</v>
      </c>
      <c r="C308" s="7">
        <f>VLOOKUP(B308,'Vendor -MOQ- Lead time'!$A$2:$B$45,2,0)</f>
        <v>45</v>
      </c>
      <c r="D308" s="13">
        <f>ROUND(IF('Task 2'!G308&lt;0,ABS('Task 2'!G308),0),0)</f>
        <v>11</v>
      </c>
      <c r="E308" s="7">
        <f>ROUND('Task 2'!D308*'Task 3'!C308,0)</f>
        <v>291</v>
      </c>
      <c r="F308" s="7">
        <f>VLOOKUP(B308,'Vendor -MOQ- Lead time'!$A$2:$C$45,3,0)</f>
        <v>270</v>
      </c>
      <c r="G308" s="7">
        <f t="shared" si="8"/>
        <v>540</v>
      </c>
      <c r="H308" s="7" t="s">
        <v>0</v>
      </c>
      <c r="I308" s="7" cm="1">
        <f t="array" ref="I308">_xlfn.IFS(H308="25-50%",230,H308="Top 25 %",260,H308="50-75%",200,H308="Last 25%",170,H308="Retire",150)</f>
        <v>170</v>
      </c>
      <c r="J308" s="15">
        <f t="shared" si="9"/>
        <v>91800</v>
      </c>
    </row>
    <row r="309" spans="1:10" x14ac:dyDescent="0.3">
      <c r="A309" s="7" t="s">
        <v>361</v>
      </c>
      <c r="B309" s="7" t="str">
        <f>_xlfn.XLOOKUP(A309,'Vendor code- SKU mapping'!$B$1:$B$806,'Vendor code- SKU mapping'!$A$1:$A$806)</f>
        <v>OSAI</v>
      </c>
      <c r="C309" s="7">
        <f>VLOOKUP(B309,'Vendor -MOQ- Lead time'!$A$2:$B$45,2,0)</f>
        <v>30</v>
      </c>
      <c r="D309" s="13">
        <f>ROUND(IF('Task 2'!G309&lt;0,ABS('Task 2'!G309),0),0)</f>
        <v>0</v>
      </c>
      <c r="E309" s="7">
        <f>ROUND('Task 2'!D309*'Task 3'!C309,0)</f>
        <v>157</v>
      </c>
      <c r="F309" s="7">
        <f>VLOOKUP(B309,'Vendor -MOQ- Lead time'!$A$2:$C$45,3,0)</f>
        <v>180</v>
      </c>
      <c r="G309" s="7">
        <f t="shared" si="8"/>
        <v>180</v>
      </c>
      <c r="H309" s="7" t="s">
        <v>0</v>
      </c>
      <c r="I309" s="7" cm="1">
        <f t="array" ref="I309">_xlfn.IFS(H309="25-50%",230,H309="Top 25 %",260,H309="50-75%",200,H309="Last 25%",170,H309="Retire",150)</f>
        <v>170</v>
      </c>
      <c r="J309" s="15">
        <f t="shared" si="9"/>
        <v>30600</v>
      </c>
    </row>
    <row r="310" spans="1:10" x14ac:dyDescent="0.3">
      <c r="A310" s="7" t="s">
        <v>362</v>
      </c>
      <c r="B310" s="7" t="str">
        <f>_xlfn.XLOOKUP(A310,'Vendor code- SKU mapping'!$B$1:$B$806,'Vendor code- SKU mapping'!$A$1:$A$806)</f>
        <v>OShe</v>
      </c>
      <c r="C310" s="7">
        <f>VLOOKUP(B310,'Vendor -MOQ- Lead time'!$A$2:$B$45,2,0)</f>
        <v>30</v>
      </c>
      <c r="D310" s="13">
        <f>ROUND(IF('Task 2'!G310&lt;0,ABS('Task 2'!G310),0),0)</f>
        <v>0</v>
      </c>
      <c r="E310" s="7">
        <f>ROUND('Task 2'!D310*'Task 3'!C310,0)</f>
        <v>88</v>
      </c>
      <c r="F310" s="7">
        <f>VLOOKUP(B310,'Vendor -MOQ- Lead time'!$A$2:$C$45,3,0)</f>
        <v>180</v>
      </c>
      <c r="G310" s="7">
        <f t="shared" si="8"/>
        <v>180</v>
      </c>
      <c r="H310" s="7" t="s">
        <v>0</v>
      </c>
      <c r="I310" s="7" cm="1">
        <f t="array" ref="I310">_xlfn.IFS(H310="25-50%",230,H310="Top 25 %",260,H310="50-75%",200,H310="Last 25%",170,H310="Retire",150)</f>
        <v>170</v>
      </c>
      <c r="J310" s="15">
        <f t="shared" si="9"/>
        <v>30600</v>
      </c>
    </row>
    <row r="311" spans="1:10" x14ac:dyDescent="0.3">
      <c r="A311" s="7" t="s">
        <v>363</v>
      </c>
      <c r="B311" s="7" t="str">
        <f>_xlfn.XLOOKUP(A311,'Vendor code- SKU mapping'!$B$1:$B$806,'Vendor code- SKU mapping'!$A$1:$A$806)</f>
        <v>OSAI</v>
      </c>
      <c r="C311" s="7">
        <f>VLOOKUP(B311,'Vendor -MOQ- Lead time'!$A$2:$B$45,2,0)</f>
        <v>30</v>
      </c>
      <c r="D311" s="13">
        <f>ROUND(IF('Task 2'!G311&lt;0,ABS('Task 2'!G311),0),0)</f>
        <v>0</v>
      </c>
      <c r="E311" s="7">
        <f>ROUND('Task 2'!D311*'Task 3'!C311,0)</f>
        <v>77</v>
      </c>
      <c r="F311" s="7">
        <f>VLOOKUP(B311,'Vendor -MOQ- Lead time'!$A$2:$C$45,3,0)</f>
        <v>180</v>
      </c>
      <c r="G311" s="7">
        <f t="shared" si="8"/>
        <v>180</v>
      </c>
      <c r="H311" s="7" t="s">
        <v>0</v>
      </c>
      <c r="I311" s="7" cm="1">
        <f t="array" ref="I311">_xlfn.IFS(H311="25-50%",230,H311="Top 25 %",260,H311="50-75%",200,H311="Last 25%",170,H311="Retire",150)</f>
        <v>170</v>
      </c>
      <c r="J311" s="15">
        <f t="shared" si="9"/>
        <v>30600</v>
      </c>
    </row>
    <row r="312" spans="1:10" x14ac:dyDescent="0.3">
      <c r="A312" s="7" t="s">
        <v>364</v>
      </c>
      <c r="B312" s="7" t="str">
        <f>_xlfn.XLOOKUP(A312,'Vendor code- SKU mapping'!$B$1:$B$806,'Vendor code- SKU mapping'!$A$1:$A$806)</f>
        <v>OPar</v>
      </c>
      <c r="C312" s="7">
        <f>VLOOKUP(B312,'Vendor -MOQ- Lead time'!$A$2:$B$45,2,0)</f>
        <v>30</v>
      </c>
      <c r="D312" s="13">
        <f>ROUND(IF('Task 2'!G312&lt;0,ABS('Task 2'!G312),0),0)</f>
        <v>0</v>
      </c>
      <c r="E312" s="7">
        <f>ROUND('Task 2'!D312*'Task 3'!C312,0)</f>
        <v>103</v>
      </c>
      <c r="F312" s="7">
        <f>VLOOKUP(B312,'Vendor -MOQ- Lead time'!$A$2:$C$45,3,0)</f>
        <v>180</v>
      </c>
      <c r="G312" s="7">
        <f t="shared" si="8"/>
        <v>180</v>
      </c>
      <c r="H312" s="7" t="s">
        <v>0</v>
      </c>
      <c r="I312" s="7" cm="1">
        <f t="array" ref="I312">_xlfn.IFS(H312="25-50%",230,H312="Top 25 %",260,H312="50-75%",200,H312="Last 25%",170,H312="Retire",150)</f>
        <v>170</v>
      </c>
      <c r="J312" s="15">
        <f t="shared" si="9"/>
        <v>30600</v>
      </c>
    </row>
    <row r="313" spans="1:10" x14ac:dyDescent="0.3">
      <c r="A313" s="7" t="s">
        <v>365</v>
      </c>
      <c r="B313" s="7" t="str">
        <f>_xlfn.XLOOKUP(A313,'Vendor code- SKU mapping'!$B$1:$B$806,'Vendor code- SKU mapping'!$A$1:$A$806)</f>
        <v>ORed</v>
      </c>
      <c r="C313" s="7">
        <f>VLOOKUP(B313,'Vendor -MOQ- Lead time'!$A$2:$B$45,2,0)</f>
        <v>30</v>
      </c>
      <c r="D313" s="13">
        <f>ROUND(IF('Task 2'!G313&lt;0,ABS('Task 2'!G313),0),0)</f>
        <v>0</v>
      </c>
      <c r="E313" s="7">
        <f>ROUND('Task 2'!D313*'Task 3'!C313,0)</f>
        <v>99</v>
      </c>
      <c r="F313" s="7">
        <f>VLOOKUP(B313,'Vendor -MOQ- Lead time'!$A$2:$C$45,3,0)</f>
        <v>180</v>
      </c>
      <c r="G313" s="7">
        <f t="shared" si="8"/>
        <v>180</v>
      </c>
      <c r="H313" s="7" t="s">
        <v>0</v>
      </c>
      <c r="I313" s="7" cm="1">
        <f t="array" ref="I313">_xlfn.IFS(H313="25-50%",230,H313="Top 25 %",260,H313="50-75%",200,H313="Last 25%",170,H313="Retire",150)</f>
        <v>170</v>
      </c>
      <c r="J313" s="15">
        <f t="shared" si="9"/>
        <v>30600</v>
      </c>
    </row>
    <row r="314" spans="1:10" x14ac:dyDescent="0.3">
      <c r="A314" s="7" t="s">
        <v>366</v>
      </c>
      <c r="B314" s="7" t="str">
        <f>_xlfn.XLOOKUP(A314,'Vendor code- SKU mapping'!$B$1:$B$806,'Vendor code- SKU mapping'!$A$1:$A$806)</f>
        <v>EHei</v>
      </c>
      <c r="C314" s="7">
        <f>VLOOKUP(B314,'Vendor -MOQ- Lead time'!$A$2:$B$45,2,0)</f>
        <v>45</v>
      </c>
      <c r="D314" s="13">
        <f>ROUND(IF('Task 2'!G314&lt;0,ABS('Task 2'!G314),0),0)</f>
        <v>0</v>
      </c>
      <c r="E314" s="7">
        <f>ROUND('Task 2'!D314*'Task 3'!C314,0)</f>
        <v>81</v>
      </c>
      <c r="F314" s="7">
        <f>VLOOKUP(B314,'Vendor -MOQ- Lead time'!$A$2:$C$45,3,0)</f>
        <v>270</v>
      </c>
      <c r="G314" s="7">
        <f t="shared" si="8"/>
        <v>270</v>
      </c>
      <c r="H314" s="7" t="s">
        <v>0</v>
      </c>
      <c r="I314" s="7" cm="1">
        <f t="array" ref="I314">_xlfn.IFS(H314="25-50%",230,H314="Top 25 %",260,H314="50-75%",200,H314="Last 25%",170,H314="Retire",150)</f>
        <v>170</v>
      </c>
      <c r="J314" s="15">
        <f t="shared" si="9"/>
        <v>45900</v>
      </c>
    </row>
    <row r="315" spans="1:10" x14ac:dyDescent="0.3">
      <c r="A315" s="7" t="s">
        <v>367</v>
      </c>
      <c r="B315" s="7" t="str">
        <f>_xlfn.XLOOKUP(A315,'Vendor code- SKU mapping'!$B$1:$B$806,'Vendor code- SKU mapping'!$A$1:$A$806)</f>
        <v>AAFC</v>
      </c>
      <c r="C315" s="7">
        <f>VLOOKUP(B315,'Vendor -MOQ- Lead time'!$A$2:$B$45,2,0)</f>
        <v>45</v>
      </c>
      <c r="D315" s="13">
        <f>ROUND(IF('Task 2'!G315&lt;0,ABS('Task 2'!G315),0),0)</f>
        <v>0</v>
      </c>
      <c r="E315" s="7">
        <f>ROUND('Task 2'!D315*'Task 3'!C315,0)</f>
        <v>101</v>
      </c>
      <c r="F315" s="7">
        <f>VLOOKUP(B315,'Vendor -MOQ- Lead time'!$A$2:$C$45,3,0)</f>
        <v>270</v>
      </c>
      <c r="G315" s="7">
        <f t="shared" si="8"/>
        <v>270</v>
      </c>
      <c r="H315" s="7" t="s">
        <v>0</v>
      </c>
      <c r="I315" s="7" cm="1">
        <f t="array" ref="I315">_xlfn.IFS(H315="25-50%",230,H315="Top 25 %",260,H315="50-75%",200,H315="Last 25%",170,H315="Retire",150)</f>
        <v>170</v>
      </c>
      <c r="J315" s="15">
        <f t="shared" si="9"/>
        <v>45900</v>
      </c>
    </row>
    <row r="316" spans="1:10" x14ac:dyDescent="0.3">
      <c r="A316" s="7" t="s">
        <v>368</v>
      </c>
      <c r="B316" s="7" t="str">
        <f>_xlfn.XLOOKUP(A316,'Vendor code- SKU mapping'!$B$1:$B$806,'Vendor code- SKU mapping'!$A$1:$A$806)</f>
        <v>AAB</v>
      </c>
      <c r="C316" s="7">
        <f>VLOOKUP(B316,'Vendor -MOQ- Lead time'!$A$2:$B$45,2,0)</f>
        <v>45</v>
      </c>
      <c r="D316" s="13">
        <f>ROUND(IF('Task 2'!G316&lt;0,ABS('Task 2'!G316),0),0)</f>
        <v>0</v>
      </c>
      <c r="E316" s="7">
        <f>ROUND('Task 2'!D316*'Task 3'!C316,0)</f>
        <v>74</v>
      </c>
      <c r="F316" s="7">
        <f>VLOOKUP(B316,'Vendor -MOQ- Lead time'!$A$2:$C$45,3,0)</f>
        <v>270</v>
      </c>
      <c r="G316" s="7">
        <f t="shared" si="8"/>
        <v>270</v>
      </c>
      <c r="H316" s="7" t="s">
        <v>0</v>
      </c>
      <c r="I316" s="7" cm="1">
        <f t="array" ref="I316">_xlfn.IFS(H316="25-50%",230,H316="Top 25 %",260,H316="50-75%",200,H316="Last 25%",170,H316="Retire",150)</f>
        <v>170</v>
      </c>
      <c r="J316" s="15">
        <f t="shared" si="9"/>
        <v>45900</v>
      </c>
    </row>
    <row r="317" spans="1:10" x14ac:dyDescent="0.3">
      <c r="A317" s="7" t="s">
        <v>369</v>
      </c>
      <c r="B317" s="7" t="str">
        <f>_xlfn.XLOOKUP(A317,'Vendor code- SKU mapping'!$B$1:$B$806,'Vendor code- SKU mapping'!$A$1:$A$806)</f>
        <v>OLux</v>
      </c>
      <c r="C317" s="7">
        <f>VLOOKUP(B317,'Vendor -MOQ- Lead time'!$A$2:$B$45,2,0)</f>
        <v>30</v>
      </c>
      <c r="D317" s="13">
        <f>ROUND(IF('Task 2'!G317&lt;0,ABS('Task 2'!G317),0),0)</f>
        <v>0</v>
      </c>
      <c r="E317" s="7">
        <f>ROUND('Task 2'!D317*'Task 3'!C317,0)</f>
        <v>70</v>
      </c>
      <c r="F317" s="7">
        <f>VLOOKUP(B317,'Vendor -MOQ- Lead time'!$A$2:$C$45,3,0)</f>
        <v>180</v>
      </c>
      <c r="G317" s="7">
        <f t="shared" si="8"/>
        <v>180</v>
      </c>
      <c r="H317" s="7" t="s">
        <v>0</v>
      </c>
      <c r="I317" s="7" cm="1">
        <f t="array" ref="I317">_xlfn.IFS(H317="25-50%",230,H317="Top 25 %",260,H317="50-75%",200,H317="Last 25%",170,H317="Retire",150)</f>
        <v>170</v>
      </c>
      <c r="J317" s="15">
        <f t="shared" si="9"/>
        <v>30600</v>
      </c>
    </row>
    <row r="318" spans="1:10" x14ac:dyDescent="0.3">
      <c r="A318" s="7" t="s">
        <v>370</v>
      </c>
      <c r="B318" s="7" t="str">
        <f>_xlfn.XLOOKUP(A318,'Vendor code- SKU mapping'!$B$1:$B$806,'Vendor code- SKU mapping'!$A$1:$A$806)</f>
        <v>AAFC</v>
      </c>
      <c r="C318" s="7">
        <f>VLOOKUP(B318,'Vendor -MOQ- Lead time'!$A$2:$B$45,2,0)</f>
        <v>45</v>
      </c>
      <c r="D318" s="13">
        <f>ROUND(IF('Task 2'!G318&lt;0,ABS('Task 2'!G318),0),0)</f>
        <v>0</v>
      </c>
      <c r="E318" s="7">
        <f>ROUND('Task 2'!D318*'Task 3'!C318,0)</f>
        <v>59</v>
      </c>
      <c r="F318" s="7">
        <f>VLOOKUP(B318,'Vendor -MOQ- Lead time'!$A$2:$C$45,3,0)</f>
        <v>270</v>
      </c>
      <c r="G318" s="7">
        <f t="shared" si="8"/>
        <v>270</v>
      </c>
      <c r="H318" s="7" t="s">
        <v>0</v>
      </c>
      <c r="I318" s="7" cm="1">
        <f t="array" ref="I318">_xlfn.IFS(H318="25-50%",230,H318="Top 25 %",260,H318="50-75%",200,H318="Last 25%",170,H318="Retire",150)</f>
        <v>170</v>
      </c>
      <c r="J318" s="15">
        <f t="shared" si="9"/>
        <v>45900</v>
      </c>
    </row>
    <row r="319" spans="1:10" x14ac:dyDescent="0.3">
      <c r="A319" s="7" t="s">
        <v>371</v>
      </c>
      <c r="B319" s="7" t="str">
        <f>_xlfn.XLOOKUP(A319,'Vendor code- SKU mapping'!$B$1:$B$806,'Vendor code- SKU mapping'!$A$1:$A$806)</f>
        <v>ORad</v>
      </c>
      <c r="C319" s="7">
        <f>VLOOKUP(B319,'Vendor -MOQ- Lead time'!$A$2:$B$45,2,0)</f>
        <v>45</v>
      </c>
      <c r="D319" s="13">
        <f>ROUND(IF('Task 2'!G319&lt;0,ABS('Task 2'!G319),0),0)</f>
        <v>191</v>
      </c>
      <c r="E319" s="7">
        <f>ROUND('Task 2'!D319*'Task 3'!C319,0)</f>
        <v>354</v>
      </c>
      <c r="F319" s="7">
        <f>VLOOKUP(B319,'Vendor -MOQ- Lead time'!$A$2:$C$45,3,0)</f>
        <v>270</v>
      </c>
      <c r="G319" s="7">
        <f t="shared" si="8"/>
        <v>810</v>
      </c>
      <c r="H319" s="7" t="s">
        <v>0</v>
      </c>
      <c r="I319" s="7" cm="1">
        <f t="array" ref="I319">_xlfn.IFS(H319="25-50%",230,H319="Top 25 %",260,H319="50-75%",200,H319="Last 25%",170,H319="Retire",150)</f>
        <v>170</v>
      </c>
      <c r="J319" s="15">
        <f t="shared" si="9"/>
        <v>137700</v>
      </c>
    </row>
    <row r="320" spans="1:10" x14ac:dyDescent="0.3">
      <c r="A320" s="7" t="s">
        <v>372</v>
      </c>
      <c r="B320" s="7" t="str">
        <f>_xlfn.XLOOKUP(A320,'Vendor code- SKU mapping'!$B$1:$B$806,'Vendor code- SKU mapping'!$A$1:$A$806)</f>
        <v>OLux</v>
      </c>
      <c r="C320" s="7">
        <f>VLOOKUP(B320,'Vendor -MOQ- Lead time'!$A$2:$B$45,2,0)</f>
        <v>30</v>
      </c>
      <c r="D320" s="13">
        <f>ROUND(IF('Task 2'!G320&lt;0,ABS('Task 2'!G320),0),0)</f>
        <v>0</v>
      </c>
      <c r="E320" s="7">
        <f>ROUND('Task 2'!D320*'Task 3'!C320,0)</f>
        <v>116</v>
      </c>
      <c r="F320" s="7">
        <f>VLOOKUP(B320,'Vendor -MOQ- Lead time'!$A$2:$C$45,3,0)</f>
        <v>180</v>
      </c>
      <c r="G320" s="7">
        <f t="shared" si="8"/>
        <v>180</v>
      </c>
      <c r="H320" s="7" t="s">
        <v>0</v>
      </c>
      <c r="I320" s="7" cm="1">
        <f t="array" ref="I320">_xlfn.IFS(H320="25-50%",230,H320="Top 25 %",260,H320="50-75%",200,H320="Last 25%",170,H320="Retire",150)</f>
        <v>170</v>
      </c>
      <c r="J320" s="15">
        <f t="shared" si="9"/>
        <v>30600</v>
      </c>
    </row>
    <row r="321" spans="1:10" x14ac:dyDescent="0.3">
      <c r="A321" s="7" t="s">
        <v>373</v>
      </c>
      <c r="B321" s="7" t="str">
        <f>_xlfn.XLOOKUP(A321,'Vendor code- SKU mapping'!$B$1:$B$806,'Vendor code- SKU mapping'!$A$1:$A$806)</f>
        <v>OMug</v>
      </c>
      <c r="C321" s="7">
        <f>VLOOKUP(B321,'Vendor -MOQ- Lead time'!$A$2:$B$45,2,0)</f>
        <v>45</v>
      </c>
      <c r="D321" s="13">
        <f>ROUND(IF('Task 2'!G321&lt;0,ABS('Task 2'!G321),0),0)</f>
        <v>0</v>
      </c>
      <c r="E321" s="7">
        <f>ROUND('Task 2'!D321*'Task 3'!C321,0)</f>
        <v>116</v>
      </c>
      <c r="F321" s="7">
        <f>VLOOKUP(B321,'Vendor -MOQ- Lead time'!$A$2:$C$45,3,0)</f>
        <v>270</v>
      </c>
      <c r="G321" s="7">
        <f t="shared" si="8"/>
        <v>270</v>
      </c>
      <c r="H321" s="7" t="s">
        <v>0</v>
      </c>
      <c r="I321" s="7" cm="1">
        <f t="array" ref="I321">_xlfn.IFS(H321="25-50%",230,H321="Top 25 %",260,H321="50-75%",200,H321="Last 25%",170,H321="Retire",150)</f>
        <v>170</v>
      </c>
      <c r="J321" s="15">
        <f t="shared" si="9"/>
        <v>45900</v>
      </c>
    </row>
    <row r="322" spans="1:10" x14ac:dyDescent="0.3">
      <c r="A322" s="7" t="s">
        <v>374</v>
      </c>
      <c r="B322" s="7" t="str">
        <f>_xlfn.XLOOKUP(A322,'Vendor code- SKU mapping'!$B$1:$B$806,'Vendor code- SKU mapping'!$A$1:$A$806)</f>
        <v>EGV</v>
      </c>
      <c r="C322" s="7">
        <f>VLOOKUP(B322,'Vendor -MOQ- Lead time'!$A$2:$B$45,2,0)</f>
        <v>45</v>
      </c>
      <c r="D322" s="13">
        <f>ROUND(IF('Task 2'!G322&lt;0,ABS('Task 2'!G322),0),0)</f>
        <v>0</v>
      </c>
      <c r="E322" s="7">
        <f>ROUND('Task 2'!D322*'Task 3'!C322,0)</f>
        <v>183</v>
      </c>
      <c r="F322" s="7">
        <f>VLOOKUP(B322,'Vendor -MOQ- Lead time'!$A$2:$C$45,3,0)</f>
        <v>270</v>
      </c>
      <c r="G322" s="7">
        <f t="shared" si="8"/>
        <v>270</v>
      </c>
      <c r="H322" s="7" t="s">
        <v>0</v>
      </c>
      <c r="I322" s="7" cm="1">
        <f t="array" ref="I322">_xlfn.IFS(H322="25-50%",230,H322="Top 25 %",260,H322="50-75%",200,H322="Last 25%",170,H322="Retire",150)</f>
        <v>170</v>
      </c>
      <c r="J322" s="15">
        <f t="shared" si="9"/>
        <v>45900</v>
      </c>
    </row>
    <row r="323" spans="1:10" x14ac:dyDescent="0.3">
      <c r="A323" s="7" t="s">
        <v>375</v>
      </c>
      <c r="B323" s="7" t="str">
        <f>_xlfn.XLOOKUP(A323,'Vendor code- SKU mapping'!$B$1:$B$806,'Vendor code- SKU mapping'!$A$1:$A$806)</f>
        <v>ORoy</v>
      </c>
      <c r="C323" s="7">
        <f>VLOOKUP(B323,'Vendor -MOQ- Lead time'!$A$2:$B$45,2,0)</f>
        <v>45</v>
      </c>
      <c r="D323" s="13">
        <f>ROUND(IF('Task 2'!G323&lt;0,ABS('Task 2'!G323),0),0)</f>
        <v>0</v>
      </c>
      <c r="E323" s="7">
        <f>ROUND('Task 2'!D323*'Task 3'!C323,0)</f>
        <v>45</v>
      </c>
      <c r="F323" s="7">
        <f>VLOOKUP(B323,'Vendor -MOQ- Lead time'!$A$2:$C$45,3,0)</f>
        <v>270</v>
      </c>
      <c r="G323" s="7">
        <f t="shared" ref="G323:G386" si="10">CEILING(D323+E323,F323)</f>
        <v>270</v>
      </c>
      <c r="H323" s="7" t="s">
        <v>0</v>
      </c>
      <c r="I323" s="7" cm="1">
        <f t="array" ref="I323">_xlfn.IFS(H323="25-50%",230,H323="Top 25 %",260,H323="50-75%",200,H323="Last 25%",170,H323="Retire",150)</f>
        <v>170</v>
      </c>
      <c r="J323" s="15">
        <f t="shared" ref="J323:J386" si="11">G323*I323</f>
        <v>45900</v>
      </c>
    </row>
    <row r="324" spans="1:10" x14ac:dyDescent="0.3">
      <c r="A324" s="7" t="s">
        <v>376</v>
      </c>
      <c r="B324" s="7" t="str">
        <f>_xlfn.XLOOKUP(A324,'Vendor code- SKU mapping'!$B$1:$B$806,'Vendor code- SKU mapping'!$A$1:$A$806)</f>
        <v>ORed</v>
      </c>
      <c r="C324" s="7">
        <f>VLOOKUP(B324,'Vendor -MOQ- Lead time'!$A$2:$B$45,2,0)</f>
        <v>30</v>
      </c>
      <c r="D324" s="13">
        <f>ROUND(IF('Task 2'!G324&lt;0,ABS('Task 2'!G324),0),0)</f>
        <v>0</v>
      </c>
      <c r="E324" s="7">
        <f>ROUND('Task 2'!D324*'Task 3'!C324,0)</f>
        <v>70</v>
      </c>
      <c r="F324" s="7">
        <f>VLOOKUP(B324,'Vendor -MOQ- Lead time'!$A$2:$C$45,3,0)</f>
        <v>180</v>
      </c>
      <c r="G324" s="7">
        <f t="shared" si="10"/>
        <v>180</v>
      </c>
      <c r="H324" s="7" t="s">
        <v>1</v>
      </c>
      <c r="I324" s="7" cm="1">
        <f t="array" ref="I324">_xlfn.IFS(H324="25-50%",230,H324="Top 25 %",260,H324="50-75%",200,H324="Last 25%",170,H324="Retire",150)</f>
        <v>200</v>
      </c>
      <c r="J324" s="15">
        <f t="shared" si="11"/>
        <v>36000</v>
      </c>
    </row>
    <row r="325" spans="1:10" x14ac:dyDescent="0.3">
      <c r="A325" s="7" t="s">
        <v>377</v>
      </c>
      <c r="B325" s="7" t="str">
        <f>_xlfn.XLOOKUP(A325,'Vendor code- SKU mapping'!$B$1:$B$806,'Vendor code- SKU mapping'!$A$1:$A$806)</f>
        <v>AAFC</v>
      </c>
      <c r="C325" s="7">
        <f>VLOOKUP(B325,'Vendor -MOQ- Lead time'!$A$2:$B$45,2,0)</f>
        <v>45</v>
      </c>
      <c r="D325" s="13">
        <f>ROUND(IF('Task 2'!G325&lt;0,ABS('Task 2'!G325),0),0)</f>
        <v>0</v>
      </c>
      <c r="E325" s="7">
        <f>ROUND('Task 2'!D325*'Task 3'!C325,0)</f>
        <v>176</v>
      </c>
      <c r="F325" s="7">
        <f>VLOOKUP(B325,'Vendor -MOQ- Lead time'!$A$2:$C$45,3,0)</f>
        <v>270</v>
      </c>
      <c r="G325" s="7">
        <f t="shared" si="10"/>
        <v>270</v>
      </c>
      <c r="H325" s="7" t="s">
        <v>0</v>
      </c>
      <c r="I325" s="7" cm="1">
        <f t="array" ref="I325">_xlfn.IFS(H325="25-50%",230,H325="Top 25 %",260,H325="50-75%",200,H325="Last 25%",170,H325="Retire",150)</f>
        <v>170</v>
      </c>
      <c r="J325" s="15">
        <f t="shared" si="11"/>
        <v>45900</v>
      </c>
    </row>
    <row r="326" spans="1:10" x14ac:dyDescent="0.3">
      <c r="A326" s="7" t="s">
        <v>378</v>
      </c>
      <c r="B326" s="7" t="str">
        <f>_xlfn.XLOOKUP(A326,'Vendor code- SKU mapping'!$B$1:$B$806,'Vendor code- SKU mapping'!$A$1:$A$806)</f>
        <v>ORed</v>
      </c>
      <c r="C326" s="7">
        <f>VLOOKUP(B326,'Vendor -MOQ- Lead time'!$A$2:$B$45,2,0)</f>
        <v>30</v>
      </c>
      <c r="D326" s="13">
        <f>ROUND(IF('Task 2'!G326&lt;0,ABS('Task 2'!G326),0),0)</f>
        <v>0</v>
      </c>
      <c r="E326" s="7">
        <f>ROUND('Task 2'!D326*'Task 3'!C326,0)</f>
        <v>113</v>
      </c>
      <c r="F326" s="7">
        <f>VLOOKUP(B326,'Vendor -MOQ- Lead time'!$A$2:$C$45,3,0)</f>
        <v>180</v>
      </c>
      <c r="G326" s="7">
        <f t="shared" si="10"/>
        <v>180</v>
      </c>
      <c r="H326" s="7" t="s">
        <v>0</v>
      </c>
      <c r="I326" s="7" cm="1">
        <f t="array" ref="I326">_xlfn.IFS(H326="25-50%",230,H326="Top 25 %",260,H326="50-75%",200,H326="Last 25%",170,H326="Retire",150)</f>
        <v>170</v>
      </c>
      <c r="J326" s="15">
        <f t="shared" si="11"/>
        <v>30600</v>
      </c>
    </row>
    <row r="327" spans="1:10" x14ac:dyDescent="0.3">
      <c r="A327" s="7" t="s">
        <v>379</v>
      </c>
      <c r="B327" s="7" t="str">
        <f>_xlfn.XLOOKUP(A327,'Vendor code- SKU mapping'!$B$1:$B$806,'Vendor code- SKU mapping'!$A$1:$A$806)</f>
        <v>OMah</v>
      </c>
      <c r="C327" s="7">
        <f>VLOOKUP(B327,'Vendor -MOQ- Lead time'!$A$2:$B$45,2,0)</f>
        <v>45</v>
      </c>
      <c r="D327" s="13">
        <f>ROUND(IF('Task 2'!G327&lt;0,ABS('Task 2'!G327),0),0)</f>
        <v>0</v>
      </c>
      <c r="E327" s="7">
        <f>ROUND('Task 2'!D327*'Task 3'!C327,0)</f>
        <v>146</v>
      </c>
      <c r="F327" s="7">
        <f>VLOOKUP(B327,'Vendor -MOQ- Lead time'!$A$2:$C$45,3,0)</f>
        <v>270</v>
      </c>
      <c r="G327" s="7">
        <f t="shared" si="10"/>
        <v>270</v>
      </c>
      <c r="H327" s="7" t="s">
        <v>0</v>
      </c>
      <c r="I327" s="7" cm="1">
        <f t="array" ref="I327">_xlfn.IFS(H327="25-50%",230,H327="Top 25 %",260,H327="50-75%",200,H327="Last 25%",170,H327="Retire",150)</f>
        <v>170</v>
      </c>
      <c r="J327" s="15">
        <f t="shared" si="11"/>
        <v>45900</v>
      </c>
    </row>
    <row r="328" spans="1:10" x14ac:dyDescent="0.3">
      <c r="A328" s="7" t="s">
        <v>380</v>
      </c>
      <c r="B328" s="7" t="str">
        <f>_xlfn.XLOOKUP(A328,'Vendor code- SKU mapping'!$B$1:$B$806,'Vendor code- SKU mapping'!$A$1:$A$806)</f>
        <v>ISV</v>
      </c>
      <c r="C328" s="7">
        <f>VLOOKUP(B328,'Vendor -MOQ- Lead time'!$A$2:$B$45,2,0)</f>
        <v>45</v>
      </c>
      <c r="D328" s="13">
        <f>ROUND(IF('Task 2'!G328&lt;0,ABS('Task 2'!G328),0),0)</f>
        <v>0</v>
      </c>
      <c r="E328" s="7">
        <f>ROUND('Task 2'!D328*'Task 3'!C328,0)</f>
        <v>155</v>
      </c>
      <c r="F328" s="7">
        <f>VLOOKUP(B328,'Vendor -MOQ- Lead time'!$A$2:$C$45,3,0)</f>
        <v>270</v>
      </c>
      <c r="G328" s="7">
        <f t="shared" si="10"/>
        <v>270</v>
      </c>
      <c r="H328" s="7" t="s">
        <v>0</v>
      </c>
      <c r="I328" s="7" cm="1">
        <f t="array" ref="I328">_xlfn.IFS(H328="25-50%",230,H328="Top 25 %",260,H328="50-75%",200,H328="Last 25%",170,H328="Retire",150)</f>
        <v>170</v>
      </c>
      <c r="J328" s="15">
        <f t="shared" si="11"/>
        <v>45900</v>
      </c>
    </row>
    <row r="329" spans="1:10" x14ac:dyDescent="0.3">
      <c r="A329" s="7" t="s">
        <v>381</v>
      </c>
      <c r="B329" s="7" t="str">
        <f>_xlfn.XLOOKUP(A329,'Vendor code- SKU mapping'!$B$1:$B$806,'Vendor code- SKU mapping'!$A$1:$A$806)</f>
        <v>ISte</v>
      </c>
      <c r="C329" s="7">
        <f>VLOOKUP(B329,'Vendor -MOQ- Lead time'!$A$2:$B$45,2,0)</f>
        <v>45</v>
      </c>
      <c r="D329" s="13">
        <f>ROUND(IF('Task 2'!G329&lt;0,ABS('Task 2'!G329),0),0)</f>
        <v>51</v>
      </c>
      <c r="E329" s="7">
        <f>ROUND('Task 2'!D329*'Task 3'!C329,0)</f>
        <v>144</v>
      </c>
      <c r="F329" s="7">
        <f>VLOOKUP(B329,'Vendor -MOQ- Lead time'!$A$2:$C$45,3,0)</f>
        <v>270</v>
      </c>
      <c r="G329" s="7">
        <f t="shared" si="10"/>
        <v>270</v>
      </c>
      <c r="H329" s="7" t="s">
        <v>0</v>
      </c>
      <c r="I329" s="7" cm="1">
        <f t="array" ref="I329">_xlfn.IFS(H329="25-50%",230,H329="Top 25 %",260,H329="50-75%",200,H329="Last 25%",170,H329="Retire",150)</f>
        <v>170</v>
      </c>
      <c r="J329" s="15">
        <f t="shared" si="11"/>
        <v>45900</v>
      </c>
    </row>
    <row r="330" spans="1:10" x14ac:dyDescent="0.3">
      <c r="A330" s="7" t="s">
        <v>382</v>
      </c>
      <c r="B330" s="7" t="str">
        <f>_xlfn.XLOOKUP(A330,'Vendor code- SKU mapping'!$B$1:$B$806,'Vendor code- SKU mapping'!$A$1:$A$806)</f>
        <v>OKP</v>
      </c>
      <c r="C330" s="7">
        <f>VLOOKUP(B330,'Vendor -MOQ- Lead time'!$A$2:$B$45,2,0)</f>
        <v>30</v>
      </c>
      <c r="D330" s="13">
        <f>ROUND(IF('Task 2'!G330&lt;0,ABS('Task 2'!G330),0),0)</f>
        <v>0</v>
      </c>
      <c r="E330" s="7">
        <f>ROUND('Task 2'!D330*'Task 3'!C330,0)</f>
        <v>79</v>
      </c>
      <c r="F330" s="7">
        <f>VLOOKUP(B330,'Vendor -MOQ- Lead time'!$A$2:$C$45,3,0)</f>
        <v>180</v>
      </c>
      <c r="G330" s="7">
        <f t="shared" si="10"/>
        <v>180</v>
      </c>
      <c r="H330" s="7" t="s">
        <v>0</v>
      </c>
      <c r="I330" s="7" cm="1">
        <f t="array" ref="I330">_xlfn.IFS(H330="25-50%",230,H330="Top 25 %",260,H330="50-75%",200,H330="Last 25%",170,H330="Retire",150)</f>
        <v>170</v>
      </c>
      <c r="J330" s="15">
        <f t="shared" si="11"/>
        <v>30600</v>
      </c>
    </row>
    <row r="331" spans="1:10" x14ac:dyDescent="0.3">
      <c r="A331" s="7" t="s">
        <v>383</v>
      </c>
      <c r="B331" s="7" t="str">
        <f>_xlfn.XLOOKUP(A331,'Vendor code- SKU mapping'!$B$1:$B$806,'Vendor code- SKU mapping'!$A$1:$A$806)</f>
        <v>ORed</v>
      </c>
      <c r="C331" s="7">
        <f>VLOOKUP(B331,'Vendor -MOQ- Lead time'!$A$2:$B$45,2,0)</f>
        <v>30</v>
      </c>
      <c r="D331" s="13">
        <f>ROUND(IF('Task 2'!G331&lt;0,ABS('Task 2'!G331),0),0)</f>
        <v>0</v>
      </c>
      <c r="E331" s="7">
        <f>ROUND('Task 2'!D331*'Task 3'!C331,0)</f>
        <v>72</v>
      </c>
      <c r="F331" s="7">
        <f>VLOOKUP(B331,'Vendor -MOQ- Lead time'!$A$2:$C$45,3,0)</f>
        <v>180</v>
      </c>
      <c r="G331" s="7">
        <f t="shared" si="10"/>
        <v>180</v>
      </c>
      <c r="H331" s="7" t="s">
        <v>0</v>
      </c>
      <c r="I331" s="7" cm="1">
        <f t="array" ref="I331">_xlfn.IFS(H331="25-50%",230,H331="Top 25 %",260,H331="50-75%",200,H331="Last 25%",170,H331="Retire",150)</f>
        <v>170</v>
      </c>
      <c r="J331" s="15">
        <f t="shared" si="11"/>
        <v>30600</v>
      </c>
    </row>
    <row r="332" spans="1:10" x14ac:dyDescent="0.3">
      <c r="A332" s="7" t="s">
        <v>384</v>
      </c>
      <c r="B332" s="7" t="str">
        <f>_xlfn.XLOOKUP(A332,'Vendor code- SKU mapping'!$B$1:$B$806,'Vendor code- SKU mapping'!$A$1:$A$806)</f>
        <v>EGV</v>
      </c>
      <c r="C332" s="7">
        <f>VLOOKUP(B332,'Vendor -MOQ- Lead time'!$A$2:$B$45,2,0)</f>
        <v>45</v>
      </c>
      <c r="D332" s="13">
        <f>ROUND(IF('Task 2'!G332&lt;0,ABS('Task 2'!G332),0),0)</f>
        <v>0</v>
      </c>
      <c r="E332" s="7">
        <f>ROUND('Task 2'!D332*'Task 3'!C332,0)</f>
        <v>161</v>
      </c>
      <c r="F332" s="7">
        <f>VLOOKUP(B332,'Vendor -MOQ- Lead time'!$A$2:$C$45,3,0)</f>
        <v>270</v>
      </c>
      <c r="G332" s="7">
        <f t="shared" si="10"/>
        <v>270</v>
      </c>
      <c r="H332" s="7" t="s">
        <v>0</v>
      </c>
      <c r="I332" s="7" cm="1">
        <f t="array" ref="I332">_xlfn.IFS(H332="25-50%",230,H332="Top 25 %",260,H332="50-75%",200,H332="Last 25%",170,H332="Retire",150)</f>
        <v>170</v>
      </c>
      <c r="J332" s="15">
        <f t="shared" si="11"/>
        <v>45900</v>
      </c>
    </row>
    <row r="333" spans="1:10" x14ac:dyDescent="0.3">
      <c r="A333" s="7" t="s">
        <v>385</v>
      </c>
      <c r="B333" s="7" t="str">
        <f>_xlfn.XLOOKUP(A333,'Vendor code- SKU mapping'!$B$1:$B$806,'Vendor code- SKU mapping'!$A$1:$A$806)</f>
        <v>OMah</v>
      </c>
      <c r="C333" s="7">
        <f>VLOOKUP(B333,'Vendor -MOQ- Lead time'!$A$2:$B$45,2,0)</f>
        <v>45</v>
      </c>
      <c r="D333" s="13">
        <f>ROUND(IF('Task 2'!G333&lt;0,ABS('Task 2'!G333),0),0)</f>
        <v>0</v>
      </c>
      <c r="E333" s="7">
        <f>ROUND('Task 2'!D333*'Task 3'!C333,0)</f>
        <v>105</v>
      </c>
      <c r="F333" s="7">
        <f>VLOOKUP(B333,'Vendor -MOQ- Lead time'!$A$2:$C$45,3,0)</f>
        <v>270</v>
      </c>
      <c r="G333" s="7">
        <f t="shared" si="10"/>
        <v>270</v>
      </c>
      <c r="H333" s="7" t="s">
        <v>0</v>
      </c>
      <c r="I333" s="7" cm="1">
        <f t="array" ref="I333">_xlfn.IFS(H333="25-50%",230,H333="Top 25 %",260,H333="50-75%",200,H333="Last 25%",170,H333="Retire",150)</f>
        <v>170</v>
      </c>
      <c r="J333" s="15">
        <f t="shared" si="11"/>
        <v>45900</v>
      </c>
    </row>
    <row r="334" spans="1:10" x14ac:dyDescent="0.3">
      <c r="A334" s="7" t="s">
        <v>386</v>
      </c>
      <c r="B334" s="7" t="str">
        <f>_xlfn.XLOOKUP(A334,'Vendor code- SKU mapping'!$B$1:$B$806,'Vendor code- SKU mapping'!$A$1:$A$806)</f>
        <v>EHei</v>
      </c>
      <c r="C334" s="7">
        <f>VLOOKUP(B334,'Vendor -MOQ- Lead time'!$A$2:$B$45,2,0)</f>
        <v>45</v>
      </c>
      <c r="D334" s="13">
        <f>ROUND(IF('Task 2'!G334&lt;0,ABS('Task 2'!G334),0),0)</f>
        <v>0</v>
      </c>
      <c r="E334" s="7">
        <f>ROUND('Task 2'!D334*'Task 3'!C334,0)</f>
        <v>35</v>
      </c>
      <c r="F334" s="7">
        <f>VLOOKUP(B334,'Vendor -MOQ- Lead time'!$A$2:$C$45,3,0)</f>
        <v>270</v>
      </c>
      <c r="G334" s="7">
        <f t="shared" si="10"/>
        <v>270</v>
      </c>
      <c r="H334" s="7" t="s">
        <v>0</v>
      </c>
      <c r="I334" s="7" cm="1">
        <f t="array" ref="I334">_xlfn.IFS(H334="25-50%",230,H334="Top 25 %",260,H334="50-75%",200,H334="Last 25%",170,H334="Retire",150)</f>
        <v>170</v>
      </c>
      <c r="J334" s="15">
        <f t="shared" si="11"/>
        <v>45900</v>
      </c>
    </row>
    <row r="335" spans="1:10" x14ac:dyDescent="0.3">
      <c r="A335" s="7" t="s">
        <v>387</v>
      </c>
      <c r="B335" s="7" t="str">
        <f>_xlfn.XLOOKUP(A335,'Vendor code- SKU mapping'!$B$1:$B$806,'Vendor code- SKU mapping'!$A$1:$A$806)</f>
        <v>OShe</v>
      </c>
      <c r="C335" s="7">
        <f>VLOOKUP(B335,'Vendor -MOQ- Lead time'!$A$2:$B$45,2,0)</f>
        <v>30</v>
      </c>
      <c r="D335" s="13">
        <f>ROUND(IF('Task 2'!G335&lt;0,ABS('Task 2'!G335),0),0)</f>
        <v>0</v>
      </c>
      <c r="E335" s="7">
        <f>ROUND('Task 2'!D335*'Task 3'!C335,0)</f>
        <v>65</v>
      </c>
      <c r="F335" s="7">
        <f>VLOOKUP(B335,'Vendor -MOQ- Lead time'!$A$2:$C$45,3,0)</f>
        <v>180</v>
      </c>
      <c r="G335" s="7">
        <f t="shared" si="10"/>
        <v>180</v>
      </c>
      <c r="H335" s="7" t="s">
        <v>1</v>
      </c>
      <c r="I335" s="7" cm="1">
        <f t="array" ref="I335">_xlfn.IFS(H335="25-50%",230,H335="Top 25 %",260,H335="50-75%",200,H335="Last 25%",170,H335="Retire",150)</f>
        <v>200</v>
      </c>
      <c r="J335" s="15">
        <f t="shared" si="11"/>
        <v>36000</v>
      </c>
    </row>
    <row r="336" spans="1:10" x14ac:dyDescent="0.3">
      <c r="A336" s="7" t="s">
        <v>388</v>
      </c>
      <c r="B336" s="7" t="str">
        <f>_xlfn.XLOOKUP(A336,'Vendor code- SKU mapping'!$B$1:$B$806,'Vendor code- SKU mapping'!$A$1:$A$806)</f>
        <v>AAB</v>
      </c>
      <c r="C336" s="7">
        <f>VLOOKUP(B336,'Vendor -MOQ- Lead time'!$A$2:$B$45,2,0)</f>
        <v>45</v>
      </c>
      <c r="D336" s="13">
        <f>ROUND(IF('Task 2'!G336&lt;0,ABS('Task 2'!G336),0),0)</f>
        <v>18</v>
      </c>
      <c r="E336" s="7">
        <f>ROUND('Task 2'!D336*'Task 3'!C336,0)</f>
        <v>86</v>
      </c>
      <c r="F336" s="7">
        <f>VLOOKUP(B336,'Vendor -MOQ- Lead time'!$A$2:$C$45,3,0)</f>
        <v>270</v>
      </c>
      <c r="G336" s="7">
        <f t="shared" si="10"/>
        <v>270</v>
      </c>
      <c r="H336" s="7" t="s">
        <v>0</v>
      </c>
      <c r="I336" s="7" cm="1">
        <f t="array" ref="I336">_xlfn.IFS(H336="25-50%",230,H336="Top 25 %",260,H336="50-75%",200,H336="Last 25%",170,H336="Retire",150)</f>
        <v>170</v>
      </c>
      <c r="J336" s="15">
        <f t="shared" si="11"/>
        <v>45900</v>
      </c>
    </row>
    <row r="337" spans="1:10" x14ac:dyDescent="0.3">
      <c r="A337" s="7" t="s">
        <v>389</v>
      </c>
      <c r="B337" s="7" t="str">
        <f>_xlfn.XLOOKUP(A337,'Vendor code- SKU mapping'!$B$1:$B$806,'Vendor code- SKU mapping'!$A$1:$A$806)</f>
        <v>OShe</v>
      </c>
      <c r="C337" s="7">
        <f>VLOOKUP(B337,'Vendor -MOQ- Lead time'!$A$2:$B$45,2,0)</f>
        <v>30</v>
      </c>
      <c r="D337" s="13">
        <f>ROUND(IF('Task 2'!G337&lt;0,ABS('Task 2'!G337),0),0)</f>
        <v>0</v>
      </c>
      <c r="E337" s="7">
        <f>ROUND('Task 2'!D337*'Task 3'!C337,0)</f>
        <v>66</v>
      </c>
      <c r="F337" s="7">
        <f>VLOOKUP(B337,'Vendor -MOQ- Lead time'!$A$2:$C$45,3,0)</f>
        <v>180</v>
      </c>
      <c r="G337" s="7">
        <f t="shared" si="10"/>
        <v>180</v>
      </c>
      <c r="H337" s="7" t="s">
        <v>0</v>
      </c>
      <c r="I337" s="7" cm="1">
        <f t="array" ref="I337">_xlfn.IFS(H337="25-50%",230,H337="Top 25 %",260,H337="50-75%",200,H337="Last 25%",170,H337="Retire",150)</f>
        <v>170</v>
      </c>
      <c r="J337" s="15">
        <f t="shared" si="11"/>
        <v>30600</v>
      </c>
    </row>
    <row r="338" spans="1:10" x14ac:dyDescent="0.3">
      <c r="A338" s="7" t="s">
        <v>390</v>
      </c>
      <c r="B338" s="7" t="str">
        <f>_xlfn.XLOOKUP(A338,'Vendor code- SKU mapping'!$B$1:$B$806,'Vendor code- SKU mapping'!$A$1:$A$806)</f>
        <v>AAma</v>
      </c>
      <c r="C338" s="7">
        <f>VLOOKUP(B338,'Vendor -MOQ- Lead time'!$A$2:$B$45,2,0)</f>
        <v>45</v>
      </c>
      <c r="D338" s="13">
        <f>ROUND(IF('Task 2'!G338&lt;0,ABS('Task 2'!G338),0),0)</f>
        <v>0</v>
      </c>
      <c r="E338" s="7">
        <f>ROUND('Task 2'!D338*'Task 3'!C338,0)</f>
        <v>105</v>
      </c>
      <c r="F338" s="7">
        <f>VLOOKUP(B338,'Vendor -MOQ- Lead time'!$A$2:$C$45,3,0)</f>
        <v>270</v>
      </c>
      <c r="G338" s="7">
        <f t="shared" si="10"/>
        <v>270</v>
      </c>
      <c r="H338" s="7" t="s">
        <v>0</v>
      </c>
      <c r="I338" s="7" cm="1">
        <f t="array" ref="I338">_xlfn.IFS(H338="25-50%",230,H338="Top 25 %",260,H338="50-75%",200,H338="Last 25%",170,H338="Retire",150)</f>
        <v>170</v>
      </c>
      <c r="J338" s="15">
        <f t="shared" si="11"/>
        <v>45900</v>
      </c>
    </row>
    <row r="339" spans="1:10" x14ac:dyDescent="0.3">
      <c r="A339" s="7" t="s">
        <v>391</v>
      </c>
      <c r="B339" s="7" t="str">
        <f>_xlfn.XLOOKUP(A339,'Vendor code- SKU mapping'!$B$1:$B$806,'Vendor code- SKU mapping'!$A$1:$A$806)</f>
        <v>EHei</v>
      </c>
      <c r="C339" s="7">
        <f>VLOOKUP(B339,'Vendor -MOQ- Lead time'!$A$2:$B$45,2,0)</f>
        <v>45</v>
      </c>
      <c r="D339" s="13">
        <f>ROUND(IF('Task 2'!G339&lt;0,ABS('Task 2'!G339),0),0)</f>
        <v>0</v>
      </c>
      <c r="E339" s="7">
        <f>ROUND('Task 2'!D339*'Task 3'!C339,0)</f>
        <v>72</v>
      </c>
      <c r="F339" s="7">
        <f>VLOOKUP(B339,'Vendor -MOQ- Lead time'!$A$2:$C$45,3,0)</f>
        <v>270</v>
      </c>
      <c r="G339" s="7">
        <f t="shared" si="10"/>
        <v>270</v>
      </c>
      <c r="H339" s="7" t="s">
        <v>0</v>
      </c>
      <c r="I339" s="7" cm="1">
        <f t="array" ref="I339">_xlfn.IFS(H339="25-50%",230,H339="Top 25 %",260,H339="50-75%",200,H339="Last 25%",170,H339="Retire",150)</f>
        <v>170</v>
      </c>
      <c r="J339" s="15">
        <f t="shared" si="11"/>
        <v>45900</v>
      </c>
    </row>
    <row r="340" spans="1:10" x14ac:dyDescent="0.3">
      <c r="A340" s="7" t="s">
        <v>392</v>
      </c>
      <c r="B340" s="7" t="str">
        <f>_xlfn.XLOOKUP(A340,'Vendor code- SKU mapping'!$B$1:$B$806,'Vendor code- SKU mapping'!$A$1:$A$806)</f>
        <v>ORed</v>
      </c>
      <c r="C340" s="7">
        <f>VLOOKUP(B340,'Vendor -MOQ- Lead time'!$A$2:$B$45,2,0)</f>
        <v>30</v>
      </c>
      <c r="D340" s="13">
        <f>ROUND(IF('Task 2'!G340&lt;0,ABS('Task 2'!G340),0),0)</f>
        <v>0</v>
      </c>
      <c r="E340" s="7">
        <f>ROUND('Task 2'!D340*'Task 3'!C340,0)</f>
        <v>94</v>
      </c>
      <c r="F340" s="7">
        <f>VLOOKUP(B340,'Vendor -MOQ- Lead time'!$A$2:$C$45,3,0)</f>
        <v>180</v>
      </c>
      <c r="G340" s="7">
        <f t="shared" si="10"/>
        <v>180</v>
      </c>
      <c r="H340" s="7" t="s">
        <v>1</v>
      </c>
      <c r="I340" s="7" cm="1">
        <f t="array" ref="I340">_xlfn.IFS(H340="25-50%",230,H340="Top 25 %",260,H340="50-75%",200,H340="Last 25%",170,H340="Retire",150)</f>
        <v>200</v>
      </c>
      <c r="J340" s="15">
        <f t="shared" si="11"/>
        <v>36000</v>
      </c>
    </row>
    <row r="341" spans="1:10" x14ac:dyDescent="0.3">
      <c r="A341" s="7" t="s">
        <v>393</v>
      </c>
      <c r="B341" s="7" t="str">
        <f>_xlfn.XLOOKUP(A341,'Vendor code- SKU mapping'!$B$1:$B$806,'Vendor code- SKU mapping'!$A$1:$A$806)</f>
        <v>OMug</v>
      </c>
      <c r="C341" s="7">
        <f>VLOOKUP(B341,'Vendor -MOQ- Lead time'!$A$2:$B$45,2,0)</f>
        <v>45</v>
      </c>
      <c r="D341" s="13">
        <f>ROUND(IF('Task 2'!G341&lt;0,ABS('Task 2'!G341),0),0)</f>
        <v>74</v>
      </c>
      <c r="E341" s="7">
        <f>ROUND('Task 2'!D341*'Task 3'!C341,0)</f>
        <v>273</v>
      </c>
      <c r="F341" s="7">
        <f>VLOOKUP(B341,'Vendor -MOQ- Lead time'!$A$2:$C$45,3,0)</f>
        <v>270</v>
      </c>
      <c r="G341" s="7">
        <f t="shared" si="10"/>
        <v>540</v>
      </c>
      <c r="H341" s="7" t="s">
        <v>0</v>
      </c>
      <c r="I341" s="7" cm="1">
        <f t="array" ref="I341">_xlfn.IFS(H341="25-50%",230,H341="Top 25 %",260,H341="50-75%",200,H341="Last 25%",170,H341="Retire",150)</f>
        <v>170</v>
      </c>
      <c r="J341" s="15">
        <f t="shared" si="11"/>
        <v>91800</v>
      </c>
    </row>
    <row r="342" spans="1:10" x14ac:dyDescent="0.3">
      <c r="A342" s="7" t="s">
        <v>394</v>
      </c>
      <c r="B342" s="7" t="str">
        <f>_xlfn.XLOOKUP(A342,'Vendor code- SKU mapping'!$B$1:$B$806,'Vendor code- SKU mapping'!$A$1:$A$806)</f>
        <v>OMah</v>
      </c>
      <c r="C342" s="7">
        <f>VLOOKUP(B342,'Vendor -MOQ- Lead time'!$A$2:$B$45,2,0)</f>
        <v>45</v>
      </c>
      <c r="D342" s="13">
        <f>ROUND(IF('Task 2'!G342&lt;0,ABS('Task 2'!G342),0),0)</f>
        <v>0</v>
      </c>
      <c r="E342" s="7">
        <f>ROUND('Task 2'!D342*'Task 3'!C342,0)</f>
        <v>135</v>
      </c>
      <c r="F342" s="7">
        <f>VLOOKUP(B342,'Vendor -MOQ- Lead time'!$A$2:$C$45,3,0)</f>
        <v>270</v>
      </c>
      <c r="G342" s="7">
        <f t="shared" si="10"/>
        <v>270</v>
      </c>
      <c r="H342" s="7" t="s">
        <v>0</v>
      </c>
      <c r="I342" s="7" cm="1">
        <f t="array" ref="I342">_xlfn.IFS(H342="25-50%",230,H342="Top 25 %",260,H342="50-75%",200,H342="Last 25%",170,H342="Retire",150)</f>
        <v>170</v>
      </c>
      <c r="J342" s="15">
        <f t="shared" si="11"/>
        <v>45900</v>
      </c>
    </row>
    <row r="343" spans="1:10" x14ac:dyDescent="0.3">
      <c r="A343" s="7" t="s">
        <v>395</v>
      </c>
      <c r="B343" s="7" t="str">
        <f>_xlfn.XLOOKUP(A343,'Vendor code- SKU mapping'!$B$1:$B$806,'Vendor code- SKU mapping'!$A$1:$A$806)</f>
        <v>ORed</v>
      </c>
      <c r="C343" s="7">
        <f>VLOOKUP(B343,'Vendor -MOQ- Lead time'!$A$2:$B$45,2,0)</f>
        <v>30</v>
      </c>
      <c r="D343" s="13">
        <f>ROUND(IF('Task 2'!G343&lt;0,ABS('Task 2'!G343),0),0)</f>
        <v>0</v>
      </c>
      <c r="E343" s="7">
        <f>ROUND('Task 2'!D343*'Task 3'!C343,0)</f>
        <v>66</v>
      </c>
      <c r="F343" s="7">
        <f>VLOOKUP(B343,'Vendor -MOQ- Lead time'!$A$2:$C$45,3,0)</f>
        <v>180</v>
      </c>
      <c r="G343" s="7">
        <f t="shared" si="10"/>
        <v>180</v>
      </c>
      <c r="H343" s="7" t="s">
        <v>0</v>
      </c>
      <c r="I343" s="7" cm="1">
        <f t="array" ref="I343">_xlfn.IFS(H343="25-50%",230,H343="Top 25 %",260,H343="50-75%",200,H343="Last 25%",170,H343="Retire",150)</f>
        <v>170</v>
      </c>
      <c r="J343" s="15">
        <f t="shared" si="11"/>
        <v>30600</v>
      </c>
    </row>
    <row r="344" spans="1:10" x14ac:dyDescent="0.3">
      <c r="A344" s="7" t="s">
        <v>396</v>
      </c>
      <c r="B344" s="7" t="str">
        <f>_xlfn.XLOOKUP(A344,'Vendor code- SKU mapping'!$B$1:$B$806,'Vendor code- SKU mapping'!$A$1:$A$806)</f>
        <v>OSha</v>
      </c>
      <c r="C344" s="7">
        <f>VLOOKUP(B344,'Vendor -MOQ- Lead time'!$A$2:$B$45,2,0)</f>
        <v>45</v>
      </c>
      <c r="D344" s="13">
        <f>ROUND(IF('Task 2'!G344&lt;0,ABS('Task 2'!G344),0),0)</f>
        <v>0</v>
      </c>
      <c r="E344" s="7">
        <f>ROUND('Task 2'!D344*'Task 3'!C344,0)</f>
        <v>102</v>
      </c>
      <c r="F344" s="7">
        <f>VLOOKUP(B344,'Vendor -MOQ- Lead time'!$A$2:$C$45,3,0)</f>
        <v>270</v>
      </c>
      <c r="G344" s="7">
        <f t="shared" si="10"/>
        <v>270</v>
      </c>
      <c r="H344" s="7" t="s">
        <v>0</v>
      </c>
      <c r="I344" s="7" cm="1">
        <f t="array" ref="I344">_xlfn.IFS(H344="25-50%",230,H344="Top 25 %",260,H344="50-75%",200,H344="Last 25%",170,H344="Retire",150)</f>
        <v>170</v>
      </c>
      <c r="J344" s="15">
        <f t="shared" si="11"/>
        <v>45900</v>
      </c>
    </row>
    <row r="345" spans="1:10" x14ac:dyDescent="0.3">
      <c r="A345" s="7" t="s">
        <v>397</v>
      </c>
      <c r="B345" s="7" t="str">
        <f>_xlfn.XLOOKUP(A345,'Vendor code- SKU mapping'!$B$1:$B$806,'Vendor code- SKU mapping'!$A$1:$A$806)</f>
        <v>OSAI</v>
      </c>
      <c r="C345" s="7">
        <f>VLOOKUP(B345,'Vendor -MOQ- Lead time'!$A$2:$B$45,2,0)</f>
        <v>30</v>
      </c>
      <c r="D345" s="13">
        <f>ROUND(IF('Task 2'!G345&lt;0,ABS('Task 2'!G345),0),0)</f>
        <v>0</v>
      </c>
      <c r="E345" s="7">
        <f>ROUND('Task 2'!D345*'Task 3'!C345,0)</f>
        <v>67</v>
      </c>
      <c r="F345" s="7">
        <f>VLOOKUP(B345,'Vendor -MOQ- Lead time'!$A$2:$C$45,3,0)</f>
        <v>180</v>
      </c>
      <c r="G345" s="7">
        <f t="shared" si="10"/>
        <v>180</v>
      </c>
      <c r="H345" s="7" t="s">
        <v>0</v>
      </c>
      <c r="I345" s="7" cm="1">
        <f t="array" ref="I345">_xlfn.IFS(H345="25-50%",230,H345="Top 25 %",260,H345="50-75%",200,H345="Last 25%",170,H345="Retire",150)</f>
        <v>170</v>
      </c>
      <c r="J345" s="15">
        <f t="shared" si="11"/>
        <v>30600</v>
      </c>
    </row>
    <row r="346" spans="1:10" x14ac:dyDescent="0.3">
      <c r="A346" s="7" t="s">
        <v>398</v>
      </c>
      <c r="B346" s="7" t="str">
        <f>_xlfn.XLOOKUP(A346,'Vendor code- SKU mapping'!$B$1:$B$806,'Vendor code- SKU mapping'!$A$1:$A$806)</f>
        <v>ISte</v>
      </c>
      <c r="C346" s="7">
        <f>VLOOKUP(B346,'Vendor -MOQ- Lead time'!$A$2:$B$45,2,0)</f>
        <v>45</v>
      </c>
      <c r="D346" s="13">
        <f>ROUND(IF('Task 2'!G346&lt;0,ABS('Task 2'!G346),0),0)</f>
        <v>30</v>
      </c>
      <c r="E346" s="7">
        <f>ROUND('Task 2'!D346*'Task 3'!C346,0)</f>
        <v>108</v>
      </c>
      <c r="F346" s="7">
        <f>VLOOKUP(B346,'Vendor -MOQ- Lead time'!$A$2:$C$45,3,0)</f>
        <v>270</v>
      </c>
      <c r="G346" s="7">
        <f t="shared" si="10"/>
        <v>270</v>
      </c>
      <c r="H346" s="7" t="s">
        <v>0</v>
      </c>
      <c r="I346" s="7" cm="1">
        <f t="array" ref="I346">_xlfn.IFS(H346="25-50%",230,H346="Top 25 %",260,H346="50-75%",200,H346="Last 25%",170,H346="Retire",150)</f>
        <v>170</v>
      </c>
      <c r="J346" s="15">
        <f t="shared" si="11"/>
        <v>45900</v>
      </c>
    </row>
    <row r="347" spans="1:10" x14ac:dyDescent="0.3">
      <c r="A347" s="7" t="s">
        <v>399</v>
      </c>
      <c r="B347" s="7" t="str">
        <f>_xlfn.XLOOKUP(A347,'Vendor code- SKU mapping'!$B$1:$B$806,'Vendor code- SKU mapping'!$A$1:$A$806)</f>
        <v>EGV</v>
      </c>
      <c r="C347" s="7">
        <f>VLOOKUP(B347,'Vendor -MOQ- Lead time'!$A$2:$B$45,2,0)</f>
        <v>45</v>
      </c>
      <c r="D347" s="13">
        <f>ROUND(IF('Task 2'!G347&lt;0,ABS('Task 2'!G347),0),0)</f>
        <v>0</v>
      </c>
      <c r="E347" s="7">
        <f>ROUND('Task 2'!D347*'Task 3'!C347,0)</f>
        <v>51</v>
      </c>
      <c r="F347" s="7">
        <f>VLOOKUP(B347,'Vendor -MOQ- Lead time'!$A$2:$C$45,3,0)</f>
        <v>270</v>
      </c>
      <c r="G347" s="7">
        <f t="shared" si="10"/>
        <v>270</v>
      </c>
      <c r="H347" s="7" t="s">
        <v>0</v>
      </c>
      <c r="I347" s="7" cm="1">
        <f t="array" ref="I347">_xlfn.IFS(H347="25-50%",230,H347="Top 25 %",260,H347="50-75%",200,H347="Last 25%",170,H347="Retire",150)</f>
        <v>170</v>
      </c>
      <c r="J347" s="15">
        <f t="shared" si="11"/>
        <v>45900</v>
      </c>
    </row>
    <row r="348" spans="1:10" x14ac:dyDescent="0.3">
      <c r="A348" s="7" t="s">
        <v>400</v>
      </c>
      <c r="B348" s="7" t="str">
        <f>_xlfn.XLOOKUP(A348,'Vendor code- SKU mapping'!$B$1:$B$806,'Vendor code- SKU mapping'!$A$1:$A$806)</f>
        <v>ISte</v>
      </c>
      <c r="C348" s="7">
        <f>VLOOKUP(B348,'Vendor -MOQ- Lead time'!$A$2:$B$45,2,0)</f>
        <v>45</v>
      </c>
      <c r="D348" s="13">
        <f>ROUND(IF('Task 2'!G348&lt;0,ABS('Task 2'!G348),0),0)</f>
        <v>0</v>
      </c>
      <c r="E348" s="7">
        <f>ROUND('Task 2'!D348*'Task 3'!C348,0)</f>
        <v>68</v>
      </c>
      <c r="F348" s="7">
        <f>VLOOKUP(B348,'Vendor -MOQ- Lead time'!$A$2:$C$45,3,0)</f>
        <v>270</v>
      </c>
      <c r="G348" s="7">
        <f t="shared" si="10"/>
        <v>270</v>
      </c>
      <c r="H348" s="7" t="s">
        <v>0</v>
      </c>
      <c r="I348" s="7" cm="1">
        <f t="array" ref="I348">_xlfn.IFS(H348="25-50%",230,H348="Top 25 %",260,H348="50-75%",200,H348="Last 25%",170,H348="Retire",150)</f>
        <v>170</v>
      </c>
      <c r="J348" s="15">
        <f t="shared" si="11"/>
        <v>45900</v>
      </c>
    </row>
    <row r="349" spans="1:10" x14ac:dyDescent="0.3">
      <c r="A349" s="7" t="s">
        <v>401</v>
      </c>
      <c r="B349" s="7" t="str">
        <f>_xlfn.XLOOKUP(A349,'Vendor code- SKU mapping'!$B$1:$B$806,'Vendor code- SKU mapping'!$A$1:$A$806)</f>
        <v>ONex</v>
      </c>
      <c r="C349" s="7">
        <f>VLOOKUP(B349,'Vendor -MOQ- Lead time'!$A$2:$B$45,2,0)</f>
        <v>90</v>
      </c>
      <c r="D349" s="13">
        <f>ROUND(IF('Task 2'!G349&lt;0,ABS('Task 2'!G349),0),0)</f>
        <v>0</v>
      </c>
      <c r="E349" s="7">
        <f>ROUND('Task 2'!D349*'Task 3'!C349,0)</f>
        <v>78</v>
      </c>
      <c r="F349" s="7">
        <f>VLOOKUP(B349,'Vendor -MOQ- Lead time'!$A$2:$C$45,3,0)</f>
        <v>1440</v>
      </c>
      <c r="G349" s="7">
        <f t="shared" si="10"/>
        <v>1440</v>
      </c>
      <c r="H349" s="7" t="s">
        <v>0</v>
      </c>
      <c r="I349" s="7" cm="1">
        <f t="array" ref="I349">_xlfn.IFS(H349="25-50%",230,H349="Top 25 %",260,H349="50-75%",200,H349="Last 25%",170,H349="Retire",150)</f>
        <v>170</v>
      </c>
      <c r="J349" s="15">
        <f t="shared" si="11"/>
        <v>244800</v>
      </c>
    </row>
    <row r="350" spans="1:10" x14ac:dyDescent="0.3">
      <c r="A350" s="7" t="s">
        <v>402</v>
      </c>
      <c r="B350" s="7" t="str">
        <f>_xlfn.XLOOKUP(A350,'Vendor code- SKU mapping'!$B$1:$B$806,'Vendor code- SKU mapping'!$A$1:$A$806)</f>
        <v>EDaz</v>
      </c>
      <c r="C350" s="7">
        <f>VLOOKUP(B350,'Vendor -MOQ- Lead time'!$A$2:$B$45,2,0)</f>
        <v>30</v>
      </c>
      <c r="D350" s="13">
        <f>ROUND(IF('Task 2'!G350&lt;0,ABS('Task 2'!G350),0),0)</f>
        <v>0</v>
      </c>
      <c r="E350" s="7">
        <f>ROUND('Task 2'!D350*'Task 3'!C350,0)</f>
        <v>113</v>
      </c>
      <c r="F350" s="7">
        <f>VLOOKUP(B350,'Vendor -MOQ- Lead time'!$A$2:$C$45,3,0)</f>
        <v>180</v>
      </c>
      <c r="G350" s="7">
        <f t="shared" si="10"/>
        <v>180</v>
      </c>
      <c r="H350" s="7" t="s">
        <v>2</v>
      </c>
      <c r="I350" s="7" cm="1">
        <f t="array" ref="I350">_xlfn.IFS(H350="25-50%",230,H350="Top 25 %",260,H350="50-75%",200,H350="Last 25%",170,H350="Retire",150)</f>
        <v>230</v>
      </c>
      <c r="J350" s="15">
        <f t="shared" si="11"/>
        <v>41400</v>
      </c>
    </row>
    <row r="351" spans="1:10" x14ac:dyDescent="0.3">
      <c r="A351" s="7" t="s">
        <v>403</v>
      </c>
      <c r="B351" s="7" t="str">
        <f>_xlfn.XLOOKUP(A351,'Vendor code- SKU mapping'!$B$1:$B$806,'Vendor code- SKU mapping'!$A$1:$A$806)</f>
        <v>ISte</v>
      </c>
      <c r="C351" s="7">
        <f>VLOOKUP(B351,'Vendor -MOQ- Lead time'!$A$2:$B$45,2,0)</f>
        <v>45</v>
      </c>
      <c r="D351" s="13">
        <f>ROUND(IF('Task 2'!G351&lt;0,ABS('Task 2'!G351),0),0)</f>
        <v>0</v>
      </c>
      <c r="E351" s="7">
        <f>ROUND('Task 2'!D351*'Task 3'!C351,0)</f>
        <v>116</v>
      </c>
      <c r="F351" s="7">
        <f>VLOOKUP(B351,'Vendor -MOQ- Lead time'!$A$2:$C$45,3,0)</f>
        <v>270</v>
      </c>
      <c r="G351" s="7">
        <f t="shared" si="10"/>
        <v>270</v>
      </c>
      <c r="H351" s="7" t="s">
        <v>1</v>
      </c>
      <c r="I351" s="7" cm="1">
        <f t="array" ref="I351">_xlfn.IFS(H351="25-50%",230,H351="Top 25 %",260,H351="50-75%",200,H351="Last 25%",170,H351="Retire",150)</f>
        <v>200</v>
      </c>
      <c r="J351" s="15">
        <f t="shared" si="11"/>
        <v>54000</v>
      </c>
    </row>
    <row r="352" spans="1:10" x14ac:dyDescent="0.3">
      <c r="A352" s="7" t="s">
        <v>404</v>
      </c>
      <c r="B352" s="7" t="str">
        <f>_xlfn.XLOOKUP(A352,'Vendor code- SKU mapping'!$B$1:$B$806,'Vendor code- SKU mapping'!$A$1:$A$806)</f>
        <v>ONex</v>
      </c>
      <c r="C352" s="7">
        <f>VLOOKUP(B352,'Vendor -MOQ- Lead time'!$A$2:$B$45,2,0)</f>
        <v>90</v>
      </c>
      <c r="D352" s="13">
        <f>ROUND(IF('Task 2'!G352&lt;0,ABS('Task 2'!G352),0),0)</f>
        <v>67</v>
      </c>
      <c r="E352" s="7">
        <f>ROUND('Task 2'!D352*'Task 3'!C352,0)</f>
        <v>282</v>
      </c>
      <c r="F352" s="7">
        <f>VLOOKUP(B352,'Vendor -MOQ- Lead time'!$A$2:$C$45,3,0)</f>
        <v>1440</v>
      </c>
      <c r="G352" s="7">
        <f t="shared" si="10"/>
        <v>1440</v>
      </c>
      <c r="H352" s="7" t="s">
        <v>0</v>
      </c>
      <c r="I352" s="7" cm="1">
        <f t="array" ref="I352">_xlfn.IFS(H352="25-50%",230,H352="Top 25 %",260,H352="50-75%",200,H352="Last 25%",170,H352="Retire",150)</f>
        <v>170</v>
      </c>
      <c r="J352" s="15">
        <f t="shared" si="11"/>
        <v>244800</v>
      </c>
    </row>
    <row r="353" spans="1:10" x14ac:dyDescent="0.3">
      <c r="A353" s="7" t="s">
        <v>405</v>
      </c>
      <c r="B353" s="7" t="str">
        <f>_xlfn.XLOOKUP(A353,'Vendor code- SKU mapping'!$B$1:$B$806,'Vendor code- SKU mapping'!$A$1:$A$806)</f>
        <v>ONex</v>
      </c>
      <c r="C353" s="7">
        <f>VLOOKUP(B353,'Vendor -MOQ- Lead time'!$A$2:$B$45,2,0)</f>
        <v>90</v>
      </c>
      <c r="D353" s="13">
        <f>ROUND(IF('Task 2'!G353&lt;0,ABS('Task 2'!G353),0),0)</f>
        <v>0</v>
      </c>
      <c r="E353" s="7">
        <f>ROUND('Task 2'!D353*'Task 3'!C353,0)</f>
        <v>135</v>
      </c>
      <c r="F353" s="7">
        <f>VLOOKUP(B353,'Vendor -MOQ- Lead time'!$A$2:$C$45,3,0)</f>
        <v>1440</v>
      </c>
      <c r="G353" s="7">
        <f t="shared" si="10"/>
        <v>1440</v>
      </c>
      <c r="H353" s="7" t="s">
        <v>0</v>
      </c>
      <c r="I353" s="7" cm="1">
        <f t="array" ref="I353">_xlfn.IFS(H353="25-50%",230,H353="Top 25 %",260,H353="50-75%",200,H353="Last 25%",170,H353="Retire",150)</f>
        <v>170</v>
      </c>
      <c r="J353" s="15">
        <f t="shared" si="11"/>
        <v>244800</v>
      </c>
    </row>
    <row r="354" spans="1:10" x14ac:dyDescent="0.3">
      <c r="A354" s="7" t="s">
        <v>406</v>
      </c>
      <c r="B354" s="7" t="str">
        <f>_xlfn.XLOOKUP(A354,'Vendor code- SKU mapping'!$B$1:$B$806,'Vendor code- SKU mapping'!$A$1:$A$806)</f>
        <v>AAFC</v>
      </c>
      <c r="C354" s="7">
        <f>VLOOKUP(B354,'Vendor -MOQ- Lead time'!$A$2:$B$45,2,0)</f>
        <v>45</v>
      </c>
      <c r="D354" s="13">
        <f>ROUND(IF('Task 2'!G354&lt;0,ABS('Task 2'!G354),0),0)</f>
        <v>0</v>
      </c>
      <c r="E354" s="7">
        <f>ROUND('Task 2'!D354*'Task 3'!C354,0)</f>
        <v>68</v>
      </c>
      <c r="F354" s="7">
        <f>VLOOKUP(B354,'Vendor -MOQ- Lead time'!$A$2:$C$45,3,0)</f>
        <v>270</v>
      </c>
      <c r="G354" s="7">
        <f t="shared" si="10"/>
        <v>270</v>
      </c>
      <c r="H354" s="7" t="s">
        <v>0</v>
      </c>
      <c r="I354" s="7" cm="1">
        <f t="array" ref="I354">_xlfn.IFS(H354="25-50%",230,H354="Top 25 %",260,H354="50-75%",200,H354="Last 25%",170,H354="Retire",150)</f>
        <v>170</v>
      </c>
      <c r="J354" s="15">
        <f t="shared" si="11"/>
        <v>45900</v>
      </c>
    </row>
    <row r="355" spans="1:10" x14ac:dyDescent="0.3">
      <c r="A355" s="7" t="s">
        <v>407</v>
      </c>
      <c r="B355" s="7" t="str">
        <f>_xlfn.XLOOKUP(A355,'Vendor code- SKU mapping'!$B$1:$B$806,'Vendor code- SKU mapping'!$A$1:$A$806)</f>
        <v>OMah</v>
      </c>
      <c r="C355" s="7">
        <f>VLOOKUP(B355,'Vendor -MOQ- Lead time'!$A$2:$B$45,2,0)</f>
        <v>45</v>
      </c>
      <c r="D355" s="13">
        <f>ROUND(IF('Task 2'!G355&lt;0,ABS('Task 2'!G355),0),0)</f>
        <v>0</v>
      </c>
      <c r="E355" s="7">
        <f>ROUND('Task 2'!D355*'Task 3'!C355,0)</f>
        <v>90</v>
      </c>
      <c r="F355" s="7">
        <f>VLOOKUP(B355,'Vendor -MOQ- Lead time'!$A$2:$C$45,3,0)</f>
        <v>270</v>
      </c>
      <c r="G355" s="7">
        <f t="shared" si="10"/>
        <v>270</v>
      </c>
      <c r="H355" s="7" t="s">
        <v>0</v>
      </c>
      <c r="I355" s="7" cm="1">
        <f t="array" ref="I355">_xlfn.IFS(H355="25-50%",230,H355="Top 25 %",260,H355="50-75%",200,H355="Last 25%",170,H355="Retire",150)</f>
        <v>170</v>
      </c>
      <c r="J355" s="15">
        <f t="shared" si="11"/>
        <v>45900</v>
      </c>
    </row>
    <row r="356" spans="1:10" x14ac:dyDescent="0.3">
      <c r="A356" s="7" t="s">
        <v>408</v>
      </c>
      <c r="B356" s="7" t="str">
        <f>_xlfn.XLOOKUP(A356,'Vendor code- SKU mapping'!$B$1:$B$806,'Vendor code- SKU mapping'!$A$1:$A$806)</f>
        <v>AAdi</v>
      </c>
      <c r="C356" s="7">
        <f>VLOOKUP(B356,'Vendor -MOQ- Lead time'!$A$2:$B$45,2,0)</f>
        <v>45</v>
      </c>
      <c r="D356" s="13">
        <f>ROUND(IF('Task 2'!G356&lt;0,ABS('Task 2'!G356),0),0)</f>
        <v>0</v>
      </c>
      <c r="E356" s="7">
        <f>ROUND('Task 2'!D356*'Task 3'!C356,0)</f>
        <v>60</v>
      </c>
      <c r="F356" s="7">
        <f>VLOOKUP(B356,'Vendor -MOQ- Lead time'!$A$2:$C$45,3,0)</f>
        <v>270</v>
      </c>
      <c r="G356" s="7">
        <f t="shared" si="10"/>
        <v>270</v>
      </c>
      <c r="H356" s="7" t="s">
        <v>0</v>
      </c>
      <c r="I356" s="7" cm="1">
        <f t="array" ref="I356">_xlfn.IFS(H356="25-50%",230,H356="Top 25 %",260,H356="50-75%",200,H356="Last 25%",170,H356="Retire",150)</f>
        <v>170</v>
      </c>
      <c r="J356" s="15">
        <f t="shared" si="11"/>
        <v>45900</v>
      </c>
    </row>
    <row r="357" spans="1:10" x14ac:dyDescent="0.3">
      <c r="A357" s="7" t="s">
        <v>409</v>
      </c>
      <c r="B357" s="7" t="str">
        <f>_xlfn.XLOOKUP(A357,'Vendor code- SKU mapping'!$B$1:$B$806,'Vendor code- SKU mapping'!$A$1:$A$806)</f>
        <v>OLux</v>
      </c>
      <c r="C357" s="7">
        <f>VLOOKUP(B357,'Vendor -MOQ- Lead time'!$A$2:$B$45,2,0)</f>
        <v>30</v>
      </c>
      <c r="D357" s="13">
        <f>ROUND(IF('Task 2'!G357&lt;0,ABS('Task 2'!G357),0),0)</f>
        <v>0</v>
      </c>
      <c r="E357" s="7">
        <f>ROUND('Task 2'!D357*'Task 3'!C357,0)</f>
        <v>47</v>
      </c>
      <c r="F357" s="7">
        <f>VLOOKUP(B357,'Vendor -MOQ- Lead time'!$A$2:$C$45,3,0)</f>
        <v>180</v>
      </c>
      <c r="G357" s="7">
        <f t="shared" si="10"/>
        <v>180</v>
      </c>
      <c r="H357" s="7" t="s">
        <v>0</v>
      </c>
      <c r="I357" s="7" cm="1">
        <f t="array" ref="I357">_xlfn.IFS(H357="25-50%",230,H357="Top 25 %",260,H357="50-75%",200,H357="Last 25%",170,H357="Retire",150)</f>
        <v>170</v>
      </c>
      <c r="J357" s="15">
        <f t="shared" si="11"/>
        <v>30600</v>
      </c>
    </row>
    <row r="358" spans="1:10" x14ac:dyDescent="0.3">
      <c r="A358" s="7" t="s">
        <v>410</v>
      </c>
      <c r="B358" s="7" t="str">
        <f>_xlfn.XLOOKUP(A358,'Vendor code- SKU mapping'!$B$1:$B$806,'Vendor code- SKU mapping'!$A$1:$A$806)</f>
        <v>EDaz</v>
      </c>
      <c r="C358" s="7">
        <f>VLOOKUP(B358,'Vendor -MOQ- Lead time'!$A$2:$B$45,2,0)</f>
        <v>30</v>
      </c>
      <c r="D358" s="13">
        <f>ROUND(IF('Task 2'!G358&lt;0,ABS('Task 2'!G358),0),0)</f>
        <v>0</v>
      </c>
      <c r="E358" s="7">
        <f>ROUND('Task 2'!D358*'Task 3'!C358,0)</f>
        <v>245</v>
      </c>
      <c r="F358" s="7">
        <f>VLOOKUP(B358,'Vendor -MOQ- Lead time'!$A$2:$C$45,3,0)</f>
        <v>180</v>
      </c>
      <c r="G358" s="7">
        <f t="shared" si="10"/>
        <v>360</v>
      </c>
      <c r="H358" s="7" t="s">
        <v>2</v>
      </c>
      <c r="I358" s="7" cm="1">
        <f t="array" ref="I358">_xlfn.IFS(H358="25-50%",230,H358="Top 25 %",260,H358="50-75%",200,H358="Last 25%",170,H358="Retire",150)</f>
        <v>230</v>
      </c>
      <c r="J358" s="15">
        <f t="shared" si="11"/>
        <v>82800</v>
      </c>
    </row>
    <row r="359" spans="1:10" x14ac:dyDescent="0.3">
      <c r="A359" s="7" t="s">
        <v>411</v>
      </c>
      <c r="B359" s="7" t="str">
        <f>_xlfn.XLOOKUP(A359,'Vendor code- SKU mapping'!$B$1:$B$806,'Vendor code- SKU mapping'!$A$1:$A$806)</f>
        <v>ORed</v>
      </c>
      <c r="C359" s="7">
        <f>VLOOKUP(B359,'Vendor -MOQ- Lead time'!$A$2:$B$45,2,0)</f>
        <v>30</v>
      </c>
      <c r="D359" s="13">
        <f>ROUND(IF('Task 2'!G359&lt;0,ABS('Task 2'!G359),0),0)</f>
        <v>0</v>
      </c>
      <c r="E359" s="7">
        <f>ROUND('Task 2'!D359*'Task 3'!C359,0)</f>
        <v>51</v>
      </c>
      <c r="F359" s="7">
        <f>VLOOKUP(B359,'Vendor -MOQ- Lead time'!$A$2:$C$45,3,0)</f>
        <v>180</v>
      </c>
      <c r="G359" s="7">
        <f t="shared" si="10"/>
        <v>180</v>
      </c>
      <c r="H359" s="7" t="s">
        <v>1</v>
      </c>
      <c r="I359" s="7" cm="1">
        <f t="array" ref="I359">_xlfn.IFS(H359="25-50%",230,H359="Top 25 %",260,H359="50-75%",200,H359="Last 25%",170,H359="Retire",150)</f>
        <v>200</v>
      </c>
      <c r="J359" s="15">
        <f t="shared" si="11"/>
        <v>36000</v>
      </c>
    </row>
    <row r="360" spans="1:10" x14ac:dyDescent="0.3">
      <c r="A360" s="7" t="s">
        <v>412</v>
      </c>
      <c r="B360" s="7" t="str">
        <f>_xlfn.XLOOKUP(A360,'Vendor code- SKU mapping'!$B$1:$B$806,'Vendor code- SKU mapping'!$A$1:$A$806)</f>
        <v>OLux</v>
      </c>
      <c r="C360" s="7">
        <f>VLOOKUP(B360,'Vendor -MOQ- Lead time'!$A$2:$B$45,2,0)</f>
        <v>30</v>
      </c>
      <c r="D360" s="13">
        <f>ROUND(IF('Task 2'!G360&lt;0,ABS('Task 2'!G360),0),0)</f>
        <v>0</v>
      </c>
      <c r="E360" s="7">
        <f>ROUND('Task 2'!D360*'Task 3'!C360,0)</f>
        <v>114</v>
      </c>
      <c r="F360" s="7">
        <f>VLOOKUP(B360,'Vendor -MOQ- Lead time'!$A$2:$C$45,3,0)</f>
        <v>180</v>
      </c>
      <c r="G360" s="7">
        <f t="shared" si="10"/>
        <v>180</v>
      </c>
      <c r="H360" s="7" t="s">
        <v>0</v>
      </c>
      <c r="I360" s="7" cm="1">
        <f t="array" ref="I360">_xlfn.IFS(H360="25-50%",230,H360="Top 25 %",260,H360="50-75%",200,H360="Last 25%",170,H360="Retire",150)</f>
        <v>170</v>
      </c>
      <c r="J360" s="15">
        <f t="shared" si="11"/>
        <v>30600</v>
      </c>
    </row>
    <row r="361" spans="1:10" x14ac:dyDescent="0.3">
      <c r="A361" s="7" t="s">
        <v>413</v>
      </c>
      <c r="B361" s="7" t="str">
        <f>_xlfn.XLOOKUP(A361,'Vendor code- SKU mapping'!$B$1:$B$806,'Vendor code- SKU mapping'!$A$1:$A$806)</f>
        <v>ISte</v>
      </c>
      <c r="C361" s="7">
        <f>VLOOKUP(B361,'Vendor -MOQ- Lead time'!$A$2:$B$45,2,0)</f>
        <v>45</v>
      </c>
      <c r="D361" s="13">
        <f>ROUND(IF('Task 2'!G361&lt;0,ABS('Task 2'!G361),0),0)</f>
        <v>0</v>
      </c>
      <c r="E361" s="7">
        <f>ROUND('Task 2'!D361*'Task 3'!C361,0)</f>
        <v>114</v>
      </c>
      <c r="F361" s="7">
        <f>VLOOKUP(B361,'Vendor -MOQ- Lead time'!$A$2:$C$45,3,0)</f>
        <v>270</v>
      </c>
      <c r="G361" s="7">
        <f t="shared" si="10"/>
        <v>270</v>
      </c>
      <c r="H361" s="7" t="s">
        <v>0</v>
      </c>
      <c r="I361" s="7" cm="1">
        <f t="array" ref="I361">_xlfn.IFS(H361="25-50%",230,H361="Top 25 %",260,H361="50-75%",200,H361="Last 25%",170,H361="Retire",150)</f>
        <v>170</v>
      </c>
      <c r="J361" s="15">
        <f t="shared" si="11"/>
        <v>45900</v>
      </c>
    </row>
    <row r="362" spans="1:10" x14ac:dyDescent="0.3">
      <c r="A362" s="7" t="s">
        <v>414</v>
      </c>
      <c r="B362" s="7" t="str">
        <f>_xlfn.XLOOKUP(A362,'Vendor code- SKU mapping'!$B$1:$B$806,'Vendor code- SKU mapping'!$A$1:$A$806)</f>
        <v>OShe</v>
      </c>
      <c r="C362" s="7">
        <f>VLOOKUP(B362,'Vendor -MOQ- Lead time'!$A$2:$B$45,2,0)</f>
        <v>30</v>
      </c>
      <c r="D362" s="13">
        <f>ROUND(IF('Task 2'!G362&lt;0,ABS('Task 2'!G362),0),0)</f>
        <v>0</v>
      </c>
      <c r="E362" s="7">
        <f>ROUND('Task 2'!D362*'Task 3'!C362,0)</f>
        <v>85</v>
      </c>
      <c r="F362" s="7">
        <f>VLOOKUP(B362,'Vendor -MOQ- Lead time'!$A$2:$C$45,3,0)</f>
        <v>180</v>
      </c>
      <c r="G362" s="7">
        <f t="shared" si="10"/>
        <v>180</v>
      </c>
      <c r="H362" s="7" t="s">
        <v>0</v>
      </c>
      <c r="I362" s="7" cm="1">
        <f t="array" ref="I362">_xlfn.IFS(H362="25-50%",230,H362="Top 25 %",260,H362="50-75%",200,H362="Last 25%",170,H362="Retire",150)</f>
        <v>170</v>
      </c>
      <c r="J362" s="15">
        <f t="shared" si="11"/>
        <v>30600</v>
      </c>
    </row>
    <row r="363" spans="1:10" x14ac:dyDescent="0.3">
      <c r="A363" s="7" t="s">
        <v>415</v>
      </c>
      <c r="B363" s="7" t="str">
        <f>_xlfn.XLOOKUP(A363,'Vendor code- SKU mapping'!$B$1:$B$806,'Vendor code- SKU mapping'!$A$1:$A$806)</f>
        <v>OPar</v>
      </c>
      <c r="C363" s="7">
        <f>VLOOKUP(B363,'Vendor -MOQ- Lead time'!$A$2:$B$45,2,0)</f>
        <v>30</v>
      </c>
      <c r="D363" s="13">
        <f>ROUND(IF('Task 2'!G363&lt;0,ABS('Task 2'!G363),0),0)</f>
        <v>0</v>
      </c>
      <c r="E363" s="7">
        <f>ROUND('Task 2'!D363*'Task 3'!C363,0)</f>
        <v>68</v>
      </c>
      <c r="F363" s="7">
        <f>VLOOKUP(B363,'Vendor -MOQ- Lead time'!$A$2:$C$45,3,0)</f>
        <v>180</v>
      </c>
      <c r="G363" s="7">
        <f t="shared" si="10"/>
        <v>180</v>
      </c>
      <c r="H363" s="7" t="s">
        <v>0</v>
      </c>
      <c r="I363" s="7" cm="1">
        <f t="array" ref="I363">_xlfn.IFS(H363="25-50%",230,H363="Top 25 %",260,H363="50-75%",200,H363="Last 25%",170,H363="Retire",150)</f>
        <v>170</v>
      </c>
      <c r="J363" s="15">
        <f t="shared" si="11"/>
        <v>30600</v>
      </c>
    </row>
    <row r="364" spans="1:10" x14ac:dyDescent="0.3">
      <c r="A364" s="7" t="s">
        <v>416</v>
      </c>
      <c r="B364" s="7" t="str">
        <f>_xlfn.XLOOKUP(A364,'Vendor code- SKU mapping'!$B$1:$B$806,'Vendor code- SKU mapping'!$A$1:$A$806)</f>
        <v>OKP</v>
      </c>
      <c r="C364" s="7">
        <f>VLOOKUP(B364,'Vendor -MOQ- Lead time'!$A$2:$B$45,2,0)</f>
        <v>30</v>
      </c>
      <c r="D364" s="13">
        <f>ROUND(IF('Task 2'!G364&lt;0,ABS('Task 2'!G364),0),0)</f>
        <v>0</v>
      </c>
      <c r="E364" s="7">
        <f>ROUND('Task 2'!D364*'Task 3'!C364,0)</f>
        <v>50</v>
      </c>
      <c r="F364" s="7">
        <f>VLOOKUP(B364,'Vendor -MOQ- Lead time'!$A$2:$C$45,3,0)</f>
        <v>180</v>
      </c>
      <c r="G364" s="7">
        <f t="shared" si="10"/>
        <v>180</v>
      </c>
      <c r="H364" s="7" t="s">
        <v>0</v>
      </c>
      <c r="I364" s="7" cm="1">
        <f t="array" ref="I364">_xlfn.IFS(H364="25-50%",230,H364="Top 25 %",260,H364="50-75%",200,H364="Last 25%",170,H364="Retire",150)</f>
        <v>170</v>
      </c>
      <c r="J364" s="15">
        <f t="shared" si="11"/>
        <v>30600</v>
      </c>
    </row>
    <row r="365" spans="1:10" x14ac:dyDescent="0.3">
      <c r="A365" s="7" t="s">
        <v>417</v>
      </c>
      <c r="B365" s="7" t="str">
        <f>_xlfn.XLOOKUP(A365,'Vendor code- SKU mapping'!$B$1:$B$806,'Vendor code- SKU mapping'!$A$1:$A$806)</f>
        <v>EGV</v>
      </c>
      <c r="C365" s="7">
        <f>VLOOKUP(B365,'Vendor -MOQ- Lead time'!$A$2:$B$45,2,0)</f>
        <v>45</v>
      </c>
      <c r="D365" s="13">
        <f>ROUND(IF('Task 2'!G365&lt;0,ABS('Task 2'!G365),0),0)</f>
        <v>0</v>
      </c>
      <c r="E365" s="7">
        <f>ROUND('Task 2'!D365*'Task 3'!C365,0)</f>
        <v>63</v>
      </c>
      <c r="F365" s="7">
        <f>VLOOKUP(B365,'Vendor -MOQ- Lead time'!$A$2:$C$45,3,0)</f>
        <v>270</v>
      </c>
      <c r="G365" s="7">
        <f t="shared" si="10"/>
        <v>270</v>
      </c>
      <c r="H365" s="7" t="s">
        <v>0</v>
      </c>
      <c r="I365" s="7" cm="1">
        <f t="array" ref="I365">_xlfn.IFS(H365="25-50%",230,H365="Top 25 %",260,H365="50-75%",200,H365="Last 25%",170,H365="Retire",150)</f>
        <v>170</v>
      </c>
      <c r="J365" s="15">
        <f t="shared" si="11"/>
        <v>45900</v>
      </c>
    </row>
    <row r="366" spans="1:10" x14ac:dyDescent="0.3">
      <c r="A366" s="7" t="s">
        <v>418</v>
      </c>
      <c r="B366" s="7" t="str">
        <f>_xlfn.XLOOKUP(A366,'Vendor code- SKU mapping'!$B$1:$B$806,'Vendor code- SKU mapping'!$A$1:$A$806)</f>
        <v>OMah</v>
      </c>
      <c r="C366" s="7">
        <f>VLOOKUP(B366,'Vendor -MOQ- Lead time'!$A$2:$B$45,2,0)</f>
        <v>45</v>
      </c>
      <c r="D366" s="13">
        <f>ROUND(IF('Task 2'!G366&lt;0,ABS('Task 2'!G366),0),0)</f>
        <v>0</v>
      </c>
      <c r="E366" s="7">
        <f>ROUND('Task 2'!D366*'Task 3'!C366,0)</f>
        <v>99</v>
      </c>
      <c r="F366" s="7">
        <f>VLOOKUP(B366,'Vendor -MOQ- Lead time'!$A$2:$C$45,3,0)</f>
        <v>270</v>
      </c>
      <c r="G366" s="7">
        <f t="shared" si="10"/>
        <v>270</v>
      </c>
      <c r="H366" s="7" t="s">
        <v>0</v>
      </c>
      <c r="I366" s="7" cm="1">
        <f t="array" ref="I366">_xlfn.IFS(H366="25-50%",230,H366="Top 25 %",260,H366="50-75%",200,H366="Last 25%",170,H366="Retire",150)</f>
        <v>170</v>
      </c>
      <c r="J366" s="15">
        <f t="shared" si="11"/>
        <v>45900</v>
      </c>
    </row>
    <row r="367" spans="1:10" x14ac:dyDescent="0.3">
      <c r="A367" s="7" t="s">
        <v>419</v>
      </c>
      <c r="B367" s="7" t="str">
        <f>_xlfn.XLOOKUP(A367,'Vendor code- SKU mapping'!$B$1:$B$806,'Vendor code- SKU mapping'!$A$1:$A$806)</f>
        <v>OMah</v>
      </c>
      <c r="C367" s="7">
        <f>VLOOKUP(B367,'Vendor -MOQ- Lead time'!$A$2:$B$45,2,0)</f>
        <v>45</v>
      </c>
      <c r="D367" s="13">
        <f>ROUND(IF('Task 2'!G367&lt;0,ABS('Task 2'!G367),0),0)</f>
        <v>0</v>
      </c>
      <c r="E367" s="7">
        <f>ROUND('Task 2'!D367*'Task 3'!C367,0)</f>
        <v>47</v>
      </c>
      <c r="F367" s="7">
        <f>VLOOKUP(B367,'Vendor -MOQ- Lead time'!$A$2:$C$45,3,0)</f>
        <v>270</v>
      </c>
      <c r="G367" s="7">
        <f t="shared" si="10"/>
        <v>270</v>
      </c>
      <c r="H367" s="7" t="s">
        <v>0</v>
      </c>
      <c r="I367" s="7" cm="1">
        <f t="array" ref="I367">_xlfn.IFS(H367="25-50%",230,H367="Top 25 %",260,H367="50-75%",200,H367="Last 25%",170,H367="Retire",150)</f>
        <v>170</v>
      </c>
      <c r="J367" s="15">
        <f t="shared" si="11"/>
        <v>45900</v>
      </c>
    </row>
    <row r="368" spans="1:10" x14ac:dyDescent="0.3">
      <c r="A368" s="7" t="s">
        <v>420</v>
      </c>
      <c r="B368" s="7" t="str">
        <f>_xlfn.XLOOKUP(A368,'Vendor code- SKU mapping'!$B$1:$B$806,'Vendor code- SKU mapping'!$A$1:$A$806)</f>
        <v>EBes</v>
      </c>
      <c r="C368" s="7">
        <f>VLOOKUP(B368,'Vendor -MOQ- Lead time'!$A$2:$B$45,2,0)</f>
        <v>45</v>
      </c>
      <c r="D368" s="13">
        <f>ROUND(IF('Task 2'!G368&lt;0,ABS('Task 2'!G368),0),0)</f>
        <v>0</v>
      </c>
      <c r="E368" s="7">
        <f>ROUND('Task 2'!D368*'Task 3'!C368,0)</f>
        <v>75</v>
      </c>
      <c r="F368" s="7">
        <f>VLOOKUP(B368,'Vendor -MOQ- Lead time'!$A$2:$C$45,3,0)</f>
        <v>270</v>
      </c>
      <c r="G368" s="7">
        <f t="shared" si="10"/>
        <v>270</v>
      </c>
      <c r="H368" s="7" t="s">
        <v>3</v>
      </c>
      <c r="I368" s="7" cm="1">
        <f t="array" ref="I368">_xlfn.IFS(H368="25-50%",230,H368="Top 25 %",260,H368="50-75%",200,H368="Last 25%",170,H368="Retire",150)</f>
        <v>150</v>
      </c>
      <c r="J368" s="15">
        <f t="shared" si="11"/>
        <v>40500</v>
      </c>
    </row>
    <row r="369" spans="1:10" x14ac:dyDescent="0.3">
      <c r="A369" s="7" t="s">
        <v>421</v>
      </c>
      <c r="B369" s="7" t="str">
        <f>_xlfn.XLOOKUP(A369,'Vendor code- SKU mapping'!$B$1:$B$806,'Vendor code- SKU mapping'!$A$1:$A$806)</f>
        <v>ORed</v>
      </c>
      <c r="C369" s="7">
        <f>VLOOKUP(B369,'Vendor -MOQ- Lead time'!$A$2:$B$45,2,0)</f>
        <v>30</v>
      </c>
      <c r="D369" s="13">
        <f>ROUND(IF('Task 2'!G369&lt;0,ABS('Task 2'!G369),0),0)</f>
        <v>0</v>
      </c>
      <c r="E369" s="7">
        <f>ROUND('Task 2'!D369*'Task 3'!C369,0)</f>
        <v>72</v>
      </c>
      <c r="F369" s="7">
        <f>VLOOKUP(B369,'Vendor -MOQ- Lead time'!$A$2:$C$45,3,0)</f>
        <v>180</v>
      </c>
      <c r="G369" s="7">
        <f t="shared" si="10"/>
        <v>180</v>
      </c>
      <c r="H369" s="7" t="s">
        <v>0</v>
      </c>
      <c r="I369" s="7" cm="1">
        <f t="array" ref="I369">_xlfn.IFS(H369="25-50%",230,H369="Top 25 %",260,H369="50-75%",200,H369="Last 25%",170,H369="Retire",150)</f>
        <v>170</v>
      </c>
      <c r="J369" s="15">
        <f t="shared" si="11"/>
        <v>30600</v>
      </c>
    </row>
    <row r="370" spans="1:10" x14ac:dyDescent="0.3">
      <c r="A370" s="7" t="s">
        <v>422</v>
      </c>
      <c r="B370" s="7" t="str">
        <f>_xlfn.XLOOKUP(A370,'Vendor code- SKU mapping'!$B$1:$B$806,'Vendor code- SKU mapping'!$A$1:$A$806)</f>
        <v>EFai</v>
      </c>
      <c r="C370" s="7">
        <f>VLOOKUP(B370,'Vendor -MOQ- Lead time'!$A$2:$B$45,2,0)</f>
        <v>60</v>
      </c>
      <c r="D370" s="13">
        <f>ROUND(IF('Task 2'!G370&lt;0,ABS('Task 2'!G370),0),0)</f>
        <v>0</v>
      </c>
      <c r="E370" s="7">
        <f>ROUND('Task 2'!D370*'Task 3'!C370,0)</f>
        <v>130</v>
      </c>
      <c r="F370" s="7">
        <f>VLOOKUP(B370,'Vendor -MOQ- Lead time'!$A$2:$C$45,3,0)</f>
        <v>1080</v>
      </c>
      <c r="G370" s="7">
        <f t="shared" si="10"/>
        <v>1080</v>
      </c>
      <c r="H370" s="7" t="s">
        <v>0</v>
      </c>
      <c r="I370" s="7" cm="1">
        <f t="array" ref="I370">_xlfn.IFS(H370="25-50%",230,H370="Top 25 %",260,H370="50-75%",200,H370="Last 25%",170,H370="Retire",150)</f>
        <v>170</v>
      </c>
      <c r="J370" s="15">
        <f t="shared" si="11"/>
        <v>183600</v>
      </c>
    </row>
    <row r="371" spans="1:10" x14ac:dyDescent="0.3">
      <c r="A371" s="7" t="s">
        <v>423</v>
      </c>
      <c r="B371" s="7" t="str">
        <f>_xlfn.XLOOKUP(A371,'Vendor code- SKU mapping'!$B$1:$B$806,'Vendor code- SKU mapping'!$A$1:$A$806)</f>
        <v>ISte</v>
      </c>
      <c r="C371" s="7">
        <f>VLOOKUP(B371,'Vendor -MOQ- Lead time'!$A$2:$B$45,2,0)</f>
        <v>45</v>
      </c>
      <c r="D371" s="13">
        <f>ROUND(IF('Task 2'!G371&lt;0,ABS('Task 2'!G371),0),0)</f>
        <v>0</v>
      </c>
      <c r="E371" s="7">
        <f>ROUND('Task 2'!D371*'Task 3'!C371,0)</f>
        <v>146</v>
      </c>
      <c r="F371" s="7">
        <f>VLOOKUP(B371,'Vendor -MOQ- Lead time'!$A$2:$C$45,3,0)</f>
        <v>270</v>
      </c>
      <c r="G371" s="7">
        <f t="shared" si="10"/>
        <v>270</v>
      </c>
      <c r="H371" s="7" t="s">
        <v>0</v>
      </c>
      <c r="I371" s="7" cm="1">
        <f t="array" ref="I371">_xlfn.IFS(H371="25-50%",230,H371="Top 25 %",260,H371="50-75%",200,H371="Last 25%",170,H371="Retire",150)</f>
        <v>170</v>
      </c>
      <c r="J371" s="15">
        <f t="shared" si="11"/>
        <v>45900</v>
      </c>
    </row>
    <row r="372" spans="1:10" x14ac:dyDescent="0.3">
      <c r="A372" s="7" t="s">
        <v>424</v>
      </c>
      <c r="B372" s="7" t="str">
        <f>_xlfn.XLOOKUP(A372,'Vendor code- SKU mapping'!$B$1:$B$806,'Vendor code- SKU mapping'!$A$1:$A$806)</f>
        <v>OMah</v>
      </c>
      <c r="C372" s="7">
        <f>VLOOKUP(B372,'Vendor -MOQ- Lead time'!$A$2:$B$45,2,0)</f>
        <v>45</v>
      </c>
      <c r="D372" s="13">
        <f>ROUND(IF('Task 2'!G372&lt;0,ABS('Task 2'!G372),0),0)</f>
        <v>0</v>
      </c>
      <c r="E372" s="7">
        <f>ROUND('Task 2'!D372*'Task 3'!C372,0)</f>
        <v>108</v>
      </c>
      <c r="F372" s="7">
        <f>VLOOKUP(B372,'Vendor -MOQ- Lead time'!$A$2:$C$45,3,0)</f>
        <v>270</v>
      </c>
      <c r="G372" s="7">
        <f t="shared" si="10"/>
        <v>270</v>
      </c>
      <c r="H372" s="7" t="s">
        <v>0</v>
      </c>
      <c r="I372" s="7" cm="1">
        <f t="array" ref="I372">_xlfn.IFS(H372="25-50%",230,H372="Top 25 %",260,H372="50-75%",200,H372="Last 25%",170,H372="Retire",150)</f>
        <v>170</v>
      </c>
      <c r="J372" s="15">
        <f t="shared" si="11"/>
        <v>45900</v>
      </c>
    </row>
    <row r="373" spans="1:10" x14ac:dyDescent="0.3">
      <c r="A373" s="7" t="s">
        <v>425</v>
      </c>
      <c r="B373" s="7" t="str">
        <f>_xlfn.XLOOKUP(A373,'Vendor code- SKU mapping'!$B$1:$B$806,'Vendor code- SKU mapping'!$A$1:$A$806)</f>
        <v>EGV</v>
      </c>
      <c r="C373" s="7">
        <f>VLOOKUP(B373,'Vendor -MOQ- Lead time'!$A$2:$B$45,2,0)</f>
        <v>45</v>
      </c>
      <c r="D373" s="13">
        <f>ROUND(IF('Task 2'!G373&lt;0,ABS('Task 2'!G373),0),0)</f>
        <v>0</v>
      </c>
      <c r="E373" s="7">
        <f>ROUND('Task 2'!D373*'Task 3'!C373,0)</f>
        <v>102</v>
      </c>
      <c r="F373" s="7">
        <f>VLOOKUP(B373,'Vendor -MOQ- Lead time'!$A$2:$C$45,3,0)</f>
        <v>270</v>
      </c>
      <c r="G373" s="7">
        <f t="shared" si="10"/>
        <v>270</v>
      </c>
      <c r="H373" s="7" t="s">
        <v>0</v>
      </c>
      <c r="I373" s="7" cm="1">
        <f t="array" ref="I373">_xlfn.IFS(H373="25-50%",230,H373="Top 25 %",260,H373="50-75%",200,H373="Last 25%",170,H373="Retire",150)</f>
        <v>170</v>
      </c>
      <c r="J373" s="15">
        <f t="shared" si="11"/>
        <v>45900</v>
      </c>
    </row>
    <row r="374" spans="1:10" x14ac:dyDescent="0.3">
      <c r="A374" s="7" t="s">
        <v>426</v>
      </c>
      <c r="B374" s="7" t="str">
        <f>_xlfn.XLOOKUP(A374,'Vendor code- SKU mapping'!$B$1:$B$806,'Vendor code- SKU mapping'!$A$1:$A$806)</f>
        <v>OShe</v>
      </c>
      <c r="C374" s="7">
        <f>VLOOKUP(B374,'Vendor -MOQ- Lead time'!$A$2:$B$45,2,0)</f>
        <v>30</v>
      </c>
      <c r="D374" s="13">
        <f>ROUND(IF('Task 2'!G374&lt;0,ABS('Task 2'!G374),0),0)</f>
        <v>0</v>
      </c>
      <c r="E374" s="7">
        <f>ROUND('Task 2'!D374*'Task 3'!C374,0)</f>
        <v>84</v>
      </c>
      <c r="F374" s="7">
        <f>VLOOKUP(B374,'Vendor -MOQ- Lead time'!$A$2:$C$45,3,0)</f>
        <v>180</v>
      </c>
      <c r="G374" s="7">
        <f t="shared" si="10"/>
        <v>180</v>
      </c>
      <c r="H374" s="7" t="s">
        <v>0</v>
      </c>
      <c r="I374" s="7" cm="1">
        <f t="array" ref="I374">_xlfn.IFS(H374="25-50%",230,H374="Top 25 %",260,H374="50-75%",200,H374="Last 25%",170,H374="Retire",150)</f>
        <v>170</v>
      </c>
      <c r="J374" s="15">
        <f t="shared" si="11"/>
        <v>30600</v>
      </c>
    </row>
    <row r="375" spans="1:10" x14ac:dyDescent="0.3">
      <c r="A375" s="7" t="s">
        <v>427</v>
      </c>
      <c r="B375" s="7" t="str">
        <f>_xlfn.XLOOKUP(A375,'Vendor code- SKU mapping'!$B$1:$B$806,'Vendor code- SKU mapping'!$A$1:$A$806)</f>
        <v>ISV</v>
      </c>
      <c r="C375" s="7">
        <f>VLOOKUP(B375,'Vendor -MOQ- Lead time'!$A$2:$B$45,2,0)</f>
        <v>45</v>
      </c>
      <c r="D375" s="13">
        <f>ROUND(IF('Task 2'!G375&lt;0,ABS('Task 2'!G375),0),0)</f>
        <v>0</v>
      </c>
      <c r="E375" s="7">
        <f>ROUND('Task 2'!D375*'Task 3'!C375,0)</f>
        <v>74</v>
      </c>
      <c r="F375" s="7">
        <f>VLOOKUP(B375,'Vendor -MOQ- Lead time'!$A$2:$C$45,3,0)</f>
        <v>270</v>
      </c>
      <c r="G375" s="7">
        <f t="shared" si="10"/>
        <v>270</v>
      </c>
      <c r="H375" s="7" t="s">
        <v>0</v>
      </c>
      <c r="I375" s="7" cm="1">
        <f t="array" ref="I375">_xlfn.IFS(H375="25-50%",230,H375="Top 25 %",260,H375="50-75%",200,H375="Last 25%",170,H375="Retire",150)</f>
        <v>170</v>
      </c>
      <c r="J375" s="15">
        <f t="shared" si="11"/>
        <v>45900</v>
      </c>
    </row>
    <row r="376" spans="1:10" x14ac:dyDescent="0.3">
      <c r="A376" s="7" t="s">
        <v>428</v>
      </c>
      <c r="B376" s="7" t="str">
        <f>_xlfn.XLOOKUP(A376,'Vendor code- SKU mapping'!$B$1:$B$806,'Vendor code- SKU mapping'!$A$1:$A$806)</f>
        <v>ORed</v>
      </c>
      <c r="C376" s="7">
        <f>VLOOKUP(B376,'Vendor -MOQ- Lead time'!$A$2:$B$45,2,0)</f>
        <v>30</v>
      </c>
      <c r="D376" s="13">
        <f>ROUND(IF('Task 2'!G376&lt;0,ABS('Task 2'!G376),0),0)</f>
        <v>0</v>
      </c>
      <c r="E376" s="7">
        <f>ROUND('Task 2'!D376*'Task 3'!C376,0)</f>
        <v>31</v>
      </c>
      <c r="F376" s="7">
        <f>VLOOKUP(B376,'Vendor -MOQ- Lead time'!$A$2:$C$45,3,0)</f>
        <v>180</v>
      </c>
      <c r="G376" s="7">
        <f t="shared" si="10"/>
        <v>180</v>
      </c>
      <c r="H376" s="7" t="s">
        <v>0</v>
      </c>
      <c r="I376" s="7" cm="1">
        <f t="array" ref="I376">_xlfn.IFS(H376="25-50%",230,H376="Top 25 %",260,H376="50-75%",200,H376="Last 25%",170,H376="Retire",150)</f>
        <v>170</v>
      </c>
      <c r="J376" s="15">
        <f t="shared" si="11"/>
        <v>30600</v>
      </c>
    </row>
    <row r="377" spans="1:10" x14ac:dyDescent="0.3">
      <c r="A377" s="7" t="s">
        <v>429</v>
      </c>
      <c r="B377" s="7" t="str">
        <f>_xlfn.XLOOKUP(A377,'Vendor code- SKU mapping'!$B$1:$B$806,'Vendor code- SKU mapping'!$A$1:$A$806)</f>
        <v>AAma</v>
      </c>
      <c r="C377" s="7">
        <f>VLOOKUP(B377,'Vendor -MOQ- Lead time'!$A$2:$B$45,2,0)</f>
        <v>45</v>
      </c>
      <c r="D377" s="13">
        <f>ROUND(IF('Task 2'!G377&lt;0,ABS('Task 2'!G377),0),0)</f>
        <v>0</v>
      </c>
      <c r="E377" s="7">
        <f>ROUND('Task 2'!D377*'Task 3'!C377,0)</f>
        <v>51</v>
      </c>
      <c r="F377" s="7">
        <f>VLOOKUP(B377,'Vendor -MOQ- Lead time'!$A$2:$C$45,3,0)</f>
        <v>270</v>
      </c>
      <c r="G377" s="7">
        <f t="shared" si="10"/>
        <v>270</v>
      </c>
      <c r="H377" s="7" t="s">
        <v>0</v>
      </c>
      <c r="I377" s="7" cm="1">
        <f t="array" ref="I377">_xlfn.IFS(H377="25-50%",230,H377="Top 25 %",260,H377="50-75%",200,H377="Last 25%",170,H377="Retire",150)</f>
        <v>170</v>
      </c>
      <c r="J377" s="15">
        <f t="shared" si="11"/>
        <v>45900</v>
      </c>
    </row>
    <row r="378" spans="1:10" x14ac:dyDescent="0.3">
      <c r="A378" s="7" t="s">
        <v>430</v>
      </c>
      <c r="B378" s="7" t="str">
        <f>_xlfn.XLOOKUP(A378,'Vendor code- SKU mapping'!$B$1:$B$806,'Vendor code- SKU mapping'!$A$1:$A$806)</f>
        <v>EGV</v>
      </c>
      <c r="C378" s="7">
        <f>VLOOKUP(B378,'Vendor -MOQ- Lead time'!$A$2:$B$45,2,0)</f>
        <v>45</v>
      </c>
      <c r="D378" s="13">
        <f>ROUND(IF('Task 2'!G378&lt;0,ABS('Task 2'!G378),0),0)</f>
        <v>0</v>
      </c>
      <c r="E378" s="7">
        <f>ROUND('Task 2'!D378*'Task 3'!C378,0)</f>
        <v>32</v>
      </c>
      <c r="F378" s="7">
        <f>VLOOKUP(B378,'Vendor -MOQ- Lead time'!$A$2:$C$45,3,0)</f>
        <v>270</v>
      </c>
      <c r="G378" s="7">
        <f t="shared" si="10"/>
        <v>270</v>
      </c>
      <c r="H378" s="7" t="s">
        <v>0</v>
      </c>
      <c r="I378" s="7" cm="1">
        <f t="array" ref="I378">_xlfn.IFS(H378="25-50%",230,H378="Top 25 %",260,H378="50-75%",200,H378="Last 25%",170,H378="Retire",150)</f>
        <v>170</v>
      </c>
      <c r="J378" s="15">
        <f t="shared" si="11"/>
        <v>45900</v>
      </c>
    </row>
    <row r="379" spans="1:10" x14ac:dyDescent="0.3">
      <c r="A379" s="7" t="s">
        <v>431</v>
      </c>
      <c r="B379" s="7" t="str">
        <f>_xlfn.XLOOKUP(A379,'Vendor code- SKU mapping'!$B$1:$B$806,'Vendor code- SKU mapping'!$A$1:$A$806)</f>
        <v>OSAI</v>
      </c>
      <c r="C379" s="7">
        <f>VLOOKUP(B379,'Vendor -MOQ- Lead time'!$A$2:$B$45,2,0)</f>
        <v>30</v>
      </c>
      <c r="D379" s="13">
        <f>ROUND(IF('Task 2'!G379&lt;0,ABS('Task 2'!G379),0),0)</f>
        <v>0</v>
      </c>
      <c r="E379" s="7">
        <f>ROUND('Task 2'!D379*'Task 3'!C379,0)</f>
        <v>51</v>
      </c>
      <c r="F379" s="7">
        <f>VLOOKUP(B379,'Vendor -MOQ- Lead time'!$A$2:$C$45,3,0)</f>
        <v>180</v>
      </c>
      <c r="G379" s="7">
        <f t="shared" si="10"/>
        <v>180</v>
      </c>
      <c r="H379" s="7" t="s">
        <v>0</v>
      </c>
      <c r="I379" s="7" cm="1">
        <f t="array" ref="I379">_xlfn.IFS(H379="25-50%",230,H379="Top 25 %",260,H379="50-75%",200,H379="Last 25%",170,H379="Retire",150)</f>
        <v>170</v>
      </c>
      <c r="J379" s="15">
        <f t="shared" si="11"/>
        <v>30600</v>
      </c>
    </row>
    <row r="380" spans="1:10" x14ac:dyDescent="0.3">
      <c r="A380" s="7" t="s">
        <v>432</v>
      </c>
      <c r="B380" s="7" t="str">
        <f>_xlfn.XLOOKUP(A380,'Vendor code- SKU mapping'!$B$1:$B$806,'Vendor code- SKU mapping'!$A$1:$A$806)</f>
        <v>OMah</v>
      </c>
      <c r="C380" s="7">
        <f>VLOOKUP(B380,'Vendor -MOQ- Lead time'!$A$2:$B$45,2,0)</f>
        <v>45</v>
      </c>
      <c r="D380" s="13">
        <f>ROUND(IF('Task 2'!G380&lt;0,ABS('Task 2'!G380),0),0)</f>
        <v>0</v>
      </c>
      <c r="E380" s="7">
        <f>ROUND('Task 2'!D380*'Task 3'!C380,0)</f>
        <v>69</v>
      </c>
      <c r="F380" s="7">
        <f>VLOOKUP(B380,'Vendor -MOQ- Lead time'!$A$2:$C$45,3,0)</f>
        <v>270</v>
      </c>
      <c r="G380" s="7">
        <f t="shared" si="10"/>
        <v>270</v>
      </c>
      <c r="H380" s="7" t="s">
        <v>0</v>
      </c>
      <c r="I380" s="7" cm="1">
        <f t="array" ref="I380">_xlfn.IFS(H380="25-50%",230,H380="Top 25 %",260,H380="50-75%",200,H380="Last 25%",170,H380="Retire",150)</f>
        <v>170</v>
      </c>
      <c r="J380" s="15">
        <f t="shared" si="11"/>
        <v>45900</v>
      </c>
    </row>
    <row r="381" spans="1:10" x14ac:dyDescent="0.3">
      <c r="A381" s="7" t="s">
        <v>433</v>
      </c>
      <c r="B381" s="7" t="str">
        <f>_xlfn.XLOOKUP(A381,'Vendor code- SKU mapping'!$B$1:$B$806,'Vendor code- SKU mapping'!$A$1:$A$806)</f>
        <v>OLux</v>
      </c>
      <c r="C381" s="7">
        <f>VLOOKUP(B381,'Vendor -MOQ- Lead time'!$A$2:$B$45,2,0)</f>
        <v>30</v>
      </c>
      <c r="D381" s="13">
        <f>ROUND(IF('Task 2'!G381&lt;0,ABS('Task 2'!G381),0),0)</f>
        <v>0</v>
      </c>
      <c r="E381" s="7">
        <f>ROUND('Task 2'!D381*'Task 3'!C381,0)</f>
        <v>61</v>
      </c>
      <c r="F381" s="7">
        <f>VLOOKUP(B381,'Vendor -MOQ- Lead time'!$A$2:$C$45,3,0)</f>
        <v>180</v>
      </c>
      <c r="G381" s="7">
        <f t="shared" si="10"/>
        <v>180</v>
      </c>
      <c r="H381" s="7" t="s">
        <v>0</v>
      </c>
      <c r="I381" s="7" cm="1">
        <f t="array" ref="I381">_xlfn.IFS(H381="25-50%",230,H381="Top 25 %",260,H381="50-75%",200,H381="Last 25%",170,H381="Retire",150)</f>
        <v>170</v>
      </c>
      <c r="J381" s="15">
        <f t="shared" si="11"/>
        <v>30600</v>
      </c>
    </row>
    <row r="382" spans="1:10" x14ac:dyDescent="0.3">
      <c r="A382" s="7" t="s">
        <v>434</v>
      </c>
      <c r="B382" s="7" t="str">
        <f>_xlfn.XLOOKUP(A382,'Vendor code- SKU mapping'!$B$1:$B$806,'Vendor code- SKU mapping'!$A$1:$A$806)</f>
        <v>OMug</v>
      </c>
      <c r="C382" s="7">
        <f>VLOOKUP(B382,'Vendor -MOQ- Lead time'!$A$2:$B$45,2,0)</f>
        <v>45</v>
      </c>
      <c r="D382" s="13">
        <f>ROUND(IF('Task 2'!G382&lt;0,ABS('Task 2'!G382),0),0)</f>
        <v>0</v>
      </c>
      <c r="E382" s="7">
        <f>ROUND('Task 2'!D382*'Task 3'!C382,0)</f>
        <v>81</v>
      </c>
      <c r="F382" s="7">
        <f>VLOOKUP(B382,'Vendor -MOQ- Lead time'!$A$2:$C$45,3,0)</f>
        <v>270</v>
      </c>
      <c r="G382" s="7">
        <f t="shared" si="10"/>
        <v>270</v>
      </c>
      <c r="H382" s="7" t="s">
        <v>1</v>
      </c>
      <c r="I382" s="7" cm="1">
        <f t="array" ref="I382">_xlfn.IFS(H382="25-50%",230,H382="Top 25 %",260,H382="50-75%",200,H382="Last 25%",170,H382="Retire",150)</f>
        <v>200</v>
      </c>
      <c r="J382" s="15">
        <f t="shared" si="11"/>
        <v>54000</v>
      </c>
    </row>
    <row r="383" spans="1:10" x14ac:dyDescent="0.3">
      <c r="A383" s="7" t="s">
        <v>435</v>
      </c>
      <c r="B383" s="7" t="str">
        <f>_xlfn.XLOOKUP(A383,'Vendor code- SKU mapping'!$B$1:$B$806,'Vendor code- SKU mapping'!$A$1:$A$806)</f>
        <v>ORed</v>
      </c>
      <c r="C383" s="7">
        <f>VLOOKUP(B383,'Vendor -MOQ- Lead time'!$A$2:$B$45,2,0)</f>
        <v>30</v>
      </c>
      <c r="D383" s="13">
        <f>ROUND(IF('Task 2'!G383&lt;0,ABS('Task 2'!G383),0),0)</f>
        <v>0</v>
      </c>
      <c r="E383" s="7">
        <f>ROUND('Task 2'!D383*'Task 3'!C383,0)</f>
        <v>97</v>
      </c>
      <c r="F383" s="7">
        <f>VLOOKUP(B383,'Vendor -MOQ- Lead time'!$A$2:$C$45,3,0)</f>
        <v>180</v>
      </c>
      <c r="G383" s="7">
        <f t="shared" si="10"/>
        <v>180</v>
      </c>
      <c r="H383" s="7" t="s">
        <v>0</v>
      </c>
      <c r="I383" s="7" cm="1">
        <f t="array" ref="I383">_xlfn.IFS(H383="25-50%",230,H383="Top 25 %",260,H383="50-75%",200,H383="Last 25%",170,H383="Retire",150)</f>
        <v>170</v>
      </c>
      <c r="J383" s="15">
        <f t="shared" si="11"/>
        <v>30600</v>
      </c>
    </row>
    <row r="384" spans="1:10" x14ac:dyDescent="0.3">
      <c r="A384" s="7" t="s">
        <v>436</v>
      </c>
      <c r="B384" s="7" t="str">
        <f>_xlfn.XLOOKUP(A384,'Vendor code- SKU mapping'!$B$1:$B$806,'Vendor code- SKU mapping'!$A$1:$A$806)</f>
        <v>OMah</v>
      </c>
      <c r="C384" s="7">
        <f>VLOOKUP(B384,'Vendor -MOQ- Lead time'!$A$2:$B$45,2,0)</f>
        <v>45</v>
      </c>
      <c r="D384" s="13">
        <f>ROUND(IF('Task 2'!G384&lt;0,ABS('Task 2'!G384),0),0)</f>
        <v>0</v>
      </c>
      <c r="E384" s="7">
        <f>ROUND('Task 2'!D384*'Task 3'!C384,0)</f>
        <v>114</v>
      </c>
      <c r="F384" s="7">
        <f>VLOOKUP(B384,'Vendor -MOQ- Lead time'!$A$2:$C$45,3,0)</f>
        <v>270</v>
      </c>
      <c r="G384" s="7">
        <f t="shared" si="10"/>
        <v>270</v>
      </c>
      <c r="H384" s="7" t="s">
        <v>0</v>
      </c>
      <c r="I384" s="7" cm="1">
        <f t="array" ref="I384">_xlfn.IFS(H384="25-50%",230,H384="Top 25 %",260,H384="50-75%",200,H384="Last 25%",170,H384="Retire",150)</f>
        <v>170</v>
      </c>
      <c r="J384" s="15">
        <f t="shared" si="11"/>
        <v>45900</v>
      </c>
    </row>
    <row r="385" spans="1:10" x14ac:dyDescent="0.3">
      <c r="A385" s="7" t="s">
        <v>437</v>
      </c>
      <c r="B385" s="7" t="str">
        <f>_xlfn.XLOOKUP(A385,'Vendor code- SKU mapping'!$B$1:$B$806,'Vendor code- SKU mapping'!$A$1:$A$806)</f>
        <v>OPar</v>
      </c>
      <c r="C385" s="7">
        <f>VLOOKUP(B385,'Vendor -MOQ- Lead time'!$A$2:$B$45,2,0)</f>
        <v>30</v>
      </c>
      <c r="D385" s="13">
        <f>ROUND(IF('Task 2'!G385&lt;0,ABS('Task 2'!G385),0),0)</f>
        <v>0</v>
      </c>
      <c r="E385" s="7">
        <f>ROUND('Task 2'!D385*'Task 3'!C385,0)</f>
        <v>57</v>
      </c>
      <c r="F385" s="7">
        <f>VLOOKUP(B385,'Vendor -MOQ- Lead time'!$A$2:$C$45,3,0)</f>
        <v>180</v>
      </c>
      <c r="G385" s="7">
        <f t="shared" si="10"/>
        <v>180</v>
      </c>
      <c r="H385" s="7" t="s">
        <v>0</v>
      </c>
      <c r="I385" s="7" cm="1">
        <f t="array" ref="I385">_xlfn.IFS(H385="25-50%",230,H385="Top 25 %",260,H385="50-75%",200,H385="Last 25%",170,H385="Retire",150)</f>
        <v>170</v>
      </c>
      <c r="J385" s="15">
        <f t="shared" si="11"/>
        <v>30600</v>
      </c>
    </row>
    <row r="386" spans="1:10" x14ac:dyDescent="0.3">
      <c r="A386" s="7" t="s">
        <v>438</v>
      </c>
      <c r="B386" s="7" t="str">
        <f>_xlfn.XLOOKUP(A386,'Vendor code- SKU mapping'!$B$1:$B$806,'Vendor code- SKU mapping'!$A$1:$A$806)</f>
        <v>EGV</v>
      </c>
      <c r="C386" s="7">
        <f>VLOOKUP(B386,'Vendor -MOQ- Lead time'!$A$2:$B$45,2,0)</f>
        <v>45</v>
      </c>
      <c r="D386" s="13">
        <f>ROUND(IF('Task 2'!G386&lt;0,ABS('Task 2'!G386),0),0)</f>
        <v>0</v>
      </c>
      <c r="E386" s="7">
        <f>ROUND('Task 2'!D386*'Task 3'!C386,0)</f>
        <v>27</v>
      </c>
      <c r="F386" s="7">
        <f>VLOOKUP(B386,'Vendor -MOQ- Lead time'!$A$2:$C$45,3,0)</f>
        <v>270</v>
      </c>
      <c r="G386" s="7">
        <f t="shared" si="10"/>
        <v>270</v>
      </c>
      <c r="H386" s="7" t="s">
        <v>0</v>
      </c>
      <c r="I386" s="7" cm="1">
        <f t="array" ref="I386">_xlfn.IFS(H386="25-50%",230,H386="Top 25 %",260,H386="50-75%",200,H386="Last 25%",170,H386="Retire",150)</f>
        <v>170</v>
      </c>
      <c r="J386" s="15">
        <f t="shared" si="11"/>
        <v>45900</v>
      </c>
    </row>
    <row r="387" spans="1:10" x14ac:dyDescent="0.3">
      <c r="A387" s="7" t="s">
        <v>439</v>
      </c>
      <c r="B387" s="7" t="str">
        <f>_xlfn.XLOOKUP(A387,'Vendor code- SKU mapping'!$B$1:$B$806,'Vendor code- SKU mapping'!$A$1:$A$806)</f>
        <v>ORav</v>
      </c>
      <c r="C387" s="7">
        <f>VLOOKUP(B387,'Vendor -MOQ- Lead time'!$A$2:$B$45,2,0)</f>
        <v>30</v>
      </c>
      <c r="D387" s="13">
        <f>ROUND(IF('Task 2'!G387&lt;0,ABS('Task 2'!G387),0),0)</f>
        <v>0</v>
      </c>
      <c r="E387" s="7">
        <f>ROUND('Task 2'!D387*'Task 3'!C387,0)</f>
        <v>21</v>
      </c>
      <c r="F387" s="7">
        <f>VLOOKUP(B387,'Vendor -MOQ- Lead time'!$A$2:$C$45,3,0)</f>
        <v>180</v>
      </c>
      <c r="G387" s="7">
        <f t="shared" ref="G387:G450" si="12">CEILING(D387+E387,F387)</f>
        <v>180</v>
      </c>
      <c r="H387" s="7" t="s">
        <v>0</v>
      </c>
      <c r="I387" s="7" cm="1">
        <f t="array" ref="I387">_xlfn.IFS(H387="25-50%",230,H387="Top 25 %",260,H387="50-75%",200,H387="Last 25%",170,H387="Retire",150)</f>
        <v>170</v>
      </c>
      <c r="J387" s="15">
        <f t="shared" ref="J387:J450" si="13">G387*I387</f>
        <v>30600</v>
      </c>
    </row>
    <row r="388" spans="1:10" x14ac:dyDescent="0.3">
      <c r="A388" s="7" t="s">
        <v>440</v>
      </c>
      <c r="B388" s="7" t="str">
        <f>_xlfn.XLOOKUP(A388,'Vendor code- SKU mapping'!$B$1:$B$806,'Vendor code- SKU mapping'!$A$1:$A$806)</f>
        <v>OShe</v>
      </c>
      <c r="C388" s="7">
        <f>VLOOKUP(B388,'Vendor -MOQ- Lead time'!$A$2:$B$45,2,0)</f>
        <v>30</v>
      </c>
      <c r="D388" s="13">
        <f>ROUND(IF('Task 2'!G388&lt;0,ABS('Task 2'!G388),0),0)</f>
        <v>0</v>
      </c>
      <c r="E388" s="7">
        <f>ROUND('Task 2'!D388*'Task 3'!C388,0)</f>
        <v>107</v>
      </c>
      <c r="F388" s="7">
        <f>VLOOKUP(B388,'Vendor -MOQ- Lead time'!$A$2:$C$45,3,0)</f>
        <v>180</v>
      </c>
      <c r="G388" s="7">
        <f t="shared" si="12"/>
        <v>180</v>
      </c>
      <c r="H388" s="7" t="s">
        <v>0</v>
      </c>
      <c r="I388" s="7" cm="1">
        <f t="array" ref="I388">_xlfn.IFS(H388="25-50%",230,H388="Top 25 %",260,H388="50-75%",200,H388="Last 25%",170,H388="Retire",150)</f>
        <v>170</v>
      </c>
      <c r="J388" s="15">
        <f t="shared" si="13"/>
        <v>30600</v>
      </c>
    </row>
    <row r="389" spans="1:10" x14ac:dyDescent="0.3">
      <c r="A389" s="7" t="s">
        <v>441</v>
      </c>
      <c r="B389" s="7" t="str">
        <f>_xlfn.XLOOKUP(A389,'Vendor code- SKU mapping'!$B$1:$B$806,'Vendor code- SKU mapping'!$A$1:$A$806)</f>
        <v>ORad</v>
      </c>
      <c r="C389" s="7">
        <f>VLOOKUP(B389,'Vendor -MOQ- Lead time'!$A$2:$B$45,2,0)</f>
        <v>45</v>
      </c>
      <c r="D389" s="13">
        <f>ROUND(IF('Task 2'!G389&lt;0,ABS('Task 2'!G389),0),0)</f>
        <v>181</v>
      </c>
      <c r="E389" s="7">
        <f>ROUND('Task 2'!D389*'Task 3'!C389,0)</f>
        <v>326</v>
      </c>
      <c r="F389" s="7">
        <f>VLOOKUP(B389,'Vendor -MOQ- Lead time'!$A$2:$C$45,3,0)</f>
        <v>270</v>
      </c>
      <c r="G389" s="7">
        <f t="shared" si="12"/>
        <v>540</v>
      </c>
      <c r="H389" s="7" t="s">
        <v>0</v>
      </c>
      <c r="I389" s="7" cm="1">
        <f t="array" ref="I389">_xlfn.IFS(H389="25-50%",230,H389="Top 25 %",260,H389="50-75%",200,H389="Last 25%",170,H389="Retire",150)</f>
        <v>170</v>
      </c>
      <c r="J389" s="15">
        <f t="shared" si="13"/>
        <v>91800</v>
      </c>
    </row>
    <row r="390" spans="1:10" x14ac:dyDescent="0.3">
      <c r="A390" s="7" t="s">
        <v>442</v>
      </c>
      <c r="B390" s="7" t="str">
        <f>_xlfn.XLOOKUP(A390,'Vendor code- SKU mapping'!$B$1:$B$806,'Vendor code- SKU mapping'!$A$1:$A$806)</f>
        <v>OShe</v>
      </c>
      <c r="C390" s="7">
        <f>VLOOKUP(B390,'Vendor -MOQ- Lead time'!$A$2:$B$45,2,0)</f>
        <v>30</v>
      </c>
      <c r="D390" s="13">
        <f>ROUND(IF('Task 2'!G390&lt;0,ABS('Task 2'!G390),0),0)</f>
        <v>0</v>
      </c>
      <c r="E390" s="7">
        <f>ROUND('Task 2'!D390*'Task 3'!C390,0)</f>
        <v>59</v>
      </c>
      <c r="F390" s="7">
        <f>VLOOKUP(B390,'Vendor -MOQ- Lead time'!$A$2:$C$45,3,0)</f>
        <v>180</v>
      </c>
      <c r="G390" s="7">
        <f t="shared" si="12"/>
        <v>180</v>
      </c>
      <c r="H390" s="7" t="s">
        <v>0</v>
      </c>
      <c r="I390" s="7" cm="1">
        <f t="array" ref="I390">_xlfn.IFS(H390="25-50%",230,H390="Top 25 %",260,H390="50-75%",200,H390="Last 25%",170,H390="Retire",150)</f>
        <v>170</v>
      </c>
      <c r="J390" s="15">
        <f t="shared" si="13"/>
        <v>30600</v>
      </c>
    </row>
    <row r="391" spans="1:10" x14ac:dyDescent="0.3">
      <c r="A391" s="7" t="s">
        <v>443</v>
      </c>
      <c r="B391" s="7" t="str">
        <f>_xlfn.XLOOKUP(A391,'Vendor code- SKU mapping'!$B$1:$B$806,'Vendor code- SKU mapping'!$A$1:$A$806)</f>
        <v>ISte</v>
      </c>
      <c r="C391" s="7">
        <f>VLOOKUP(B391,'Vendor -MOQ- Lead time'!$A$2:$B$45,2,0)</f>
        <v>45</v>
      </c>
      <c r="D391" s="13">
        <f>ROUND(IF('Task 2'!G391&lt;0,ABS('Task 2'!G391),0),0)</f>
        <v>0</v>
      </c>
      <c r="E391" s="7">
        <f>ROUND('Task 2'!D391*'Task 3'!C391,0)</f>
        <v>98</v>
      </c>
      <c r="F391" s="7">
        <f>VLOOKUP(B391,'Vendor -MOQ- Lead time'!$A$2:$C$45,3,0)</f>
        <v>270</v>
      </c>
      <c r="G391" s="7">
        <f t="shared" si="12"/>
        <v>270</v>
      </c>
      <c r="H391" s="7" t="s">
        <v>0</v>
      </c>
      <c r="I391" s="7" cm="1">
        <f t="array" ref="I391">_xlfn.IFS(H391="25-50%",230,H391="Top 25 %",260,H391="50-75%",200,H391="Last 25%",170,H391="Retire",150)</f>
        <v>170</v>
      </c>
      <c r="J391" s="15">
        <f t="shared" si="13"/>
        <v>45900</v>
      </c>
    </row>
    <row r="392" spans="1:10" x14ac:dyDescent="0.3">
      <c r="A392" s="7" t="s">
        <v>444</v>
      </c>
      <c r="B392" s="7" t="str">
        <f>_xlfn.XLOOKUP(A392,'Vendor code- SKU mapping'!$B$1:$B$806,'Vendor code- SKU mapping'!$A$1:$A$806)</f>
        <v>AAdi</v>
      </c>
      <c r="C392" s="7">
        <f>VLOOKUP(B392,'Vendor -MOQ- Lead time'!$A$2:$B$45,2,0)</f>
        <v>45</v>
      </c>
      <c r="D392" s="13">
        <f>ROUND(IF('Task 2'!G392&lt;0,ABS('Task 2'!G392),0),0)</f>
        <v>0</v>
      </c>
      <c r="E392" s="7">
        <f>ROUND('Task 2'!D392*'Task 3'!C392,0)</f>
        <v>63</v>
      </c>
      <c r="F392" s="7">
        <f>VLOOKUP(B392,'Vendor -MOQ- Lead time'!$A$2:$C$45,3,0)</f>
        <v>270</v>
      </c>
      <c r="G392" s="7">
        <f t="shared" si="12"/>
        <v>270</v>
      </c>
      <c r="H392" s="7" t="s">
        <v>0</v>
      </c>
      <c r="I392" s="7" cm="1">
        <f t="array" ref="I392">_xlfn.IFS(H392="25-50%",230,H392="Top 25 %",260,H392="50-75%",200,H392="Last 25%",170,H392="Retire",150)</f>
        <v>170</v>
      </c>
      <c r="J392" s="15">
        <f t="shared" si="13"/>
        <v>45900</v>
      </c>
    </row>
    <row r="393" spans="1:10" x14ac:dyDescent="0.3">
      <c r="A393" s="7" t="s">
        <v>445</v>
      </c>
      <c r="B393" s="7" t="str">
        <f>_xlfn.XLOOKUP(A393,'Vendor code- SKU mapping'!$B$1:$B$806,'Vendor code- SKU mapping'!$A$1:$A$806)</f>
        <v>ORed</v>
      </c>
      <c r="C393" s="7">
        <f>VLOOKUP(B393,'Vendor -MOQ- Lead time'!$A$2:$B$45,2,0)</f>
        <v>30</v>
      </c>
      <c r="D393" s="13">
        <f>ROUND(IF('Task 2'!G393&lt;0,ABS('Task 2'!G393),0),0)</f>
        <v>0</v>
      </c>
      <c r="E393" s="7">
        <f>ROUND('Task 2'!D393*'Task 3'!C393,0)</f>
        <v>61</v>
      </c>
      <c r="F393" s="7">
        <f>VLOOKUP(B393,'Vendor -MOQ- Lead time'!$A$2:$C$45,3,0)</f>
        <v>180</v>
      </c>
      <c r="G393" s="7">
        <f t="shared" si="12"/>
        <v>180</v>
      </c>
      <c r="H393" s="7" t="s">
        <v>1</v>
      </c>
      <c r="I393" s="7" cm="1">
        <f t="array" ref="I393">_xlfn.IFS(H393="25-50%",230,H393="Top 25 %",260,H393="50-75%",200,H393="Last 25%",170,H393="Retire",150)</f>
        <v>200</v>
      </c>
      <c r="J393" s="15">
        <f t="shared" si="13"/>
        <v>36000</v>
      </c>
    </row>
    <row r="394" spans="1:10" x14ac:dyDescent="0.3">
      <c r="A394" s="7" t="s">
        <v>446</v>
      </c>
      <c r="B394" s="7" t="str">
        <f>_xlfn.XLOOKUP(A394,'Vendor code- SKU mapping'!$B$1:$B$806,'Vendor code- SKU mapping'!$A$1:$A$806)</f>
        <v>ISte</v>
      </c>
      <c r="C394" s="7">
        <f>VLOOKUP(B394,'Vendor -MOQ- Lead time'!$A$2:$B$45,2,0)</f>
        <v>45</v>
      </c>
      <c r="D394" s="13">
        <f>ROUND(IF('Task 2'!G394&lt;0,ABS('Task 2'!G394),0),0)</f>
        <v>0</v>
      </c>
      <c r="E394" s="7">
        <f>ROUND('Task 2'!D394*'Task 3'!C394,0)</f>
        <v>42</v>
      </c>
      <c r="F394" s="7">
        <f>VLOOKUP(B394,'Vendor -MOQ- Lead time'!$A$2:$C$45,3,0)</f>
        <v>270</v>
      </c>
      <c r="G394" s="7">
        <f t="shared" si="12"/>
        <v>270</v>
      </c>
      <c r="H394" s="7" t="s">
        <v>1</v>
      </c>
      <c r="I394" s="7" cm="1">
        <f t="array" ref="I394">_xlfn.IFS(H394="25-50%",230,H394="Top 25 %",260,H394="50-75%",200,H394="Last 25%",170,H394="Retire",150)</f>
        <v>200</v>
      </c>
      <c r="J394" s="15">
        <f t="shared" si="13"/>
        <v>54000</v>
      </c>
    </row>
    <row r="395" spans="1:10" x14ac:dyDescent="0.3">
      <c r="A395" s="7" t="s">
        <v>447</v>
      </c>
      <c r="B395" s="7" t="str">
        <f>_xlfn.XLOOKUP(A395,'Vendor code- SKU mapping'!$B$1:$B$806,'Vendor code- SKU mapping'!$A$1:$A$806)</f>
        <v>OMug</v>
      </c>
      <c r="C395" s="7">
        <f>VLOOKUP(B395,'Vendor -MOQ- Lead time'!$A$2:$B$45,2,0)</f>
        <v>45</v>
      </c>
      <c r="D395" s="13">
        <f>ROUND(IF('Task 2'!G395&lt;0,ABS('Task 2'!G395),0),0)</f>
        <v>0</v>
      </c>
      <c r="E395" s="7">
        <f>ROUND('Task 2'!D395*'Task 3'!C395,0)</f>
        <v>51</v>
      </c>
      <c r="F395" s="7">
        <f>VLOOKUP(B395,'Vendor -MOQ- Lead time'!$A$2:$C$45,3,0)</f>
        <v>270</v>
      </c>
      <c r="G395" s="7">
        <f t="shared" si="12"/>
        <v>270</v>
      </c>
      <c r="H395" s="7" t="s">
        <v>1</v>
      </c>
      <c r="I395" s="7" cm="1">
        <f t="array" ref="I395">_xlfn.IFS(H395="25-50%",230,H395="Top 25 %",260,H395="50-75%",200,H395="Last 25%",170,H395="Retire",150)</f>
        <v>200</v>
      </c>
      <c r="J395" s="15">
        <f t="shared" si="13"/>
        <v>54000</v>
      </c>
    </row>
    <row r="396" spans="1:10" x14ac:dyDescent="0.3">
      <c r="A396" s="7" t="s">
        <v>448</v>
      </c>
      <c r="B396" s="7" t="str">
        <f>_xlfn.XLOOKUP(A396,'Vendor code- SKU mapping'!$B$1:$B$806,'Vendor code- SKU mapping'!$A$1:$A$806)</f>
        <v>ISV</v>
      </c>
      <c r="C396" s="7">
        <f>VLOOKUP(B396,'Vendor -MOQ- Lead time'!$A$2:$B$45,2,0)</f>
        <v>45</v>
      </c>
      <c r="D396" s="13">
        <f>ROUND(IF('Task 2'!G396&lt;0,ABS('Task 2'!G396),0),0)</f>
        <v>0</v>
      </c>
      <c r="E396" s="7">
        <f>ROUND('Task 2'!D396*'Task 3'!C396,0)</f>
        <v>90</v>
      </c>
      <c r="F396" s="7">
        <f>VLOOKUP(B396,'Vendor -MOQ- Lead time'!$A$2:$C$45,3,0)</f>
        <v>270</v>
      </c>
      <c r="G396" s="7">
        <f t="shared" si="12"/>
        <v>270</v>
      </c>
      <c r="H396" s="7" t="s">
        <v>0</v>
      </c>
      <c r="I396" s="7" cm="1">
        <f t="array" ref="I396">_xlfn.IFS(H396="25-50%",230,H396="Top 25 %",260,H396="50-75%",200,H396="Last 25%",170,H396="Retire",150)</f>
        <v>170</v>
      </c>
      <c r="J396" s="15">
        <f t="shared" si="13"/>
        <v>45900</v>
      </c>
    </row>
    <row r="397" spans="1:10" x14ac:dyDescent="0.3">
      <c r="A397" s="7" t="s">
        <v>449</v>
      </c>
      <c r="B397" s="7" t="str">
        <f>_xlfn.XLOOKUP(A397,'Vendor code- SKU mapping'!$B$1:$B$806,'Vendor code- SKU mapping'!$A$1:$A$806)</f>
        <v>OPar</v>
      </c>
      <c r="C397" s="7">
        <f>VLOOKUP(B397,'Vendor -MOQ- Lead time'!$A$2:$B$45,2,0)</f>
        <v>30</v>
      </c>
      <c r="D397" s="13">
        <f>ROUND(IF('Task 2'!G397&lt;0,ABS('Task 2'!G397),0),0)</f>
        <v>0</v>
      </c>
      <c r="E397" s="7">
        <f>ROUND('Task 2'!D397*'Task 3'!C397,0)</f>
        <v>70</v>
      </c>
      <c r="F397" s="7">
        <f>VLOOKUP(B397,'Vendor -MOQ- Lead time'!$A$2:$C$45,3,0)</f>
        <v>180</v>
      </c>
      <c r="G397" s="7">
        <f t="shared" si="12"/>
        <v>180</v>
      </c>
      <c r="H397" s="7" t="s">
        <v>0</v>
      </c>
      <c r="I397" s="7" cm="1">
        <f t="array" ref="I397">_xlfn.IFS(H397="25-50%",230,H397="Top 25 %",260,H397="50-75%",200,H397="Last 25%",170,H397="Retire",150)</f>
        <v>170</v>
      </c>
      <c r="J397" s="15">
        <f t="shared" si="13"/>
        <v>30600</v>
      </c>
    </row>
    <row r="398" spans="1:10" x14ac:dyDescent="0.3">
      <c r="A398" s="7" t="s">
        <v>450</v>
      </c>
      <c r="B398" s="7" t="str">
        <f>_xlfn.XLOOKUP(A398,'Vendor code- SKU mapping'!$B$1:$B$806,'Vendor code- SKU mapping'!$A$1:$A$806)</f>
        <v>AAFC</v>
      </c>
      <c r="C398" s="7">
        <f>VLOOKUP(B398,'Vendor -MOQ- Lead time'!$A$2:$B$45,2,0)</f>
        <v>45</v>
      </c>
      <c r="D398" s="13">
        <f>ROUND(IF('Task 2'!G398&lt;0,ABS('Task 2'!G398),0),0)</f>
        <v>0</v>
      </c>
      <c r="E398" s="7">
        <f>ROUND('Task 2'!D398*'Task 3'!C398,0)</f>
        <v>26</v>
      </c>
      <c r="F398" s="7">
        <f>VLOOKUP(B398,'Vendor -MOQ- Lead time'!$A$2:$C$45,3,0)</f>
        <v>270</v>
      </c>
      <c r="G398" s="7">
        <f t="shared" si="12"/>
        <v>270</v>
      </c>
      <c r="H398" s="7" t="s">
        <v>0</v>
      </c>
      <c r="I398" s="7" cm="1">
        <f t="array" ref="I398">_xlfn.IFS(H398="25-50%",230,H398="Top 25 %",260,H398="50-75%",200,H398="Last 25%",170,H398="Retire",150)</f>
        <v>170</v>
      </c>
      <c r="J398" s="15">
        <f t="shared" si="13"/>
        <v>45900</v>
      </c>
    </row>
    <row r="399" spans="1:10" x14ac:dyDescent="0.3">
      <c r="A399" s="7" t="s">
        <v>451</v>
      </c>
      <c r="B399" s="7" t="str">
        <f>_xlfn.XLOOKUP(A399,'Vendor code- SKU mapping'!$B$1:$B$806,'Vendor code- SKU mapping'!$A$1:$A$806)</f>
        <v>EGV</v>
      </c>
      <c r="C399" s="7">
        <f>VLOOKUP(B399,'Vendor -MOQ- Lead time'!$A$2:$B$45,2,0)</f>
        <v>45</v>
      </c>
      <c r="D399" s="13">
        <f>ROUND(IF('Task 2'!G399&lt;0,ABS('Task 2'!G399),0),0)</f>
        <v>0</v>
      </c>
      <c r="E399" s="7">
        <f>ROUND('Task 2'!D399*'Task 3'!C399,0)</f>
        <v>24</v>
      </c>
      <c r="F399" s="7">
        <f>VLOOKUP(B399,'Vendor -MOQ- Lead time'!$A$2:$C$45,3,0)</f>
        <v>270</v>
      </c>
      <c r="G399" s="7">
        <f t="shared" si="12"/>
        <v>270</v>
      </c>
      <c r="H399" s="7" t="s">
        <v>0</v>
      </c>
      <c r="I399" s="7" cm="1">
        <f t="array" ref="I399">_xlfn.IFS(H399="25-50%",230,H399="Top 25 %",260,H399="50-75%",200,H399="Last 25%",170,H399="Retire",150)</f>
        <v>170</v>
      </c>
      <c r="J399" s="15">
        <f t="shared" si="13"/>
        <v>45900</v>
      </c>
    </row>
    <row r="400" spans="1:10" x14ac:dyDescent="0.3">
      <c r="A400" s="7" t="s">
        <v>452</v>
      </c>
      <c r="B400" s="7" t="str">
        <f>_xlfn.XLOOKUP(A400,'Vendor code- SKU mapping'!$B$1:$B$806,'Vendor code- SKU mapping'!$A$1:$A$806)</f>
        <v>EFla</v>
      </c>
      <c r="C400" s="7">
        <f>VLOOKUP(B400,'Vendor -MOQ- Lead time'!$A$2:$B$45,2,0)</f>
        <v>90</v>
      </c>
      <c r="D400" s="13">
        <f>ROUND(IF('Task 2'!G400&lt;0,ABS('Task 2'!G400),0),0)</f>
        <v>23</v>
      </c>
      <c r="E400" s="7">
        <f>ROUND('Task 2'!D400*'Task 3'!C400,0)</f>
        <v>294</v>
      </c>
      <c r="F400" s="7">
        <f>VLOOKUP(B400,'Vendor -MOQ- Lead time'!$A$2:$C$45,3,0)</f>
        <v>1440</v>
      </c>
      <c r="G400" s="7">
        <f t="shared" si="12"/>
        <v>1440</v>
      </c>
      <c r="H400" s="7" t="s">
        <v>0</v>
      </c>
      <c r="I400" s="7" cm="1">
        <f t="array" ref="I400">_xlfn.IFS(H400="25-50%",230,H400="Top 25 %",260,H400="50-75%",200,H400="Last 25%",170,H400="Retire",150)</f>
        <v>170</v>
      </c>
      <c r="J400" s="15">
        <f t="shared" si="13"/>
        <v>244800</v>
      </c>
    </row>
    <row r="401" spans="1:10" x14ac:dyDescent="0.3">
      <c r="A401" s="7" t="s">
        <v>453</v>
      </c>
      <c r="B401" s="7" t="str">
        <f>_xlfn.XLOOKUP(A401,'Vendor code- SKU mapping'!$B$1:$B$806,'Vendor code- SKU mapping'!$A$1:$A$806)</f>
        <v>EHei</v>
      </c>
      <c r="C401" s="7">
        <f>VLOOKUP(B401,'Vendor -MOQ- Lead time'!$A$2:$B$45,2,0)</f>
        <v>45</v>
      </c>
      <c r="D401" s="13">
        <f>ROUND(IF('Task 2'!G401&lt;0,ABS('Task 2'!G401),0),0)</f>
        <v>0</v>
      </c>
      <c r="E401" s="7">
        <f>ROUND('Task 2'!D401*'Task 3'!C401,0)</f>
        <v>53</v>
      </c>
      <c r="F401" s="7">
        <f>VLOOKUP(B401,'Vendor -MOQ- Lead time'!$A$2:$C$45,3,0)</f>
        <v>270</v>
      </c>
      <c r="G401" s="7">
        <f t="shared" si="12"/>
        <v>270</v>
      </c>
      <c r="H401" s="7" t="s">
        <v>0</v>
      </c>
      <c r="I401" s="7" cm="1">
        <f t="array" ref="I401">_xlfn.IFS(H401="25-50%",230,H401="Top 25 %",260,H401="50-75%",200,H401="Last 25%",170,H401="Retire",150)</f>
        <v>170</v>
      </c>
      <c r="J401" s="15">
        <f t="shared" si="13"/>
        <v>45900</v>
      </c>
    </row>
    <row r="402" spans="1:10" x14ac:dyDescent="0.3">
      <c r="A402" s="7" t="s">
        <v>454</v>
      </c>
      <c r="B402" s="7" t="str">
        <f>_xlfn.XLOOKUP(A402,'Vendor code- SKU mapping'!$B$1:$B$806,'Vendor code- SKU mapping'!$A$1:$A$806)</f>
        <v>EHei</v>
      </c>
      <c r="C402" s="7">
        <f>VLOOKUP(B402,'Vendor -MOQ- Lead time'!$A$2:$B$45,2,0)</f>
        <v>45</v>
      </c>
      <c r="D402" s="13">
        <f>ROUND(IF('Task 2'!G402&lt;0,ABS('Task 2'!G402),0),0)</f>
        <v>0</v>
      </c>
      <c r="E402" s="7">
        <f>ROUND('Task 2'!D402*'Task 3'!C402,0)</f>
        <v>44</v>
      </c>
      <c r="F402" s="7">
        <f>VLOOKUP(B402,'Vendor -MOQ- Lead time'!$A$2:$C$45,3,0)</f>
        <v>270</v>
      </c>
      <c r="G402" s="7">
        <f t="shared" si="12"/>
        <v>270</v>
      </c>
      <c r="H402" s="7" t="s">
        <v>0</v>
      </c>
      <c r="I402" s="7" cm="1">
        <f t="array" ref="I402">_xlfn.IFS(H402="25-50%",230,H402="Top 25 %",260,H402="50-75%",200,H402="Last 25%",170,H402="Retire",150)</f>
        <v>170</v>
      </c>
      <c r="J402" s="15">
        <f t="shared" si="13"/>
        <v>45900</v>
      </c>
    </row>
    <row r="403" spans="1:10" x14ac:dyDescent="0.3">
      <c r="A403" s="7" t="s">
        <v>455</v>
      </c>
      <c r="B403" s="7" t="str">
        <f>_xlfn.XLOOKUP(A403,'Vendor code- SKU mapping'!$B$1:$B$806,'Vendor code- SKU mapping'!$A$1:$A$806)</f>
        <v>OKP</v>
      </c>
      <c r="C403" s="7">
        <f>VLOOKUP(B403,'Vendor -MOQ- Lead time'!$A$2:$B$45,2,0)</f>
        <v>30</v>
      </c>
      <c r="D403" s="13">
        <f>ROUND(IF('Task 2'!G403&lt;0,ABS('Task 2'!G403),0),0)</f>
        <v>0</v>
      </c>
      <c r="E403" s="7">
        <f>ROUND('Task 2'!D403*'Task 3'!C403,0)</f>
        <v>52</v>
      </c>
      <c r="F403" s="7">
        <f>VLOOKUP(B403,'Vendor -MOQ- Lead time'!$A$2:$C$45,3,0)</f>
        <v>180</v>
      </c>
      <c r="G403" s="7">
        <f t="shared" si="12"/>
        <v>180</v>
      </c>
      <c r="H403" s="7" t="s">
        <v>0</v>
      </c>
      <c r="I403" s="7" cm="1">
        <f t="array" ref="I403">_xlfn.IFS(H403="25-50%",230,H403="Top 25 %",260,H403="50-75%",200,H403="Last 25%",170,H403="Retire",150)</f>
        <v>170</v>
      </c>
      <c r="J403" s="15">
        <f t="shared" si="13"/>
        <v>30600</v>
      </c>
    </row>
    <row r="404" spans="1:10" x14ac:dyDescent="0.3">
      <c r="A404" s="7" t="s">
        <v>456</v>
      </c>
      <c r="B404" s="7" t="str">
        <f>_xlfn.XLOOKUP(A404,'Vendor code- SKU mapping'!$B$1:$B$806,'Vendor code- SKU mapping'!$A$1:$A$806)</f>
        <v>ORed</v>
      </c>
      <c r="C404" s="7">
        <f>VLOOKUP(B404,'Vendor -MOQ- Lead time'!$A$2:$B$45,2,0)</f>
        <v>30</v>
      </c>
      <c r="D404" s="13">
        <f>ROUND(IF('Task 2'!G404&lt;0,ABS('Task 2'!G404),0),0)</f>
        <v>0</v>
      </c>
      <c r="E404" s="7">
        <f>ROUND('Task 2'!D404*'Task 3'!C404,0)</f>
        <v>21</v>
      </c>
      <c r="F404" s="7">
        <f>VLOOKUP(B404,'Vendor -MOQ- Lead time'!$A$2:$C$45,3,0)</f>
        <v>180</v>
      </c>
      <c r="G404" s="7">
        <f t="shared" si="12"/>
        <v>180</v>
      </c>
      <c r="H404" s="7" t="s">
        <v>0</v>
      </c>
      <c r="I404" s="7" cm="1">
        <f t="array" ref="I404">_xlfn.IFS(H404="25-50%",230,H404="Top 25 %",260,H404="50-75%",200,H404="Last 25%",170,H404="Retire",150)</f>
        <v>170</v>
      </c>
      <c r="J404" s="15">
        <f t="shared" si="13"/>
        <v>30600</v>
      </c>
    </row>
    <row r="405" spans="1:10" x14ac:dyDescent="0.3">
      <c r="A405" s="7" t="s">
        <v>457</v>
      </c>
      <c r="B405" s="7" t="str">
        <f>_xlfn.XLOOKUP(A405,'Vendor code- SKU mapping'!$B$1:$B$806,'Vendor code- SKU mapping'!$A$1:$A$806)</f>
        <v>EGV</v>
      </c>
      <c r="C405" s="7">
        <f>VLOOKUP(B405,'Vendor -MOQ- Lead time'!$A$2:$B$45,2,0)</f>
        <v>45</v>
      </c>
      <c r="D405" s="13">
        <f>ROUND(IF('Task 2'!G405&lt;0,ABS('Task 2'!G405),0),0)</f>
        <v>0</v>
      </c>
      <c r="E405" s="7">
        <f>ROUND('Task 2'!D405*'Task 3'!C405,0)</f>
        <v>29</v>
      </c>
      <c r="F405" s="7">
        <f>VLOOKUP(B405,'Vendor -MOQ- Lead time'!$A$2:$C$45,3,0)</f>
        <v>270</v>
      </c>
      <c r="G405" s="7">
        <f t="shared" si="12"/>
        <v>270</v>
      </c>
      <c r="H405" s="7" t="s">
        <v>0</v>
      </c>
      <c r="I405" s="7" cm="1">
        <f t="array" ref="I405">_xlfn.IFS(H405="25-50%",230,H405="Top 25 %",260,H405="50-75%",200,H405="Last 25%",170,H405="Retire",150)</f>
        <v>170</v>
      </c>
      <c r="J405" s="15">
        <f t="shared" si="13"/>
        <v>45900</v>
      </c>
    </row>
    <row r="406" spans="1:10" x14ac:dyDescent="0.3">
      <c r="A406" s="7" t="s">
        <v>458</v>
      </c>
      <c r="B406" s="7" t="str">
        <f>_xlfn.XLOOKUP(A406,'Vendor code- SKU mapping'!$B$1:$B$806,'Vendor code- SKU mapping'!$A$1:$A$806)</f>
        <v>EGV</v>
      </c>
      <c r="C406" s="7">
        <f>VLOOKUP(B406,'Vendor -MOQ- Lead time'!$A$2:$B$45,2,0)</f>
        <v>45</v>
      </c>
      <c r="D406" s="13">
        <f>ROUND(IF('Task 2'!G406&lt;0,ABS('Task 2'!G406),0),0)</f>
        <v>0</v>
      </c>
      <c r="E406" s="7">
        <f>ROUND('Task 2'!D406*'Task 3'!C406,0)</f>
        <v>39</v>
      </c>
      <c r="F406" s="7">
        <f>VLOOKUP(B406,'Vendor -MOQ- Lead time'!$A$2:$C$45,3,0)</f>
        <v>270</v>
      </c>
      <c r="G406" s="7">
        <f t="shared" si="12"/>
        <v>270</v>
      </c>
      <c r="H406" s="7" t="s">
        <v>0</v>
      </c>
      <c r="I406" s="7" cm="1">
        <f t="array" ref="I406">_xlfn.IFS(H406="25-50%",230,H406="Top 25 %",260,H406="50-75%",200,H406="Last 25%",170,H406="Retire",150)</f>
        <v>170</v>
      </c>
      <c r="J406" s="15">
        <f t="shared" si="13"/>
        <v>45900</v>
      </c>
    </row>
    <row r="407" spans="1:10" x14ac:dyDescent="0.3">
      <c r="A407" s="7" t="s">
        <v>459</v>
      </c>
      <c r="B407" s="7" t="str">
        <f>_xlfn.XLOOKUP(A407,'Vendor code- SKU mapping'!$B$1:$B$806,'Vendor code- SKU mapping'!$A$1:$A$806)</f>
        <v>OKri</v>
      </c>
      <c r="C407" s="7">
        <f>VLOOKUP(B407,'Vendor -MOQ- Lead time'!$A$2:$B$45,2,0)</f>
        <v>45</v>
      </c>
      <c r="D407" s="13">
        <f>ROUND(IF('Task 2'!G407&lt;0,ABS('Task 2'!G407),0),0)</f>
        <v>0</v>
      </c>
      <c r="E407" s="7">
        <f>ROUND('Task 2'!D407*'Task 3'!C407,0)</f>
        <v>26</v>
      </c>
      <c r="F407" s="7">
        <f>VLOOKUP(B407,'Vendor -MOQ- Lead time'!$A$2:$C$45,3,0)</f>
        <v>270</v>
      </c>
      <c r="G407" s="7">
        <f t="shared" si="12"/>
        <v>270</v>
      </c>
      <c r="H407" s="7" t="s">
        <v>0</v>
      </c>
      <c r="I407" s="7" cm="1">
        <f t="array" ref="I407">_xlfn.IFS(H407="25-50%",230,H407="Top 25 %",260,H407="50-75%",200,H407="Last 25%",170,H407="Retire",150)</f>
        <v>170</v>
      </c>
      <c r="J407" s="15">
        <f t="shared" si="13"/>
        <v>45900</v>
      </c>
    </row>
    <row r="408" spans="1:10" x14ac:dyDescent="0.3">
      <c r="A408" s="7" t="s">
        <v>460</v>
      </c>
      <c r="B408" s="7" t="str">
        <f>_xlfn.XLOOKUP(A408,'Vendor code- SKU mapping'!$B$1:$B$806,'Vendor code- SKU mapping'!$A$1:$A$806)</f>
        <v>ISRV</v>
      </c>
      <c r="C408" s="7">
        <f>VLOOKUP(B408,'Vendor -MOQ- Lead time'!$A$2:$B$45,2,0)</f>
        <v>90</v>
      </c>
      <c r="D408" s="13">
        <f>ROUND(IF('Task 2'!G408&lt;0,ABS('Task 2'!G408),0),0)</f>
        <v>0</v>
      </c>
      <c r="E408" s="7">
        <f>ROUND('Task 2'!D408*'Task 3'!C408,0)</f>
        <v>54</v>
      </c>
      <c r="F408" s="7">
        <f>VLOOKUP(B408,'Vendor -MOQ- Lead time'!$A$2:$C$45,3,0)</f>
        <v>1440</v>
      </c>
      <c r="G408" s="7">
        <f t="shared" si="12"/>
        <v>1440</v>
      </c>
      <c r="H408" s="7" t="s">
        <v>0</v>
      </c>
      <c r="I408" s="7" cm="1">
        <f t="array" ref="I408">_xlfn.IFS(H408="25-50%",230,H408="Top 25 %",260,H408="50-75%",200,H408="Last 25%",170,H408="Retire",150)</f>
        <v>170</v>
      </c>
      <c r="J408" s="15">
        <f t="shared" si="13"/>
        <v>244800</v>
      </c>
    </row>
    <row r="409" spans="1:10" x14ac:dyDescent="0.3">
      <c r="A409" s="7" t="s">
        <v>461</v>
      </c>
      <c r="B409" s="7" t="str">
        <f>_xlfn.XLOOKUP(A409,'Vendor code- SKU mapping'!$B$1:$B$806,'Vendor code- SKU mapping'!$A$1:$A$806)</f>
        <v>OLux</v>
      </c>
      <c r="C409" s="7">
        <f>VLOOKUP(B409,'Vendor -MOQ- Lead time'!$A$2:$B$45,2,0)</f>
        <v>30</v>
      </c>
      <c r="D409" s="13">
        <f>ROUND(IF('Task 2'!G409&lt;0,ABS('Task 2'!G409),0),0)</f>
        <v>0</v>
      </c>
      <c r="E409" s="7">
        <f>ROUND('Task 2'!D409*'Task 3'!C409,0)</f>
        <v>28</v>
      </c>
      <c r="F409" s="7">
        <f>VLOOKUP(B409,'Vendor -MOQ- Lead time'!$A$2:$C$45,3,0)</f>
        <v>180</v>
      </c>
      <c r="G409" s="7">
        <f t="shared" si="12"/>
        <v>180</v>
      </c>
      <c r="H409" s="7" t="s">
        <v>0</v>
      </c>
      <c r="I409" s="7" cm="1">
        <f t="array" ref="I409">_xlfn.IFS(H409="25-50%",230,H409="Top 25 %",260,H409="50-75%",200,H409="Last 25%",170,H409="Retire",150)</f>
        <v>170</v>
      </c>
      <c r="J409" s="15">
        <f t="shared" si="13"/>
        <v>30600</v>
      </c>
    </row>
    <row r="410" spans="1:10" x14ac:dyDescent="0.3">
      <c r="A410" s="7" t="s">
        <v>462</v>
      </c>
      <c r="B410" s="7" t="str">
        <f>_xlfn.XLOOKUP(A410,'Vendor code- SKU mapping'!$B$1:$B$806,'Vendor code- SKU mapping'!$A$1:$A$806)</f>
        <v>ISte</v>
      </c>
      <c r="C410" s="7">
        <f>VLOOKUP(B410,'Vendor -MOQ- Lead time'!$A$2:$B$45,2,0)</f>
        <v>45</v>
      </c>
      <c r="D410" s="13">
        <f>ROUND(IF('Task 2'!G410&lt;0,ABS('Task 2'!G410),0),0)</f>
        <v>0</v>
      </c>
      <c r="E410" s="7">
        <f>ROUND('Task 2'!D410*'Task 3'!C410,0)</f>
        <v>105</v>
      </c>
      <c r="F410" s="7">
        <f>VLOOKUP(B410,'Vendor -MOQ- Lead time'!$A$2:$C$45,3,0)</f>
        <v>270</v>
      </c>
      <c r="G410" s="7">
        <f t="shared" si="12"/>
        <v>270</v>
      </c>
      <c r="H410" s="7" t="s">
        <v>1</v>
      </c>
      <c r="I410" s="7" cm="1">
        <f t="array" ref="I410">_xlfn.IFS(H410="25-50%",230,H410="Top 25 %",260,H410="50-75%",200,H410="Last 25%",170,H410="Retire",150)</f>
        <v>200</v>
      </c>
      <c r="J410" s="15">
        <f t="shared" si="13"/>
        <v>54000</v>
      </c>
    </row>
    <row r="411" spans="1:10" x14ac:dyDescent="0.3">
      <c r="A411" s="7" t="s">
        <v>463</v>
      </c>
      <c r="B411" s="7" t="str">
        <f>_xlfn.XLOOKUP(A411,'Vendor code- SKU mapping'!$B$1:$B$806,'Vendor code- SKU mapping'!$A$1:$A$806)</f>
        <v>IZoo</v>
      </c>
      <c r="C411" s="7">
        <f>VLOOKUP(B411,'Vendor -MOQ- Lead time'!$A$2:$B$45,2,0)</f>
        <v>90</v>
      </c>
      <c r="D411" s="13">
        <f>ROUND(IF('Task 2'!G411&lt;0,ABS('Task 2'!G411),0),0)</f>
        <v>0</v>
      </c>
      <c r="E411" s="7">
        <f>ROUND('Task 2'!D411*'Task 3'!C411,0)</f>
        <v>123</v>
      </c>
      <c r="F411" s="7">
        <f>VLOOKUP(B411,'Vendor -MOQ- Lead time'!$A$2:$C$45,3,0)</f>
        <v>2880</v>
      </c>
      <c r="G411" s="7">
        <f t="shared" si="12"/>
        <v>2880</v>
      </c>
      <c r="H411" s="7" t="s">
        <v>1</v>
      </c>
      <c r="I411" s="7" cm="1">
        <f t="array" ref="I411">_xlfn.IFS(H411="25-50%",230,H411="Top 25 %",260,H411="50-75%",200,H411="Last 25%",170,H411="Retire",150)</f>
        <v>200</v>
      </c>
      <c r="J411" s="15">
        <f t="shared" si="13"/>
        <v>576000</v>
      </c>
    </row>
    <row r="412" spans="1:10" x14ac:dyDescent="0.3">
      <c r="A412" s="7" t="s">
        <v>464</v>
      </c>
      <c r="B412" s="7" t="str">
        <f>_xlfn.XLOOKUP(A412,'Vendor code- SKU mapping'!$B$1:$B$806,'Vendor code- SKU mapping'!$A$1:$A$806)</f>
        <v>AAma</v>
      </c>
      <c r="C412" s="7">
        <f>VLOOKUP(B412,'Vendor -MOQ- Lead time'!$A$2:$B$45,2,0)</f>
        <v>45</v>
      </c>
      <c r="D412" s="13">
        <f>ROUND(IF('Task 2'!G412&lt;0,ABS('Task 2'!G412),0),0)</f>
        <v>50</v>
      </c>
      <c r="E412" s="7">
        <f>ROUND('Task 2'!D412*'Task 3'!C412,0)</f>
        <v>156</v>
      </c>
      <c r="F412" s="7">
        <f>VLOOKUP(B412,'Vendor -MOQ- Lead time'!$A$2:$C$45,3,0)</f>
        <v>270</v>
      </c>
      <c r="G412" s="7">
        <f t="shared" si="12"/>
        <v>270</v>
      </c>
      <c r="H412" s="7" t="s">
        <v>0</v>
      </c>
      <c r="I412" s="7" cm="1">
        <f t="array" ref="I412">_xlfn.IFS(H412="25-50%",230,H412="Top 25 %",260,H412="50-75%",200,H412="Last 25%",170,H412="Retire",150)</f>
        <v>170</v>
      </c>
      <c r="J412" s="15">
        <f t="shared" si="13"/>
        <v>45900</v>
      </c>
    </row>
    <row r="413" spans="1:10" x14ac:dyDescent="0.3">
      <c r="A413" s="7" t="s">
        <v>465</v>
      </c>
      <c r="B413" s="7" t="str">
        <f>_xlfn.XLOOKUP(A413,'Vendor code- SKU mapping'!$B$1:$B$806,'Vendor code- SKU mapping'!$A$1:$A$806)</f>
        <v>ORed</v>
      </c>
      <c r="C413" s="7">
        <f>VLOOKUP(B413,'Vendor -MOQ- Lead time'!$A$2:$B$45,2,0)</f>
        <v>30</v>
      </c>
      <c r="D413" s="13">
        <f>ROUND(IF('Task 2'!G413&lt;0,ABS('Task 2'!G413),0),0)</f>
        <v>0</v>
      </c>
      <c r="E413" s="7">
        <f>ROUND('Task 2'!D413*'Task 3'!C413,0)</f>
        <v>58</v>
      </c>
      <c r="F413" s="7">
        <f>VLOOKUP(B413,'Vendor -MOQ- Lead time'!$A$2:$C$45,3,0)</f>
        <v>180</v>
      </c>
      <c r="G413" s="7">
        <f t="shared" si="12"/>
        <v>180</v>
      </c>
      <c r="H413" s="7" t="s">
        <v>0</v>
      </c>
      <c r="I413" s="7" cm="1">
        <f t="array" ref="I413">_xlfn.IFS(H413="25-50%",230,H413="Top 25 %",260,H413="50-75%",200,H413="Last 25%",170,H413="Retire",150)</f>
        <v>170</v>
      </c>
      <c r="J413" s="15">
        <f t="shared" si="13"/>
        <v>30600</v>
      </c>
    </row>
    <row r="414" spans="1:10" x14ac:dyDescent="0.3">
      <c r="A414" s="7" t="s">
        <v>466</v>
      </c>
      <c r="B414" s="7" t="str">
        <f>_xlfn.XLOOKUP(A414,'Vendor code- SKU mapping'!$B$1:$B$806,'Vendor code- SKU mapping'!$A$1:$A$806)</f>
        <v>EHei</v>
      </c>
      <c r="C414" s="7">
        <f>VLOOKUP(B414,'Vendor -MOQ- Lead time'!$A$2:$B$45,2,0)</f>
        <v>45</v>
      </c>
      <c r="D414" s="13">
        <f>ROUND(IF('Task 2'!G414&lt;0,ABS('Task 2'!G414),0),0)</f>
        <v>0</v>
      </c>
      <c r="E414" s="7">
        <f>ROUND('Task 2'!D414*'Task 3'!C414,0)</f>
        <v>74</v>
      </c>
      <c r="F414" s="7">
        <f>VLOOKUP(B414,'Vendor -MOQ- Lead time'!$A$2:$C$45,3,0)</f>
        <v>270</v>
      </c>
      <c r="G414" s="7">
        <f t="shared" si="12"/>
        <v>270</v>
      </c>
      <c r="H414" s="7" t="s">
        <v>0</v>
      </c>
      <c r="I414" s="7" cm="1">
        <f t="array" ref="I414">_xlfn.IFS(H414="25-50%",230,H414="Top 25 %",260,H414="50-75%",200,H414="Last 25%",170,H414="Retire",150)</f>
        <v>170</v>
      </c>
      <c r="J414" s="15">
        <f t="shared" si="13"/>
        <v>45900</v>
      </c>
    </row>
    <row r="415" spans="1:10" x14ac:dyDescent="0.3">
      <c r="A415" s="7" t="s">
        <v>467</v>
      </c>
      <c r="B415" s="7" t="str">
        <f>_xlfn.XLOOKUP(A415,'Vendor code- SKU mapping'!$B$1:$B$806,'Vendor code- SKU mapping'!$A$1:$A$806)</f>
        <v>OMah</v>
      </c>
      <c r="C415" s="7">
        <f>VLOOKUP(B415,'Vendor -MOQ- Lead time'!$A$2:$B$45,2,0)</f>
        <v>45</v>
      </c>
      <c r="D415" s="13">
        <f>ROUND(IF('Task 2'!G415&lt;0,ABS('Task 2'!G415),0),0)</f>
        <v>0</v>
      </c>
      <c r="E415" s="7">
        <f>ROUND('Task 2'!D415*'Task 3'!C415,0)</f>
        <v>78</v>
      </c>
      <c r="F415" s="7">
        <f>VLOOKUP(B415,'Vendor -MOQ- Lead time'!$A$2:$C$45,3,0)</f>
        <v>270</v>
      </c>
      <c r="G415" s="7">
        <f t="shared" si="12"/>
        <v>270</v>
      </c>
      <c r="H415" s="7" t="s">
        <v>0</v>
      </c>
      <c r="I415" s="7" cm="1">
        <f t="array" ref="I415">_xlfn.IFS(H415="25-50%",230,H415="Top 25 %",260,H415="50-75%",200,H415="Last 25%",170,H415="Retire",150)</f>
        <v>170</v>
      </c>
      <c r="J415" s="15">
        <f t="shared" si="13"/>
        <v>45900</v>
      </c>
    </row>
    <row r="416" spans="1:10" x14ac:dyDescent="0.3">
      <c r="A416" s="7" t="s">
        <v>468</v>
      </c>
      <c r="B416" s="7" t="str">
        <f>_xlfn.XLOOKUP(A416,'Vendor code- SKU mapping'!$B$1:$B$806,'Vendor code- SKU mapping'!$A$1:$A$806)</f>
        <v>EDaz</v>
      </c>
      <c r="C416" s="7">
        <f>VLOOKUP(B416,'Vendor -MOQ- Lead time'!$A$2:$B$45,2,0)</f>
        <v>30</v>
      </c>
      <c r="D416" s="13">
        <f>ROUND(IF('Task 2'!G416&lt;0,ABS('Task 2'!G416),0),0)</f>
        <v>0</v>
      </c>
      <c r="E416" s="7">
        <f>ROUND('Task 2'!D416*'Task 3'!C416,0)</f>
        <v>43</v>
      </c>
      <c r="F416" s="7">
        <f>VLOOKUP(B416,'Vendor -MOQ- Lead time'!$A$2:$C$45,3,0)</f>
        <v>180</v>
      </c>
      <c r="G416" s="7">
        <f t="shared" si="12"/>
        <v>180</v>
      </c>
      <c r="H416" s="7" t="s">
        <v>0</v>
      </c>
      <c r="I416" s="7" cm="1">
        <f t="array" ref="I416">_xlfn.IFS(H416="25-50%",230,H416="Top 25 %",260,H416="50-75%",200,H416="Last 25%",170,H416="Retire",150)</f>
        <v>170</v>
      </c>
      <c r="J416" s="15">
        <f t="shared" si="13"/>
        <v>30600</v>
      </c>
    </row>
    <row r="417" spans="1:10" x14ac:dyDescent="0.3">
      <c r="A417" s="7" t="s">
        <v>469</v>
      </c>
      <c r="B417" s="7" t="str">
        <f>_xlfn.XLOOKUP(A417,'Vendor code- SKU mapping'!$B$1:$B$806,'Vendor code- SKU mapping'!$A$1:$A$806)</f>
        <v>ISte</v>
      </c>
      <c r="C417" s="7">
        <f>VLOOKUP(B417,'Vendor -MOQ- Lead time'!$A$2:$B$45,2,0)</f>
        <v>45</v>
      </c>
      <c r="D417" s="13">
        <f>ROUND(IF('Task 2'!G417&lt;0,ABS('Task 2'!G417),0),0)</f>
        <v>0</v>
      </c>
      <c r="E417" s="7">
        <f>ROUND('Task 2'!D417*'Task 3'!C417,0)</f>
        <v>54</v>
      </c>
      <c r="F417" s="7">
        <f>VLOOKUP(B417,'Vendor -MOQ- Lead time'!$A$2:$C$45,3,0)</f>
        <v>270</v>
      </c>
      <c r="G417" s="7">
        <f t="shared" si="12"/>
        <v>270</v>
      </c>
      <c r="H417" s="7" t="s">
        <v>0</v>
      </c>
      <c r="I417" s="7" cm="1">
        <f t="array" ref="I417">_xlfn.IFS(H417="25-50%",230,H417="Top 25 %",260,H417="50-75%",200,H417="Last 25%",170,H417="Retire",150)</f>
        <v>170</v>
      </c>
      <c r="J417" s="15">
        <f t="shared" si="13"/>
        <v>45900</v>
      </c>
    </row>
    <row r="418" spans="1:10" x14ac:dyDescent="0.3">
      <c r="A418" s="7" t="s">
        <v>470</v>
      </c>
      <c r="B418" s="7" t="str">
        <f>_xlfn.XLOOKUP(A418,'Vendor code- SKU mapping'!$B$1:$B$806,'Vendor code- SKU mapping'!$A$1:$A$806)</f>
        <v>EGV</v>
      </c>
      <c r="C418" s="7">
        <f>VLOOKUP(B418,'Vendor -MOQ- Lead time'!$A$2:$B$45,2,0)</f>
        <v>45</v>
      </c>
      <c r="D418" s="13">
        <f>ROUND(IF('Task 2'!G418&lt;0,ABS('Task 2'!G418),0),0)</f>
        <v>0</v>
      </c>
      <c r="E418" s="7">
        <f>ROUND('Task 2'!D418*'Task 3'!C418,0)</f>
        <v>48</v>
      </c>
      <c r="F418" s="7">
        <f>VLOOKUP(B418,'Vendor -MOQ- Lead time'!$A$2:$C$45,3,0)</f>
        <v>270</v>
      </c>
      <c r="G418" s="7">
        <f t="shared" si="12"/>
        <v>270</v>
      </c>
      <c r="H418" s="7" t="s">
        <v>0</v>
      </c>
      <c r="I418" s="7" cm="1">
        <f t="array" ref="I418">_xlfn.IFS(H418="25-50%",230,H418="Top 25 %",260,H418="50-75%",200,H418="Last 25%",170,H418="Retire",150)</f>
        <v>170</v>
      </c>
      <c r="J418" s="15">
        <f t="shared" si="13"/>
        <v>45900</v>
      </c>
    </row>
    <row r="419" spans="1:10" x14ac:dyDescent="0.3">
      <c r="A419" s="7" t="s">
        <v>471</v>
      </c>
      <c r="B419" s="7" t="str">
        <f>_xlfn.XLOOKUP(A419,'Vendor code- SKU mapping'!$B$1:$B$806,'Vendor code- SKU mapping'!$A$1:$A$806)</f>
        <v>AAma</v>
      </c>
      <c r="C419" s="7">
        <f>VLOOKUP(B419,'Vendor -MOQ- Lead time'!$A$2:$B$45,2,0)</f>
        <v>45</v>
      </c>
      <c r="D419" s="13">
        <f>ROUND(IF('Task 2'!G419&lt;0,ABS('Task 2'!G419),0),0)</f>
        <v>0</v>
      </c>
      <c r="E419" s="7">
        <f>ROUND('Task 2'!D419*'Task 3'!C419,0)</f>
        <v>53</v>
      </c>
      <c r="F419" s="7">
        <f>VLOOKUP(B419,'Vendor -MOQ- Lead time'!$A$2:$C$45,3,0)</f>
        <v>270</v>
      </c>
      <c r="G419" s="7">
        <f t="shared" si="12"/>
        <v>270</v>
      </c>
      <c r="H419" s="7" t="s">
        <v>0</v>
      </c>
      <c r="I419" s="7" cm="1">
        <f t="array" ref="I419">_xlfn.IFS(H419="25-50%",230,H419="Top 25 %",260,H419="50-75%",200,H419="Last 25%",170,H419="Retire",150)</f>
        <v>170</v>
      </c>
      <c r="J419" s="15">
        <f t="shared" si="13"/>
        <v>45900</v>
      </c>
    </row>
    <row r="420" spans="1:10" x14ac:dyDescent="0.3">
      <c r="A420" s="7" t="s">
        <v>472</v>
      </c>
      <c r="B420" s="7" t="str">
        <f>_xlfn.XLOOKUP(A420,'Vendor code- SKU mapping'!$B$1:$B$806,'Vendor code- SKU mapping'!$A$1:$A$806)</f>
        <v>ORad</v>
      </c>
      <c r="C420" s="7">
        <f>VLOOKUP(B420,'Vendor -MOQ- Lead time'!$A$2:$B$45,2,0)</f>
        <v>45</v>
      </c>
      <c r="D420" s="13">
        <f>ROUND(IF('Task 2'!G420&lt;0,ABS('Task 2'!G420),0),0)</f>
        <v>0</v>
      </c>
      <c r="E420" s="7">
        <f>ROUND('Task 2'!D420*'Task 3'!C420,0)</f>
        <v>38</v>
      </c>
      <c r="F420" s="7">
        <f>VLOOKUP(B420,'Vendor -MOQ- Lead time'!$A$2:$C$45,3,0)</f>
        <v>270</v>
      </c>
      <c r="G420" s="7">
        <f t="shared" si="12"/>
        <v>270</v>
      </c>
      <c r="H420" s="7" t="s">
        <v>0</v>
      </c>
      <c r="I420" s="7" cm="1">
        <f t="array" ref="I420">_xlfn.IFS(H420="25-50%",230,H420="Top 25 %",260,H420="50-75%",200,H420="Last 25%",170,H420="Retire",150)</f>
        <v>170</v>
      </c>
      <c r="J420" s="15">
        <f t="shared" si="13"/>
        <v>45900</v>
      </c>
    </row>
    <row r="421" spans="1:10" x14ac:dyDescent="0.3">
      <c r="A421" s="7" t="s">
        <v>473</v>
      </c>
      <c r="B421" s="7" t="str">
        <f>_xlfn.XLOOKUP(A421,'Vendor code- SKU mapping'!$B$1:$B$806,'Vendor code- SKU mapping'!$A$1:$A$806)</f>
        <v>ORav</v>
      </c>
      <c r="C421" s="7">
        <f>VLOOKUP(B421,'Vendor -MOQ- Lead time'!$A$2:$B$45,2,0)</f>
        <v>30</v>
      </c>
      <c r="D421" s="13">
        <f>ROUND(IF('Task 2'!G421&lt;0,ABS('Task 2'!G421),0),0)</f>
        <v>0</v>
      </c>
      <c r="E421" s="7">
        <f>ROUND('Task 2'!D421*'Task 3'!C421,0)</f>
        <v>27</v>
      </c>
      <c r="F421" s="7">
        <f>VLOOKUP(B421,'Vendor -MOQ- Lead time'!$A$2:$C$45,3,0)</f>
        <v>180</v>
      </c>
      <c r="G421" s="7">
        <f t="shared" si="12"/>
        <v>180</v>
      </c>
      <c r="H421" s="7" t="s">
        <v>0</v>
      </c>
      <c r="I421" s="7" cm="1">
        <f t="array" ref="I421">_xlfn.IFS(H421="25-50%",230,H421="Top 25 %",260,H421="50-75%",200,H421="Last 25%",170,H421="Retire",150)</f>
        <v>170</v>
      </c>
      <c r="J421" s="15">
        <f t="shared" si="13"/>
        <v>30600</v>
      </c>
    </row>
    <row r="422" spans="1:10" x14ac:dyDescent="0.3">
      <c r="A422" s="7" t="s">
        <v>474</v>
      </c>
      <c r="B422" s="7" t="str">
        <f>_xlfn.XLOOKUP(A422,'Vendor code- SKU mapping'!$B$1:$B$806,'Vendor code- SKU mapping'!$A$1:$A$806)</f>
        <v>ORed</v>
      </c>
      <c r="C422" s="7">
        <f>VLOOKUP(B422,'Vendor -MOQ- Lead time'!$A$2:$B$45,2,0)</f>
        <v>30</v>
      </c>
      <c r="D422" s="13">
        <f>ROUND(IF('Task 2'!G422&lt;0,ABS('Task 2'!G422),0),0)</f>
        <v>0</v>
      </c>
      <c r="E422" s="7">
        <f>ROUND('Task 2'!D422*'Task 3'!C422,0)</f>
        <v>27</v>
      </c>
      <c r="F422" s="7">
        <f>VLOOKUP(B422,'Vendor -MOQ- Lead time'!$A$2:$C$45,3,0)</f>
        <v>180</v>
      </c>
      <c r="G422" s="7">
        <f t="shared" si="12"/>
        <v>180</v>
      </c>
      <c r="H422" s="7" t="s">
        <v>0</v>
      </c>
      <c r="I422" s="7" cm="1">
        <f t="array" ref="I422">_xlfn.IFS(H422="25-50%",230,H422="Top 25 %",260,H422="50-75%",200,H422="Last 25%",170,H422="Retire",150)</f>
        <v>170</v>
      </c>
      <c r="J422" s="15">
        <f t="shared" si="13"/>
        <v>30600</v>
      </c>
    </row>
    <row r="423" spans="1:10" x14ac:dyDescent="0.3">
      <c r="A423" s="7" t="s">
        <v>475</v>
      </c>
      <c r="B423" s="7" t="str">
        <f>_xlfn.XLOOKUP(A423,'Vendor code- SKU mapping'!$B$1:$B$806,'Vendor code- SKU mapping'!$A$1:$A$806)</f>
        <v>ORed</v>
      </c>
      <c r="C423" s="7">
        <f>VLOOKUP(B423,'Vendor -MOQ- Lead time'!$A$2:$B$45,2,0)</f>
        <v>30</v>
      </c>
      <c r="D423" s="13">
        <f>ROUND(IF('Task 2'!G423&lt;0,ABS('Task 2'!G423),0),0)</f>
        <v>0</v>
      </c>
      <c r="E423" s="7">
        <f>ROUND('Task 2'!D423*'Task 3'!C423,0)</f>
        <v>20</v>
      </c>
      <c r="F423" s="7">
        <f>VLOOKUP(B423,'Vendor -MOQ- Lead time'!$A$2:$C$45,3,0)</f>
        <v>180</v>
      </c>
      <c r="G423" s="7">
        <f t="shared" si="12"/>
        <v>180</v>
      </c>
      <c r="H423" s="7" t="s">
        <v>0</v>
      </c>
      <c r="I423" s="7" cm="1">
        <f t="array" ref="I423">_xlfn.IFS(H423="25-50%",230,H423="Top 25 %",260,H423="50-75%",200,H423="Last 25%",170,H423="Retire",150)</f>
        <v>170</v>
      </c>
      <c r="J423" s="15">
        <f t="shared" si="13"/>
        <v>30600</v>
      </c>
    </row>
    <row r="424" spans="1:10" x14ac:dyDescent="0.3">
      <c r="A424" s="7" t="s">
        <v>476</v>
      </c>
      <c r="B424" s="7" t="str">
        <f>_xlfn.XLOOKUP(A424,'Vendor code- SKU mapping'!$B$1:$B$806,'Vendor code- SKU mapping'!$A$1:$A$806)</f>
        <v>OLux</v>
      </c>
      <c r="C424" s="7">
        <f>VLOOKUP(B424,'Vendor -MOQ- Lead time'!$A$2:$B$45,2,0)</f>
        <v>30</v>
      </c>
      <c r="D424" s="13">
        <f>ROUND(IF('Task 2'!G424&lt;0,ABS('Task 2'!G424),0),0)</f>
        <v>0</v>
      </c>
      <c r="E424" s="7">
        <f>ROUND('Task 2'!D424*'Task 3'!C424,0)</f>
        <v>22</v>
      </c>
      <c r="F424" s="7">
        <f>VLOOKUP(B424,'Vendor -MOQ- Lead time'!$A$2:$C$45,3,0)</f>
        <v>180</v>
      </c>
      <c r="G424" s="7">
        <f t="shared" si="12"/>
        <v>180</v>
      </c>
      <c r="H424" s="7" t="s">
        <v>0</v>
      </c>
      <c r="I424" s="7" cm="1">
        <f t="array" ref="I424">_xlfn.IFS(H424="25-50%",230,H424="Top 25 %",260,H424="50-75%",200,H424="Last 25%",170,H424="Retire",150)</f>
        <v>170</v>
      </c>
      <c r="J424" s="15">
        <f t="shared" si="13"/>
        <v>30600</v>
      </c>
    </row>
    <row r="425" spans="1:10" x14ac:dyDescent="0.3">
      <c r="A425" s="7" t="s">
        <v>477</v>
      </c>
      <c r="B425" s="7" t="str">
        <f>_xlfn.XLOOKUP(A425,'Vendor code- SKU mapping'!$B$1:$B$806,'Vendor code- SKU mapping'!$A$1:$A$806)</f>
        <v>AAFC</v>
      </c>
      <c r="C425" s="7">
        <f>VLOOKUP(B425,'Vendor -MOQ- Lead time'!$A$2:$B$45,2,0)</f>
        <v>45</v>
      </c>
      <c r="D425" s="13">
        <f>ROUND(IF('Task 2'!G425&lt;0,ABS('Task 2'!G425),0),0)</f>
        <v>0</v>
      </c>
      <c r="E425" s="7">
        <f>ROUND('Task 2'!D425*'Task 3'!C425,0)</f>
        <v>18</v>
      </c>
      <c r="F425" s="7">
        <f>VLOOKUP(B425,'Vendor -MOQ- Lead time'!$A$2:$C$45,3,0)</f>
        <v>270</v>
      </c>
      <c r="G425" s="7">
        <f t="shared" si="12"/>
        <v>270</v>
      </c>
      <c r="H425" s="7" t="s">
        <v>0</v>
      </c>
      <c r="I425" s="7" cm="1">
        <f t="array" ref="I425">_xlfn.IFS(H425="25-50%",230,H425="Top 25 %",260,H425="50-75%",200,H425="Last 25%",170,H425="Retire",150)</f>
        <v>170</v>
      </c>
      <c r="J425" s="15">
        <f t="shared" si="13"/>
        <v>45900</v>
      </c>
    </row>
    <row r="426" spans="1:10" x14ac:dyDescent="0.3">
      <c r="A426" s="7" t="s">
        <v>478</v>
      </c>
      <c r="B426" s="7" t="str">
        <f>_xlfn.XLOOKUP(A426,'Vendor code- SKU mapping'!$B$1:$B$806,'Vendor code- SKU mapping'!$A$1:$A$806)</f>
        <v>OSha</v>
      </c>
      <c r="C426" s="7">
        <f>VLOOKUP(B426,'Vendor -MOQ- Lead time'!$A$2:$B$45,2,0)</f>
        <v>45</v>
      </c>
      <c r="D426" s="13">
        <f>ROUND(IF('Task 2'!G426&lt;0,ABS('Task 2'!G426),0),0)</f>
        <v>0</v>
      </c>
      <c r="E426" s="7">
        <f>ROUND('Task 2'!D426*'Task 3'!C426,0)</f>
        <v>33</v>
      </c>
      <c r="F426" s="7">
        <f>VLOOKUP(B426,'Vendor -MOQ- Lead time'!$A$2:$C$45,3,0)</f>
        <v>270</v>
      </c>
      <c r="G426" s="7">
        <f t="shared" si="12"/>
        <v>270</v>
      </c>
      <c r="H426" s="7" t="s">
        <v>3</v>
      </c>
      <c r="I426" s="7" cm="1">
        <f t="array" ref="I426">_xlfn.IFS(H426="25-50%",230,H426="Top 25 %",260,H426="50-75%",200,H426="Last 25%",170,H426="Retire",150)</f>
        <v>150</v>
      </c>
      <c r="J426" s="15">
        <f t="shared" si="13"/>
        <v>40500</v>
      </c>
    </row>
    <row r="427" spans="1:10" x14ac:dyDescent="0.3">
      <c r="A427" s="7" t="s">
        <v>479</v>
      </c>
      <c r="B427" s="7" t="str">
        <f>_xlfn.XLOOKUP(A427,'Vendor code- SKU mapping'!$B$1:$B$806,'Vendor code- SKU mapping'!$A$1:$A$806)</f>
        <v>EJSK</v>
      </c>
      <c r="C427" s="7">
        <f>VLOOKUP(B427,'Vendor -MOQ- Lead time'!$A$2:$B$45,2,0)</f>
        <v>45</v>
      </c>
      <c r="D427" s="13">
        <f>ROUND(IF('Task 2'!G427&lt;0,ABS('Task 2'!G427),0),0)</f>
        <v>2</v>
      </c>
      <c r="E427" s="7">
        <f>ROUND('Task 2'!D427*'Task 3'!C427,0)</f>
        <v>71</v>
      </c>
      <c r="F427" s="7">
        <f>VLOOKUP(B427,'Vendor -MOQ- Lead time'!$A$2:$C$45,3,0)</f>
        <v>270</v>
      </c>
      <c r="G427" s="7">
        <f t="shared" si="12"/>
        <v>270</v>
      </c>
      <c r="H427" s="7" t="s">
        <v>0</v>
      </c>
      <c r="I427" s="7" cm="1">
        <f t="array" ref="I427">_xlfn.IFS(H427="25-50%",230,H427="Top 25 %",260,H427="50-75%",200,H427="Last 25%",170,H427="Retire",150)</f>
        <v>170</v>
      </c>
      <c r="J427" s="15">
        <f t="shared" si="13"/>
        <v>45900</v>
      </c>
    </row>
    <row r="428" spans="1:10" x14ac:dyDescent="0.3">
      <c r="A428" s="7" t="s">
        <v>480</v>
      </c>
      <c r="B428" s="7" t="str">
        <f>_xlfn.XLOOKUP(A428,'Vendor code- SKU mapping'!$B$1:$B$806,'Vendor code- SKU mapping'!$A$1:$A$806)</f>
        <v>EGV</v>
      </c>
      <c r="C428" s="7">
        <f>VLOOKUP(B428,'Vendor -MOQ- Lead time'!$A$2:$B$45,2,0)</f>
        <v>45</v>
      </c>
      <c r="D428" s="13">
        <f>ROUND(IF('Task 2'!G428&lt;0,ABS('Task 2'!G428),0),0)</f>
        <v>0</v>
      </c>
      <c r="E428" s="7">
        <f>ROUND('Task 2'!D428*'Task 3'!C428,0)</f>
        <v>62</v>
      </c>
      <c r="F428" s="7">
        <f>VLOOKUP(B428,'Vendor -MOQ- Lead time'!$A$2:$C$45,3,0)</f>
        <v>270</v>
      </c>
      <c r="G428" s="7">
        <f t="shared" si="12"/>
        <v>270</v>
      </c>
      <c r="H428" s="7" t="s">
        <v>0</v>
      </c>
      <c r="I428" s="7" cm="1">
        <f t="array" ref="I428">_xlfn.IFS(H428="25-50%",230,H428="Top 25 %",260,H428="50-75%",200,H428="Last 25%",170,H428="Retire",150)</f>
        <v>170</v>
      </c>
      <c r="J428" s="15">
        <f t="shared" si="13"/>
        <v>45900</v>
      </c>
    </row>
    <row r="429" spans="1:10" x14ac:dyDescent="0.3">
      <c r="A429" s="7" t="s">
        <v>481</v>
      </c>
      <c r="B429" s="7" t="str">
        <f>_xlfn.XLOOKUP(A429,'Vendor code- SKU mapping'!$B$1:$B$806,'Vendor code- SKU mapping'!$A$1:$A$806)</f>
        <v>ISV</v>
      </c>
      <c r="C429" s="7">
        <f>VLOOKUP(B429,'Vendor -MOQ- Lead time'!$A$2:$B$45,2,0)</f>
        <v>45</v>
      </c>
      <c r="D429" s="13">
        <f>ROUND(IF('Task 2'!G429&lt;0,ABS('Task 2'!G429),0),0)</f>
        <v>0</v>
      </c>
      <c r="E429" s="7">
        <f>ROUND('Task 2'!D429*'Task 3'!C429,0)</f>
        <v>60</v>
      </c>
      <c r="F429" s="7">
        <f>VLOOKUP(B429,'Vendor -MOQ- Lead time'!$A$2:$C$45,3,0)</f>
        <v>270</v>
      </c>
      <c r="G429" s="7">
        <f t="shared" si="12"/>
        <v>270</v>
      </c>
      <c r="H429" s="7" t="s">
        <v>0</v>
      </c>
      <c r="I429" s="7" cm="1">
        <f t="array" ref="I429">_xlfn.IFS(H429="25-50%",230,H429="Top 25 %",260,H429="50-75%",200,H429="Last 25%",170,H429="Retire",150)</f>
        <v>170</v>
      </c>
      <c r="J429" s="15">
        <f t="shared" si="13"/>
        <v>45900</v>
      </c>
    </row>
    <row r="430" spans="1:10" x14ac:dyDescent="0.3">
      <c r="A430" s="7" t="s">
        <v>482</v>
      </c>
      <c r="B430" s="7" t="str">
        <f>_xlfn.XLOOKUP(A430,'Vendor code- SKU mapping'!$B$1:$B$806,'Vendor code- SKU mapping'!$A$1:$A$806)</f>
        <v>AAma</v>
      </c>
      <c r="C430" s="7">
        <f>VLOOKUP(B430,'Vendor -MOQ- Lead time'!$A$2:$B$45,2,0)</f>
        <v>45</v>
      </c>
      <c r="D430" s="13">
        <f>ROUND(IF('Task 2'!G430&lt;0,ABS('Task 2'!G430),0),0)</f>
        <v>0</v>
      </c>
      <c r="E430" s="7">
        <f>ROUND('Task 2'!D430*'Task 3'!C430,0)</f>
        <v>69</v>
      </c>
      <c r="F430" s="7">
        <f>VLOOKUP(B430,'Vendor -MOQ- Lead time'!$A$2:$C$45,3,0)</f>
        <v>270</v>
      </c>
      <c r="G430" s="7">
        <f t="shared" si="12"/>
        <v>270</v>
      </c>
      <c r="H430" s="7" t="s">
        <v>0</v>
      </c>
      <c r="I430" s="7" cm="1">
        <f t="array" ref="I430">_xlfn.IFS(H430="25-50%",230,H430="Top 25 %",260,H430="50-75%",200,H430="Last 25%",170,H430="Retire",150)</f>
        <v>170</v>
      </c>
      <c r="J430" s="15">
        <f t="shared" si="13"/>
        <v>45900</v>
      </c>
    </row>
    <row r="431" spans="1:10" x14ac:dyDescent="0.3">
      <c r="A431" s="7" t="s">
        <v>483</v>
      </c>
      <c r="B431" s="7" t="str">
        <f>_xlfn.XLOOKUP(A431,'Vendor code- SKU mapping'!$B$1:$B$806,'Vendor code- SKU mapping'!$A$1:$A$806)</f>
        <v>ORav</v>
      </c>
      <c r="C431" s="7">
        <f>VLOOKUP(B431,'Vendor -MOQ- Lead time'!$A$2:$B$45,2,0)</f>
        <v>30</v>
      </c>
      <c r="D431" s="13">
        <f>ROUND(IF('Task 2'!G431&lt;0,ABS('Task 2'!G431),0),0)</f>
        <v>0</v>
      </c>
      <c r="E431" s="7">
        <f>ROUND('Task 2'!D431*'Task 3'!C431,0)</f>
        <v>28</v>
      </c>
      <c r="F431" s="7">
        <f>VLOOKUP(B431,'Vendor -MOQ- Lead time'!$A$2:$C$45,3,0)</f>
        <v>180</v>
      </c>
      <c r="G431" s="7">
        <f t="shared" si="12"/>
        <v>180</v>
      </c>
      <c r="H431" s="7" t="s">
        <v>0</v>
      </c>
      <c r="I431" s="7" cm="1">
        <f t="array" ref="I431">_xlfn.IFS(H431="25-50%",230,H431="Top 25 %",260,H431="50-75%",200,H431="Last 25%",170,H431="Retire",150)</f>
        <v>170</v>
      </c>
      <c r="J431" s="15">
        <f t="shared" si="13"/>
        <v>30600</v>
      </c>
    </row>
    <row r="432" spans="1:10" x14ac:dyDescent="0.3">
      <c r="A432" s="7" t="s">
        <v>484</v>
      </c>
      <c r="B432" s="7" t="str">
        <f>_xlfn.XLOOKUP(A432,'Vendor code- SKU mapping'!$B$1:$B$806,'Vendor code- SKU mapping'!$A$1:$A$806)</f>
        <v>ISte</v>
      </c>
      <c r="C432" s="7">
        <f>VLOOKUP(B432,'Vendor -MOQ- Lead time'!$A$2:$B$45,2,0)</f>
        <v>45</v>
      </c>
      <c r="D432" s="13">
        <f>ROUND(IF('Task 2'!G432&lt;0,ABS('Task 2'!G432),0),0)</f>
        <v>0</v>
      </c>
      <c r="E432" s="7">
        <f>ROUND('Task 2'!D432*'Task 3'!C432,0)</f>
        <v>27</v>
      </c>
      <c r="F432" s="7">
        <f>VLOOKUP(B432,'Vendor -MOQ- Lead time'!$A$2:$C$45,3,0)</f>
        <v>270</v>
      </c>
      <c r="G432" s="7">
        <f t="shared" si="12"/>
        <v>270</v>
      </c>
      <c r="H432" s="7" t="s">
        <v>0</v>
      </c>
      <c r="I432" s="7" cm="1">
        <f t="array" ref="I432">_xlfn.IFS(H432="25-50%",230,H432="Top 25 %",260,H432="50-75%",200,H432="Last 25%",170,H432="Retire",150)</f>
        <v>170</v>
      </c>
      <c r="J432" s="15">
        <f t="shared" si="13"/>
        <v>45900</v>
      </c>
    </row>
    <row r="433" spans="1:10" x14ac:dyDescent="0.3">
      <c r="A433" s="7" t="s">
        <v>485</v>
      </c>
      <c r="B433" s="7" t="str">
        <f>_xlfn.XLOOKUP(A433,'Vendor code- SKU mapping'!$B$1:$B$806,'Vendor code- SKU mapping'!$A$1:$A$806)</f>
        <v>OMah</v>
      </c>
      <c r="C433" s="7">
        <f>VLOOKUP(B433,'Vendor -MOQ- Lead time'!$A$2:$B$45,2,0)</f>
        <v>45</v>
      </c>
      <c r="D433" s="13">
        <f>ROUND(IF('Task 2'!G433&lt;0,ABS('Task 2'!G433),0),0)</f>
        <v>0</v>
      </c>
      <c r="E433" s="7">
        <f>ROUND('Task 2'!D433*'Task 3'!C433,0)</f>
        <v>38</v>
      </c>
      <c r="F433" s="7">
        <f>VLOOKUP(B433,'Vendor -MOQ- Lead time'!$A$2:$C$45,3,0)</f>
        <v>270</v>
      </c>
      <c r="G433" s="7">
        <f t="shared" si="12"/>
        <v>270</v>
      </c>
      <c r="H433" s="7" t="s">
        <v>0</v>
      </c>
      <c r="I433" s="7" cm="1">
        <f t="array" ref="I433">_xlfn.IFS(H433="25-50%",230,H433="Top 25 %",260,H433="50-75%",200,H433="Last 25%",170,H433="Retire",150)</f>
        <v>170</v>
      </c>
      <c r="J433" s="15">
        <f t="shared" si="13"/>
        <v>45900</v>
      </c>
    </row>
    <row r="434" spans="1:10" x14ac:dyDescent="0.3">
      <c r="A434" s="7" t="s">
        <v>486</v>
      </c>
      <c r="B434" s="7" t="str">
        <f>_xlfn.XLOOKUP(A434,'Vendor code- SKU mapping'!$B$1:$B$806,'Vendor code- SKU mapping'!$A$1:$A$806)</f>
        <v>AAre</v>
      </c>
      <c r="C434" s="7">
        <f>VLOOKUP(B434,'Vendor -MOQ- Lead time'!$A$2:$B$45,2,0)</f>
        <v>45</v>
      </c>
      <c r="D434" s="13">
        <f>ROUND(IF('Task 2'!G434&lt;0,ABS('Task 2'!G434),0),0)</f>
        <v>0</v>
      </c>
      <c r="E434" s="7">
        <f>ROUND('Task 2'!D434*'Task 3'!C434,0)</f>
        <v>53</v>
      </c>
      <c r="F434" s="7">
        <f>VLOOKUP(B434,'Vendor -MOQ- Lead time'!$A$2:$C$45,3,0)</f>
        <v>270</v>
      </c>
      <c r="G434" s="7">
        <f t="shared" si="12"/>
        <v>270</v>
      </c>
      <c r="H434" s="7" t="s">
        <v>0</v>
      </c>
      <c r="I434" s="7" cm="1">
        <f t="array" ref="I434">_xlfn.IFS(H434="25-50%",230,H434="Top 25 %",260,H434="50-75%",200,H434="Last 25%",170,H434="Retire",150)</f>
        <v>170</v>
      </c>
      <c r="J434" s="15">
        <f t="shared" si="13"/>
        <v>45900</v>
      </c>
    </row>
    <row r="435" spans="1:10" x14ac:dyDescent="0.3">
      <c r="A435" s="7" t="s">
        <v>487</v>
      </c>
      <c r="B435" s="7" t="str">
        <f>_xlfn.XLOOKUP(A435,'Vendor code- SKU mapping'!$B$1:$B$806,'Vendor code- SKU mapping'!$A$1:$A$806)</f>
        <v>IWin</v>
      </c>
      <c r="C435" s="7">
        <f>VLOOKUP(B435,'Vendor -MOQ- Lead time'!$A$2:$B$45,2,0)</f>
        <v>90</v>
      </c>
      <c r="D435" s="13">
        <f>ROUND(IF('Task 2'!G435&lt;0,ABS('Task 2'!G435),0),0)</f>
        <v>0</v>
      </c>
      <c r="E435" s="7">
        <f>ROUND('Task 2'!D435*'Task 3'!C435,0)</f>
        <v>27</v>
      </c>
      <c r="F435" s="7">
        <f>VLOOKUP(B435,'Vendor -MOQ- Lead time'!$A$2:$C$45,3,0)</f>
        <v>1440</v>
      </c>
      <c r="G435" s="7">
        <f t="shared" si="12"/>
        <v>1440</v>
      </c>
      <c r="H435" s="7" t="s">
        <v>0</v>
      </c>
      <c r="I435" s="7" cm="1">
        <f t="array" ref="I435">_xlfn.IFS(H435="25-50%",230,H435="Top 25 %",260,H435="50-75%",200,H435="Last 25%",170,H435="Retire",150)</f>
        <v>170</v>
      </c>
      <c r="J435" s="15">
        <f t="shared" si="13"/>
        <v>244800</v>
      </c>
    </row>
    <row r="436" spans="1:10" x14ac:dyDescent="0.3">
      <c r="A436" s="7" t="s">
        <v>488</v>
      </c>
      <c r="B436" s="7" t="str">
        <f>_xlfn.XLOOKUP(A436,'Vendor code- SKU mapping'!$B$1:$B$806,'Vendor code- SKU mapping'!$A$1:$A$806)</f>
        <v>OMah</v>
      </c>
      <c r="C436" s="7">
        <f>VLOOKUP(B436,'Vendor -MOQ- Lead time'!$A$2:$B$45,2,0)</f>
        <v>45</v>
      </c>
      <c r="D436" s="13">
        <f>ROUND(IF('Task 2'!G436&lt;0,ABS('Task 2'!G436),0),0)</f>
        <v>0</v>
      </c>
      <c r="E436" s="7">
        <f>ROUND('Task 2'!D436*'Task 3'!C436,0)</f>
        <v>53</v>
      </c>
      <c r="F436" s="7">
        <f>VLOOKUP(B436,'Vendor -MOQ- Lead time'!$A$2:$C$45,3,0)</f>
        <v>270</v>
      </c>
      <c r="G436" s="7">
        <f t="shared" si="12"/>
        <v>270</v>
      </c>
      <c r="H436" s="7" t="s">
        <v>1</v>
      </c>
      <c r="I436" s="7" cm="1">
        <f t="array" ref="I436">_xlfn.IFS(H436="25-50%",230,H436="Top 25 %",260,H436="50-75%",200,H436="Last 25%",170,H436="Retire",150)</f>
        <v>200</v>
      </c>
      <c r="J436" s="15">
        <f t="shared" si="13"/>
        <v>54000</v>
      </c>
    </row>
    <row r="437" spans="1:10" x14ac:dyDescent="0.3">
      <c r="A437" s="7" t="s">
        <v>489</v>
      </c>
      <c r="B437" s="7" t="str">
        <f>_xlfn.XLOOKUP(A437,'Vendor code- SKU mapping'!$B$1:$B$806,'Vendor code- SKU mapping'!$A$1:$A$806)</f>
        <v>ORed</v>
      </c>
      <c r="C437" s="7">
        <f>VLOOKUP(B437,'Vendor -MOQ- Lead time'!$A$2:$B$45,2,0)</f>
        <v>30</v>
      </c>
      <c r="D437" s="13">
        <f>ROUND(IF('Task 2'!G437&lt;0,ABS('Task 2'!G437),0),0)</f>
        <v>0</v>
      </c>
      <c r="E437" s="7">
        <f>ROUND('Task 2'!D437*'Task 3'!C437,0)</f>
        <v>53</v>
      </c>
      <c r="F437" s="7">
        <f>VLOOKUP(B437,'Vendor -MOQ- Lead time'!$A$2:$C$45,3,0)</f>
        <v>180</v>
      </c>
      <c r="G437" s="7">
        <f t="shared" si="12"/>
        <v>180</v>
      </c>
      <c r="H437" s="7" t="s">
        <v>0</v>
      </c>
      <c r="I437" s="7" cm="1">
        <f t="array" ref="I437">_xlfn.IFS(H437="25-50%",230,H437="Top 25 %",260,H437="50-75%",200,H437="Last 25%",170,H437="Retire",150)</f>
        <v>170</v>
      </c>
      <c r="J437" s="15">
        <f t="shared" si="13"/>
        <v>30600</v>
      </c>
    </row>
    <row r="438" spans="1:10" x14ac:dyDescent="0.3">
      <c r="A438" s="7" t="s">
        <v>490</v>
      </c>
      <c r="B438" s="7" t="str">
        <f>_xlfn.XLOOKUP(A438,'Vendor code- SKU mapping'!$B$1:$B$806,'Vendor code- SKU mapping'!$A$1:$A$806)</f>
        <v>OMah</v>
      </c>
      <c r="C438" s="7">
        <f>VLOOKUP(B438,'Vendor -MOQ- Lead time'!$A$2:$B$45,2,0)</f>
        <v>45</v>
      </c>
      <c r="D438" s="13">
        <f>ROUND(IF('Task 2'!G438&lt;0,ABS('Task 2'!G438),0),0)</f>
        <v>12</v>
      </c>
      <c r="E438" s="7">
        <f>ROUND('Task 2'!D438*'Task 3'!C438,0)</f>
        <v>131</v>
      </c>
      <c r="F438" s="7">
        <f>VLOOKUP(B438,'Vendor -MOQ- Lead time'!$A$2:$C$45,3,0)</f>
        <v>270</v>
      </c>
      <c r="G438" s="7">
        <f t="shared" si="12"/>
        <v>270</v>
      </c>
      <c r="H438" s="7" t="s">
        <v>0</v>
      </c>
      <c r="I438" s="7" cm="1">
        <f t="array" ref="I438">_xlfn.IFS(H438="25-50%",230,H438="Top 25 %",260,H438="50-75%",200,H438="Last 25%",170,H438="Retire",150)</f>
        <v>170</v>
      </c>
      <c r="J438" s="15">
        <f t="shared" si="13"/>
        <v>45900</v>
      </c>
    </row>
    <row r="439" spans="1:10" x14ac:dyDescent="0.3">
      <c r="A439" s="7" t="s">
        <v>491</v>
      </c>
      <c r="B439" s="7" t="str">
        <f>_xlfn.XLOOKUP(A439,'Vendor code- SKU mapping'!$B$1:$B$806,'Vendor code- SKU mapping'!$A$1:$A$806)</f>
        <v>EFla</v>
      </c>
      <c r="C439" s="7">
        <f>VLOOKUP(B439,'Vendor -MOQ- Lead time'!$A$2:$B$45,2,0)</f>
        <v>90</v>
      </c>
      <c r="D439" s="13">
        <f>ROUND(IF('Task 2'!G439&lt;0,ABS('Task 2'!G439),0),0)</f>
        <v>0</v>
      </c>
      <c r="E439" s="7">
        <f>ROUND('Task 2'!D439*'Task 3'!C439,0)</f>
        <v>198</v>
      </c>
      <c r="F439" s="7">
        <f>VLOOKUP(B439,'Vendor -MOQ- Lead time'!$A$2:$C$45,3,0)</f>
        <v>1440</v>
      </c>
      <c r="G439" s="7">
        <f t="shared" si="12"/>
        <v>1440</v>
      </c>
      <c r="H439" s="7" t="s">
        <v>0</v>
      </c>
      <c r="I439" s="7" cm="1">
        <f t="array" ref="I439">_xlfn.IFS(H439="25-50%",230,H439="Top 25 %",260,H439="50-75%",200,H439="Last 25%",170,H439="Retire",150)</f>
        <v>170</v>
      </c>
      <c r="J439" s="15">
        <f t="shared" si="13"/>
        <v>244800</v>
      </c>
    </row>
    <row r="440" spans="1:10" x14ac:dyDescent="0.3">
      <c r="A440" s="7" t="s">
        <v>492</v>
      </c>
      <c r="B440" s="7" t="str">
        <f>_xlfn.XLOOKUP(A440,'Vendor code- SKU mapping'!$B$1:$B$806,'Vendor code- SKU mapping'!$A$1:$A$806)</f>
        <v>ISte</v>
      </c>
      <c r="C440" s="7">
        <f>VLOOKUP(B440,'Vendor -MOQ- Lead time'!$A$2:$B$45,2,0)</f>
        <v>45</v>
      </c>
      <c r="D440" s="13">
        <f>ROUND(IF('Task 2'!G440&lt;0,ABS('Task 2'!G440),0),0)</f>
        <v>20</v>
      </c>
      <c r="E440" s="7">
        <f>ROUND('Task 2'!D440*'Task 3'!C440,0)</f>
        <v>89</v>
      </c>
      <c r="F440" s="7">
        <f>VLOOKUP(B440,'Vendor -MOQ- Lead time'!$A$2:$C$45,3,0)</f>
        <v>270</v>
      </c>
      <c r="G440" s="7">
        <f t="shared" si="12"/>
        <v>270</v>
      </c>
      <c r="H440" s="7" t="s">
        <v>0</v>
      </c>
      <c r="I440" s="7" cm="1">
        <f t="array" ref="I440">_xlfn.IFS(H440="25-50%",230,H440="Top 25 %",260,H440="50-75%",200,H440="Last 25%",170,H440="Retire",150)</f>
        <v>170</v>
      </c>
      <c r="J440" s="15">
        <f t="shared" si="13"/>
        <v>45900</v>
      </c>
    </row>
    <row r="441" spans="1:10" x14ac:dyDescent="0.3">
      <c r="A441" s="7" t="s">
        <v>493</v>
      </c>
      <c r="B441" s="7" t="str">
        <f>_xlfn.XLOOKUP(A441,'Vendor code- SKU mapping'!$B$1:$B$806,'Vendor code- SKU mapping'!$A$1:$A$806)</f>
        <v>ORed</v>
      </c>
      <c r="C441" s="7">
        <f>VLOOKUP(B441,'Vendor -MOQ- Lead time'!$A$2:$B$45,2,0)</f>
        <v>30</v>
      </c>
      <c r="D441" s="13">
        <f>ROUND(IF('Task 2'!G441&lt;0,ABS('Task 2'!G441),0),0)</f>
        <v>0</v>
      </c>
      <c r="E441" s="7">
        <f>ROUND('Task 2'!D441*'Task 3'!C441,0)</f>
        <v>43</v>
      </c>
      <c r="F441" s="7">
        <f>VLOOKUP(B441,'Vendor -MOQ- Lead time'!$A$2:$C$45,3,0)</f>
        <v>180</v>
      </c>
      <c r="G441" s="7">
        <f t="shared" si="12"/>
        <v>180</v>
      </c>
      <c r="H441" s="7" t="s">
        <v>0</v>
      </c>
      <c r="I441" s="7" cm="1">
        <f t="array" ref="I441">_xlfn.IFS(H441="25-50%",230,H441="Top 25 %",260,H441="50-75%",200,H441="Last 25%",170,H441="Retire",150)</f>
        <v>170</v>
      </c>
      <c r="J441" s="15">
        <f t="shared" si="13"/>
        <v>30600</v>
      </c>
    </row>
    <row r="442" spans="1:10" x14ac:dyDescent="0.3">
      <c r="A442" s="7" t="s">
        <v>494</v>
      </c>
      <c r="B442" s="7" t="str">
        <f>_xlfn.XLOOKUP(A442,'Vendor code- SKU mapping'!$B$1:$B$806,'Vendor code- SKU mapping'!$A$1:$A$806)</f>
        <v>ISV</v>
      </c>
      <c r="C442" s="7">
        <f>VLOOKUP(B442,'Vendor -MOQ- Lead time'!$A$2:$B$45,2,0)</f>
        <v>45</v>
      </c>
      <c r="D442" s="13">
        <f>ROUND(IF('Task 2'!G442&lt;0,ABS('Task 2'!G442),0),0)</f>
        <v>0</v>
      </c>
      <c r="E442" s="7">
        <f>ROUND('Task 2'!D442*'Task 3'!C442,0)</f>
        <v>48</v>
      </c>
      <c r="F442" s="7">
        <f>VLOOKUP(B442,'Vendor -MOQ- Lead time'!$A$2:$C$45,3,0)</f>
        <v>270</v>
      </c>
      <c r="G442" s="7">
        <f t="shared" si="12"/>
        <v>270</v>
      </c>
      <c r="H442" s="7" t="s">
        <v>0</v>
      </c>
      <c r="I442" s="7" cm="1">
        <f t="array" ref="I442">_xlfn.IFS(H442="25-50%",230,H442="Top 25 %",260,H442="50-75%",200,H442="Last 25%",170,H442="Retire",150)</f>
        <v>170</v>
      </c>
      <c r="J442" s="15">
        <f t="shared" si="13"/>
        <v>45900</v>
      </c>
    </row>
    <row r="443" spans="1:10" x14ac:dyDescent="0.3">
      <c r="A443" s="7" t="s">
        <v>495</v>
      </c>
      <c r="B443" s="7" t="str">
        <f>_xlfn.XLOOKUP(A443,'Vendor code- SKU mapping'!$B$1:$B$806,'Vendor code- SKU mapping'!$A$1:$A$806)</f>
        <v>ORed</v>
      </c>
      <c r="C443" s="7">
        <f>VLOOKUP(B443,'Vendor -MOQ- Lead time'!$A$2:$B$45,2,0)</f>
        <v>30</v>
      </c>
      <c r="D443" s="13">
        <f>ROUND(IF('Task 2'!G443&lt;0,ABS('Task 2'!G443),0),0)</f>
        <v>0</v>
      </c>
      <c r="E443" s="7">
        <f>ROUND('Task 2'!D443*'Task 3'!C443,0)</f>
        <v>36</v>
      </c>
      <c r="F443" s="7">
        <f>VLOOKUP(B443,'Vendor -MOQ- Lead time'!$A$2:$C$45,3,0)</f>
        <v>180</v>
      </c>
      <c r="G443" s="7">
        <f t="shared" si="12"/>
        <v>180</v>
      </c>
      <c r="H443" s="7" t="s">
        <v>0</v>
      </c>
      <c r="I443" s="7" cm="1">
        <f t="array" ref="I443">_xlfn.IFS(H443="25-50%",230,H443="Top 25 %",260,H443="50-75%",200,H443="Last 25%",170,H443="Retire",150)</f>
        <v>170</v>
      </c>
      <c r="J443" s="15">
        <f t="shared" si="13"/>
        <v>30600</v>
      </c>
    </row>
    <row r="444" spans="1:10" x14ac:dyDescent="0.3">
      <c r="A444" s="7" t="s">
        <v>496</v>
      </c>
      <c r="B444" s="7" t="str">
        <f>_xlfn.XLOOKUP(A444,'Vendor code- SKU mapping'!$B$1:$B$806,'Vendor code- SKU mapping'!$A$1:$A$806)</f>
        <v>ORed</v>
      </c>
      <c r="C444" s="7">
        <f>VLOOKUP(B444,'Vendor -MOQ- Lead time'!$A$2:$B$45,2,0)</f>
        <v>30</v>
      </c>
      <c r="D444" s="13">
        <f>ROUND(IF('Task 2'!G444&lt;0,ABS('Task 2'!G444),0),0)</f>
        <v>0</v>
      </c>
      <c r="E444" s="7">
        <f>ROUND('Task 2'!D444*'Task 3'!C444,0)</f>
        <v>25</v>
      </c>
      <c r="F444" s="7">
        <f>VLOOKUP(B444,'Vendor -MOQ- Lead time'!$A$2:$C$45,3,0)</f>
        <v>180</v>
      </c>
      <c r="G444" s="7">
        <f t="shared" si="12"/>
        <v>180</v>
      </c>
      <c r="H444" s="7" t="s">
        <v>0</v>
      </c>
      <c r="I444" s="7" cm="1">
        <f t="array" ref="I444">_xlfn.IFS(H444="25-50%",230,H444="Top 25 %",260,H444="50-75%",200,H444="Last 25%",170,H444="Retire",150)</f>
        <v>170</v>
      </c>
      <c r="J444" s="15">
        <f t="shared" si="13"/>
        <v>30600</v>
      </c>
    </row>
    <row r="445" spans="1:10" x14ac:dyDescent="0.3">
      <c r="A445" s="7" t="s">
        <v>497</v>
      </c>
      <c r="B445" s="7" t="str">
        <f>_xlfn.XLOOKUP(A445,'Vendor code- SKU mapping'!$B$1:$B$806,'Vendor code- SKU mapping'!$A$1:$A$806)</f>
        <v>EJSK</v>
      </c>
      <c r="C445" s="7">
        <f>VLOOKUP(B445,'Vendor -MOQ- Lead time'!$A$2:$B$45,2,0)</f>
        <v>45</v>
      </c>
      <c r="D445" s="13">
        <f>ROUND(IF('Task 2'!G445&lt;0,ABS('Task 2'!G445),0),0)</f>
        <v>0</v>
      </c>
      <c r="E445" s="7">
        <f>ROUND('Task 2'!D445*'Task 3'!C445,0)</f>
        <v>77</v>
      </c>
      <c r="F445" s="7">
        <f>VLOOKUP(B445,'Vendor -MOQ- Lead time'!$A$2:$C$45,3,0)</f>
        <v>270</v>
      </c>
      <c r="G445" s="7">
        <f t="shared" si="12"/>
        <v>270</v>
      </c>
      <c r="H445" s="7" t="s">
        <v>0</v>
      </c>
      <c r="I445" s="7" cm="1">
        <f t="array" ref="I445">_xlfn.IFS(H445="25-50%",230,H445="Top 25 %",260,H445="50-75%",200,H445="Last 25%",170,H445="Retire",150)</f>
        <v>170</v>
      </c>
      <c r="J445" s="15">
        <f t="shared" si="13"/>
        <v>45900</v>
      </c>
    </row>
    <row r="446" spans="1:10" x14ac:dyDescent="0.3">
      <c r="A446" s="7" t="s">
        <v>498</v>
      </c>
      <c r="B446" s="7" t="str">
        <f>_xlfn.XLOOKUP(A446,'Vendor code- SKU mapping'!$B$1:$B$806,'Vendor code- SKU mapping'!$A$1:$A$806)</f>
        <v>AAma</v>
      </c>
      <c r="C446" s="7">
        <f>VLOOKUP(B446,'Vendor -MOQ- Lead time'!$A$2:$B$45,2,0)</f>
        <v>45</v>
      </c>
      <c r="D446" s="13">
        <f>ROUND(IF('Task 2'!G446&lt;0,ABS('Task 2'!G446),0),0)</f>
        <v>0</v>
      </c>
      <c r="E446" s="7">
        <f>ROUND('Task 2'!D446*'Task 3'!C446,0)</f>
        <v>35</v>
      </c>
      <c r="F446" s="7">
        <f>VLOOKUP(B446,'Vendor -MOQ- Lead time'!$A$2:$C$45,3,0)</f>
        <v>270</v>
      </c>
      <c r="G446" s="7">
        <f t="shared" si="12"/>
        <v>270</v>
      </c>
      <c r="H446" s="7" t="s">
        <v>0</v>
      </c>
      <c r="I446" s="7" cm="1">
        <f t="array" ref="I446">_xlfn.IFS(H446="25-50%",230,H446="Top 25 %",260,H446="50-75%",200,H446="Last 25%",170,H446="Retire",150)</f>
        <v>170</v>
      </c>
      <c r="J446" s="15">
        <f t="shared" si="13"/>
        <v>45900</v>
      </c>
    </row>
    <row r="447" spans="1:10" x14ac:dyDescent="0.3">
      <c r="A447" s="7" t="s">
        <v>499</v>
      </c>
      <c r="B447" s="7" t="str">
        <f>_xlfn.XLOOKUP(A447,'Vendor code- SKU mapping'!$B$1:$B$806,'Vendor code- SKU mapping'!$A$1:$A$806)</f>
        <v>AAre</v>
      </c>
      <c r="C447" s="7">
        <f>VLOOKUP(B447,'Vendor -MOQ- Lead time'!$A$2:$B$45,2,0)</f>
        <v>45</v>
      </c>
      <c r="D447" s="13">
        <f>ROUND(IF('Task 2'!G447&lt;0,ABS('Task 2'!G447),0),0)</f>
        <v>0</v>
      </c>
      <c r="E447" s="7">
        <f>ROUND('Task 2'!D447*'Task 3'!C447,0)</f>
        <v>98</v>
      </c>
      <c r="F447" s="7">
        <f>VLOOKUP(B447,'Vendor -MOQ- Lead time'!$A$2:$C$45,3,0)</f>
        <v>270</v>
      </c>
      <c r="G447" s="7">
        <f t="shared" si="12"/>
        <v>270</v>
      </c>
      <c r="H447" s="7" t="s">
        <v>3</v>
      </c>
      <c r="I447" s="7" cm="1">
        <f t="array" ref="I447">_xlfn.IFS(H447="25-50%",230,H447="Top 25 %",260,H447="50-75%",200,H447="Last 25%",170,H447="Retire",150)</f>
        <v>150</v>
      </c>
      <c r="J447" s="15">
        <f t="shared" si="13"/>
        <v>40500</v>
      </c>
    </row>
    <row r="448" spans="1:10" x14ac:dyDescent="0.3">
      <c r="A448" s="7" t="s">
        <v>500</v>
      </c>
      <c r="B448" s="7" t="str">
        <f>_xlfn.XLOOKUP(A448,'Vendor code- SKU mapping'!$B$1:$B$806,'Vendor code- SKU mapping'!$A$1:$A$806)</f>
        <v>EHei</v>
      </c>
      <c r="C448" s="7">
        <f>VLOOKUP(B448,'Vendor -MOQ- Lead time'!$A$2:$B$45,2,0)</f>
        <v>45</v>
      </c>
      <c r="D448" s="13">
        <f>ROUND(IF('Task 2'!G448&lt;0,ABS('Task 2'!G448),0),0)</f>
        <v>0</v>
      </c>
      <c r="E448" s="7">
        <f>ROUND('Task 2'!D448*'Task 3'!C448,0)</f>
        <v>50</v>
      </c>
      <c r="F448" s="7">
        <f>VLOOKUP(B448,'Vendor -MOQ- Lead time'!$A$2:$C$45,3,0)</f>
        <v>270</v>
      </c>
      <c r="G448" s="7">
        <f t="shared" si="12"/>
        <v>270</v>
      </c>
      <c r="H448" s="7" t="s">
        <v>0</v>
      </c>
      <c r="I448" s="7" cm="1">
        <f t="array" ref="I448">_xlfn.IFS(H448="25-50%",230,H448="Top 25 %",260,H448="50-75%",200,H448="Last 25%",170,H448="Retire",150)</f>
        <v>170</v>
      </c>
      <c r="J448" s="15">
        <f t="shared" si="13"/>
        <v>45900</v>
      </c>
    </row>
    <row r="449" spans="1:10" x14ac:dyDescent="0.3">
      <c r="A449" s="7" t="s">
        <v>501</v>
      </c>
      <c r="B449" s="7" t="str">
        <f>_xlfn.XLOOKUP(A449,'Vendor code- SKU mapping'!$B$1:$B$806,'Vendor code- SKU mapping'!$A$1:$A$806)</f>
        <v>OMah</v>
      </c>
      <c r="C449" s="7">
        <f>VLOOKUP(B449,'Vendor -MOQ- Lead time'!$A$2:$B$45,2,0)</f>
        <v>45</v>
      </c>
      <c r="D449" s="13">
        <f>ROUND(IF('Task 2'!G449&lt;0,ABS('Task 2'!G449),0),0)</f>
        <v>0</v>
      </c>
      <c r="E449" s="7">
        <f>ROUND('Task 2'!D449*'Task 3'!C449,0)</f>
        <v>92</v>
      </c>
      <c r="F449" s="7">
        <f>VLOOKUP(B449,'Vendor -MOQ- Lead time'!$A$2:$C$45,3,0)</f>
        <v>270</v>
      </c>
      <c r="G449" s="7">
        <f t="shared" si="12"/>
        <v>270</v>
      </c>
      <c r="H449" s="7" t="s">
        <v>0</v>
      </c>
      <c r="I449" s="7" cm="1">
        <f t="array" ref="I449">_xlfn.IFS(H449="25-50%",230,H449="Top 25 %",260,H449="50-75%",200,H449="Last 25%",170,H449="Retire",150)</f>
        <v>170</v>
      </c>
      <c r="J449" s="15">
        <f t="shared" si="13"/>
        <v>45900</v>
      </c>
    </row>
    <row r="450" spans="1:10" x14ac:dyDescent="0.3">
      <c r="A450" s="7" t="s">
        <v>502</v>
      </c>
      <c r="B450" s="7" t="str">
        <f>_xlfn.XLOOKUP(A450,'Vendor code- SKU mapping'!$B$1:$B$806,'Vendor code- SKU mapping'!$A$1:$A$806)</f>
        <v>OMug</v>
      </c>
      <c r="C450" s="7">
        <f>VLOOKUP(B450,'Vendor -MOQ- Lead time'!$A$2:$B$45,2,0)</f>
        <v>45</v>
      </c>
      <c r="D450" s="13">
        <f>ROUND(IF('Task 2'!G450&lt;0,ABS('Task 2'!G450),0),0)</f>
        <v>0</v>
      </c>
      <c r="E450" s="7">
        <f>ROUND('Task 2'!D450*'Task 3'!C450,0)</f>
        <v>45</v>
      </c>
      <c r="F450" s="7">
        <f>VLOOKUP(B450,'Vendor -MOQ- Lead time'!$A$2:$C$45,3,0)</f>
        <v>270</v>
      </c>
      <c r="G450" s="7">
        <f t="shared" si="12"/>
        <v>270</v>
      </c>
      <c r="H450" s="7" t="s">
        <v>0</v>
      </c>
      <c r="I450" s="7" cm="1">
        <f t="array" ref="I450">_xlfn.IFS(H450="25-50%",230,H450="Top 25 %",260,H450="50-75%",200,H450="Last 25%",170,H450="Retire",150)</f>
        <v>170</v>
      </c>
      <c r="J450" s="15">
        <f t="shared" si="13"/>
        <v>45900</v>
      </c>
    </row>
    <row r="451" spans="1:10" x14ac:dyDescent="0.3">
      <c r="A451" s="7" t="s">
        <v>503</v>
      </c>
      <c r="B451" s="7" t="str">
        <f>_xlfn.XLOOKUP(A451,'Vendor code- SKU mapping'!$B$1:$B$806,'Vendor code- SKU mapping'!$A$1:$A$806)</f>
        <v>ISte</v>
      </c>
      <c r="C451" s="7">
        <f>VLOOKUP(B451,'Vendor -MOQ- Lead time'!$A$2:$B$45,2,0)</f>
        <v>45</v>
      </c>
      <c r="D451" s="13">
        <f>ROUND(IF('Task 2'!G451&lt;0,ABS('Task 2'!G451),0),0)</f>
        <v>17</v>
      </c>
      <c r="E451" s="7">
        <f>ROUND('Task 2'!D451*'Task 3'!C451,0)</f>
        <v>66</v>
      </c>
      <c r="F451" s="7">
        <f>VLOOKUP(B451,'Vendor -MOQ- Lead time'!$A$2:$C$45,3,0)</f>
        <v>270</v>
      </c>
      <c r="G451" s="7">
        <f t="shared" ref="G451:G514" si="14">CEILING(D451+E451,F451)</f>
        <v>270</v>
      </c>
      <c r="H451" s="7" t="s">
        <v>0</v>
      </c>
      <c r="I451" s="7" cm="1">
        <f t="array" ref="I451">_xlfn.IFS(H451="25-50%",230,H451="Top 25 %",260,H451="50-75%",200,H451="Last 25%",170,H451="Retire",150)</f>
        <v>170</v>
      </c>
      <c r="J451" s="15">
        <f t="shared" ref="J451:J514" si="15">G451*I451</f>
        <v>45900</v>
      </c>
    </row>
    <row r="452" spans="1:10" x14ac:dyDescent="0.3">
      <c r="A452" s="7" t="s">
        <v>504</v>
      </c>
      <c r="B452" s="7" t="str">
        <f>_xlfn.XLOOKUP(A452,'Vendor code- SKU mapping'!$B$1:$B$806,'Vendor code- SKU mapping'!$A$1:$A$806)</f>
        <v>ISte</v>
      </c>
      <c r="C452" s="7">
        <f>VLOOKUP(B452,'Vendor -MOQ- Lead time'!$A$2:$B$45,2,0)</f>
        <v>45</v>
      </c>
      <c r="D452" s="13">
        <f>ROUND(IF('Task 2'!G452&lt;0,ABS('Task 2'!G452),0),0)</f>
        <v>0</v>
      </c>
      <c r="E452" s="7">
        <f>ROUND('Task 2'!D452*'Task 3'!C452,0)</f>
        <v>50</v>
      </c>
      <c r="F452" s="7">
        <f>VLOOKUP(B452,'Vendor -MOQ- Lead time'!$A$2:$C$45,3,0)</f>
        <v>270</v>
      </c>
      <c r="G452" s="7">
        <f t="shared" si="14"/>
        <v>270</v>
      </c>
      <c r="H452" s="7" t="s">
        <v>0</v>
      </c>
      <c r="I452" s="7" cm="1">
        <f t="array" ref="I452">_xlfn.IFS(H452="25-50%",230,H452="Top 25 %",260,H452="50-75%",200,H452="Last 25%",170,H452="Retire",150)</f>
        <v>170</v>
      </c>
      <c r="J452" s="15">
        <f t="shared" si="15"/>
        <v>45900</v>
      </c>
    </row>
    <row r="453" spans="1:10" x14ac:dyDescent="0.3">
      <c r="A453" s="7" t="s">
        <v>505</v>
      </c>
      <c r="B453" s="7" t="str">
        <f>_xlfn.XLOOKUP(A453,'Vendor code- SKU mapping'!$B$1:$B$806,'Vendor code- SKU mapping'!$A$1:$A$806)</f>
        <v>ORav</v>
      </c>
      <c r="C453" s="7">
        <f>VLOOKUP(B453,'Vendor -MOQ- Lead time'!$A$2:$B$45,2,0)</f>
        <v>30</v>
      </c>
      <c r="D453" s="13">
        <f>ROUND(IF('Task 2'!G453&lt;0,ABS('Task 2'!G453),0),0)</f>
        <v>0</v>
      </c>
      <c r="E453" s="7">
        <f>ROUND('Task 2'!D453*'Task 3'!C453,0)</f>
        <v>23</v>
      </c>
      <c r="F453" s="7">
        <f>VLOOKUP(B453,'Vendor -MOQ- Lead time'!$A$2:$C$45,3,0)</f>
        <v>180</v>
      </c>
      <c r="G453" s="7">
        <f t="shared" si="14"/>
        <v>180</v>
      </c>
      <c r="H453" s="7" t="s">
        <v>0</v>
      </c>
      <c r="I453" s="7" cm="1">
        <f t="array" ref="I453">_xlfn.IFS(H453="25-50%",230,H453="Top 25 %",260,H453="50-75%",200,H453="Last 25%",170,H453="Retire",150)</f>
        <v>170</v>
      </c>
      <c r="J453" s="15">
        <f t="shared" si="15"/>
        <v>30600</v>
      </c>
    </row>
    <row r="454" spans="1:10" x14ac:dyDescent="0.3">
      <c r="A454" s="7" t="s">
        <v>506</v>
      </c>
      <c r="B454" s="7" t="str">
        <f>_xlfn.XLOOKUP(A454,'Vendor code- SKU mapping'!$B$1:$B$806,'Vendor code- SKU mapping'!$A$1:$A$806)</f>
        <v>ISte</v>
      </c>
      <c r="C454" s="7">
        <f>VLOOKUP(B454,'Vendor -MOQ- Lead time'!$A$2:$B$45,2,0)</f>
        <v>45</v>
      </c>
      <c r="D454" s="13">
        <f>ROUND(IF('Task 2'!G454&lt;0,ABS('Task 2'!G454),0),0)</f>
        <v>0</v>
      </c>
      <c r="E454" s="7">
        <f>ROUND('Task 2'!D454*'Task 3'!C454,0)</f>
        <v>30</v>
      </c>
      <c r="F454" s="7">
        <f>VLOOKUP(B454,'Vendor -MOQ- Lead time'!$A$2:$C$45,3,0)</f>
        <v>270</v>
      </c>
      <c r="G454" s="7">
        <f t="shared" si="14"/>
        <v>270</v>
      </c>
      <c r="H454" s="7" t="s">
        <v>0</v>
      </c>
      <c r="I454" s="7" cm="1">
        <f t="array" ref="I454">_xlfn.IFS(H454="25-50%",230,H454="Top 25 %",260,H454="50-75%",200,H454="Last 25%",170,H454="Retire",150)</f>
        <v>170</v>
      </c>
      <c r="J454" s="15">
        <f t="shared" si="15"/>
        <v>45900</v>
      </c>
    </row>
    <row r="455" spans="1:10" x14ac:dyDescent="0.3">
      <c r="A455" s="7" t="s">
        <v>507</v>
      </c>
      <c r="B455" s="7" t="str">
        <f>_xlfn.XLOOKUP(A455,'Vendor code- SKU mapping'!$B$1:$B$806,'Vendor code- SKU mapping'!$A$1:$A$806)</f>
        <v>ORed</v>
      </c>
      <c r="C455" s="7">
        <f>VLOOKUP(B455,'Vendor -MOQ- Lead time'!$A$2:$B$45,2,0)</f>
        <v>30</v>
      </c>
      <c r="D455" s="13">
        <f>ROUND(IF('Task 2'!G455&lt;0,ABS('Task 2'!G455),0),0)</f>
        <v>0</v>
      </c>
      <c r="E455" s="7">
        <f>ROUND('Task 2'!D455*'Task 3'!C455,0)</f>
        <v>9</v>
      </c>
      <c r="F455" s="7">
        <f>VLOOKUP(B455,'Vendor -MOQ- Lead time'!$A$2:$C$45,3,0)</f>
        <v>180</v>
      </c>
      <c r="G455" s="7">
        <f t="shared" si="14"/>
        <v>180</v>
      </c>
      <c r="H455" s="7" t="s">
        <v>0</v>
      </c>
      <c r="I455" s="7" cm="1">
        <f t="array" ref="I455">_xlfn.IFS(H455="25-50%",230,H455="Top 25 %",260,H455="50-75%",200,H455="Last 25%",170,H455="Retire",150)</f>
        <v>170</v>
      </c>
      <c r="J455" s="15">
        <f t="shared" si="15"/>
        <v>30600</v>
      </c>
    </row>
    <row r="456" spans="1:10" x14ac:dyDescent="0.3">
      <c r="A456" s="7" t="s">
        <v>508</v>
      </c>
      <c r="B456" s="7" t="str">
        <f>_xlfn.XLOOKUP(A456,'Vendor code- SKU mapping'!$B$1:$B$806,'Vendor code- SKU mapping'!$A$1:$A$806)</f>
        <v>AAre</v>
      </c>
      <c r="C456" s="7">
        <f>VLOOKUP(B456,'Vendor -MOQ- Lead time'!$A$2:$B$45,2,0)</f>
        <v>45</v>
      </c>
      <c r="D456" s="13">
        <f>ROUND(IF('Task 2'!G456&lt;0,ABS('Task 2'!G456),0),0)</f>
        <v>0</v>
      </c>
      <c r="E456" s="7">
        <f>ROUND('Task 2'!D456*'Task 3'!C456,0)</f>
        <v>65</v>
      </c>
      <c r="F456" s="7">
        <f>VLOOKUP(B456,'Vendor -MOQ- Lead time'!$A$2:$C$45,3,0)</f>
        <v>270</v>
      </c>
      <c r="G456" s="7">
        <f t="shared" si="14"/>
        <v>270</v>
      </c>
      <c r="H456" s="7" t="s">
        <v>3</v>
      </c>
      <c r="I456" s="7" cm="1">
        <f t="array" ref="I456">_xlfn.IFS(H456="25-50%",230,H456="Top 25 %",260,H456="50-75%",200,H456="Last 25%",170,H456="Retire",150)</f>
        <v>150</v>
      </c>
      <c r="J456" s="15">
        <f t="shared" si="15"/>
        <v>40500</v>
      </c>
    </row>
    <row r="457" spans="1:10" x14ac:dyDescent="0.3">
      <c r="A457" s="7" t="s">
        <v>509</v>
      </c>
      <c r="B457" s="7" t="str">
        <f>_xlfn.XLOOKUP(A457,'Vendor code- SKU mapping'!$B$1:$B$806,'Vendor code- SKU mapping'!$A$1:$A$806)</f>
        <v>EGV</v>
      </c>
      <c r="C457" s="7">
        <f>VLOOKUP(B457,'Vendor -MOQ- Lead time'!$A$2:$B$45,2,0)</f>
        <v>45</v>
      </c>
      <c r="D457" s="13">
        <f>ROUND(IF('Task 2'!G457&lt;0,ABS('Task 2'!G457),0),0)</f>
        <v>0</v>
      </c>
      <c r="E457" s="7">
        <f>ROUND('Task 2'!D457*'Task 3'!C457,0)</f>
        <v>102</v>
      </c>
      <c r="F457" s="7">
        <f>VLOOKUP(B457,'Vendor -MOQ- Lead time'!$A$2:$C$45,3,0)</f>
        <v>270</v>
      </c>
      <c r="G457" s="7">
        <f t="shared" si="14"/>
        <v>270</v>
      </c>
      <c r="H457" s="7" t="s">
        <v>0</v>
      </c>
      <c r="I457" s="7" cm="1">
        <f t="array" ref="I457">_xlfn.IFS(H457="25-50%",230,H457="Top 25 %",260,H457="50-75%",200,H457="Last 25%",170,H457="Retire",150)</f>
        <v>170</v>
      </c>
      <c r="J457" s="15">
        <f t="shared" si="15"/>
        <v>45900</v>
      </c>
    </row>
    <row r="458" spans="1:10" x14ac:dyDescent="0.3">
      <c r="A458" s="7" t="s">
        <v>510</v>
      </c>
      <c r="B458" s="7" t="str">
        <f>_xlfn.XLOOKUP(A458,'Vendor code- SKU mapping'!$B$1:$B$806,'Vendor code- SKU mapping'!$A$1:$A$806)</f>
        <v>OMah</v>
      </c>
      <c r="C458" s="7">
        <f>VLOOKUP(B458,'Vendor -MOQ- Lead time'!$A$2:$B$45,2,0)</f>
        <v>45</v>
      </c>
      <c r="D458" s="13">
        <f>ROUND(IF('Task 2'!G458&lt;0,ABS('Task 2'!G458),0),0)</f>
        <v>0</v>
      </c>
      <c r="E458" s="7">
        <f>ROUND('Task 2'!D458*'Task 3'!C458,0)</f>
        <v>83</v>
      </c>
      <c r="F458" s="7">
        <f>VLOOKUP(B458,'Vendor -MOQ- Lead time'!$A$2:$C$45,3,0)</f>
        <v>270</v>
      </c>
      <c r="G458" s="7">
        <f t="shared" si="14"/>
        <v>270</v>
      </c>
      <c r="H458" s="7" t="s">
        <v>0</v>
      </c>
      <c r="I458" s="7" cm="1">
        <f t="array" ref="I458">_xlfn.IFS(H458="25-50%",230,H458="Top 25 %",260,H458="50-75%",200,H458="Last 25%",170,H458="Retire",150)</f>
        <v>170</v>
      </c>
      <c r="J458" s="15">
        <f t="shared" si="15"/>
        <v>45900</v>
      </c>
    </row>
    <row r="459" spans="1:10" x14ac:dyDescent="0.3">
      <c r="A459" s="7" t="s">
        <v>511</v>
      </c>
      <c r="B459" s="7" t="str">
        <f>_xlfn.XLOOKUP(A459,'Vendor code- SKU mapping'!$B$1:$B$806,'Vendor code- SKU mapping'!$A$1:$A$806)</f>
        <v>EJSK</v>
      </c>
      <c r="C459" s="7">
        <f>VLOOKUP(B459,'Vendor -MOQ- Lead time'!$A$2:$B$45,2,0)</f>
        <v>45</v>
      </c>
      <c r="D459" s="13">
        <f>ROUND(IF('Task 2'!G459&lt;0,ABS('Task 2'!G459),0),0)</f>
        <v>0</v>
      </c>
      <c r="E459" s="7">
        <f>ROUND('Task 2'!D459*'Task 3'!C459,0)</f>
        <v>60</v>
      </c>
      <c r="F459" s="7">
        <f>VLOOKUP(B459,'Vendor -MOQ- Lead time'!$A$2:$C$45,3,0)</f>
        <v>270</v>
      </c>
      <c r="G459" s="7">
        <f t="shared" si="14"/>
        <v>270</v>
      </c>
      <c r="H459" s="7" t="s">
        <v>0</v>
      </c>
      <c r="I459" s="7" cm="1">
        <f t="array" ref="I459">_xlfn.IFS(H459="25-50%",230,H459="Top 25 %",260,H459="50-75%",200,H459="Last 25%",170,H459="Retire",150)</f>
        <v>170</v>
      </c>
      <c r="J459" s="15">
        <f t="shared" si="15"/>
        <v>45900</v>
      </c>
    </row>
    <row r="460" spans="1:10" x14ac:dyDescent="0.3">
      <c r="A460" s="7" t="s">
        <v>512</v>
      </c>
      <c r="B460" s="7" t="str">
        <f>_xlfn.XLOOKUP(A460,'Vendor code- SKU mapping'!$B$1:$B$806,'Vendor code- SKU mapping'!$A$1:$A$806)</f>
        <v>ISte</v>
      </c>
      <c r="C460" s="7">
        <f>VLOOKUP(B460,'Vendor -MOQ- Lead time'!$A$2:$B$45,2,0)</f>
        <v>45</v>
      </c>
      <c r="D460" s="13">
        <f>ROUND(IF('Task 2'!G460&lt;0,ABS('Task 2'!G460),0),0)</f>
        <v>0</v>
      </c>
      <c r="E460" s="7">
        <f>ROUND('Task 2'!D460*'Task 3'!C460,0)</f>
        <v>35</v>
      </c>
      <c r="F460" s="7">
        <f>VLOOKUP(B460,'Vendor -MOQ- Lead time'!$A$2:$C$45,3,0)</f>
        <v>270</v>
      </c>
      <c r="G460" s="7">
        <f t="shared" si="14"/>
        <v>270</v>
      </c>
      <c r="H460" s="7" t="s">
        <v>0</v>
      </c>
      <c r="I460" s="7" cm="1">
        <f t="array" ref="I460">_xlfn.IFS(H460="25-50%",230,H460="Top 25 %",260,H460="50-75%",200,H460="Last 25%",170,H460="Retire",150)</f>
        <v>170</v>
      </c>
      <c r="J460" s="15">
        <f t="shared" si="15"/>
        <v>45900</v>
      </c>
    </row>
    <row r="461" spans="1:10" x14ac:dyDescent="0.3">
      <c r="A461" s="7" t="s">
        <v>513</v>
      </c>
      <c r="B461" s="7" t="str">
        <f>_xlfn.XLOOKUP(A461,'Vendor code- SKU mapping'!$B$1:$B$806,'Vendor code- SKU mapping'!$A$1:$A$806)</f>
        <v>EHei</v>
      </c>
      <c r="C461" s="7">
        <f>VLOOKUP(B461,'Vendor -MOQ- Lead time'!$A$2:$B$45,2,0)</f>
        <v>45</v>
      </c>
      <c r="D461" s="13">
        <f>ROUND(IF('Task 2'!G461&lt;0,ABS('Task 2'!G461),0),0)</f>
        <v>0</v>
      </c>
      <c r="E461" s="7">
        <f>ROUND('Task 2'!D461*'Task 3'!C461,0)</f>
        <v>60</v>
      </c>
      <c r="F461" s="7">
        <f>VLOOKUP(B461,'Vendor -MOQ- Lead time'!$A$2:$C$45,3,0)</f>
        <v>270</v>
      </c>
      <c r="G461" s="7">
        <f t="shared" si="14"/>
        <v>270</v>
      </c>
      <c r="H461" s="7" t="s">
        <v>0</v>
      </c>
      <c r="I461" s="7" cm="1">
        <f t="array" ref="I461">_xlfn.IFS(H461="25-50%",230,H461="Top 25 %",260,H461="50-75%",200,H461="Last 25%",170,H461="Retire",150)</f>
        <v>170</v>
      </c>
      <c r="J461" s="15">
        <f t="shared" si="15"/>
        <v>45900</v>
      </c>
    </row>
    <row r="462" spans="1:10" x14ac:dyDescent="0.3">
      <c r="A462" s="7" t="s">
        <v>514</v>
      </c>
      <c r="B462" s="7" t="str">
        <f>_xlfn.XLOOKUP(A462,'Vendor code- SKU mapping'!$B$1:$B$806,'Vendor code- SKU mapping'!$A$1:$A$806)</f>
        <v>ISte</v>
      </c>
      <c r="C462" s="7">
        <f>VLOOKUP(B462,'Vendor -MOQ- Lead time'!$A$2:$B$45,2,0)</f>
        <v>45</v>
      </c>
      <c r="D462" s="13">
        <f>ROUND(IF('Task 2'!G462&lt;0,ABS('Task 2'!G462),0),0)</f>
        <v>0</v>
      </c>
      <c r="E462" s="7">
        <f>ROUND('Task 2'!D462*'Task 3'!C462,0)</f>
        <v>39</v>
      </c>
      <c r="F462" s="7">
        <f>VLOOKUP(B462,'Vendor -MOQ- Lead time'!$A$2:$C$45,3,0)</f>
        <v>270</v>
      </c>
      <c r="G462" s="7">
        <f t="shared" si="14"/>
        <v>270</v>
      </c>
      <c r="H462" s="7" t="s">
        <v>0</v>
      </c>
      <c r="I462" s="7" cm="1">
        <f t="array" ref="I462">_xlfn.IFS(H462="25-50%",230,H462="Top 25 %",260,H462="50-75%",200,H462="Last 25%",170,H462="Retire",150)</f>
        <v>170</v>
      </c>
      <c r="J462" s="15">
        <f t="shared" si="15"/>
        <v>45900</v>
      </c>
    </row>
    <row r="463" spans="1:10" x14ac:dyDescent="0.3">
      <c r="A463" s="7" t="s">
        <v>515</v>
      </c>
      <c r="B463" s="7" t="str">
        <f>_xlfn.XLOOKUP(A463,'Vendor code- SKU mapping'!$B$1:$B$806,'Vendor code- SKU mapping'!$A$1:$A$806)</f>
        <v>IStu</v>
      </c>
      <c r="C463" s="7">
        <f>VLOOKUP(B463,'Vendor -MOQ- Lead time'!$A$2:$B$45,2,0)</f>
        <v>30</v>
      </c>
      <c r="D463" s="13">
        <f>ROUND(IF('Task 2'!G463&lt;0,ABS('Task 2'!G463),0),0)</f>
        <v>0</v>
      </c>
      <c r="E463" s="7">
        <f>ROUND('Task 2'!D463*'Task 3'!C463,0)</f>
        <v>42</v>
      </c>
      <c r="F463" s="7">
        <f>VLOOKUP(B463,'Vendor -MOQ- Lead time'!$A$2:$C$45,3,0)</f>
        <v>180</v>
      </c>
      <c r="G463" s="7">
        <f t="shared" si="14"/>
        <v>180</v>
      </c>
      <c r="H463" s="7" t="s">
        <v>0</v>
      </c>
      <c r="I463" s="7" cm="1">
        <f t="array" ref="I463">_xlfn.IFS(H463="25-50%",230,H463="Top 25 %",260,H463="50-75%",200,H463="Last 25%",170,H463="Retire",150)</f>
        <v>170</v>
      </c>
      <c r="J463" s="15">
        <f t="shared" si="15"/>
        <v>30600</v>
      </c>
    </row>
    <row r="464" spans="1:10" x14ac:dyDescent="0.3">
      <c r="A464" s="7" t="s">
        <v>516</v>
      </c>
      <c r="B464" s="7" t="str">
        <f>_xlfn.XLOOKUP(A464,'Vendor code- SKU mapping'!$B$1:$B$806,'Vendor code- SKU mapping'!$A$1:$A$806)</f>
        <v>EJSK</v>
      </c>
      <c r="C464" s="7">
        <f>VLOOKUP(B464,'Vendor -MOQ- Lead time'!$A$2:$B$45,2,0)</f>
        <v>45</v>
      </c>
      <c r="D464" s="13">
        <f>ROUND(IF('Task 2'!G464&lt;0,ABS('Task 2'!G464),0),0)</f>
        <v>0</v>
      </c>
      <c r="E464" s="7">
        <f>ROUND('Task 2'!D464*'Task 3'!C464,0)</f>
        <v>63</v>
      </c>
      <c r="F464" s="7">
        <f>VLOOKUP(B464,'Vendor -MOQ- Lead time'!$A$2:$C$45,3,0)</f>
        <v>270</v>
      </c>
      <c r="G464" s="7">
        <f t="shared" si="14"/>
        <v>270</v>
      </c>
      <c r="H464" s="7" t="s">
        <v>0</v>
      </c>
      <c r="I464" s="7" cm="1">
        <f t="array" ref="I464">_xlfn.IFS(H464="25-50%",230,H464="Top 25 %",260,H464="50-75%",200,H464="Last 25%",170,H464="Retire",150)</f>
        <v>170</v>
      </c>
      <c r="J464" s="15">
        <f t="shared" si="15"/>
        <v>45900</v>
      </c>
    </row>
    <row r="465" spans="1:10" x14ac:dyDescent="0.3">
      <c r="A465" s="7" t="s">
        <v>517</v>
      </c>
      <c r="B465" s="7" t="str">
        <f>_xlfn.XLOOKUP(A465,'Vendor code- SKU mapping'!$B$1:$B$806,'Vendor code- SKU mapping'!$A$1:$A$806)</f>
        <v>EDaz</v>
      </c>
      <c r="C465" s="7">
        <f>VLOOKUP(B465,'Vendor -MOQ- Lead time'!$A$2:$B$45,2,0)</f>
        <v>30</v>
      </c>
      <c r="D465" s="13">
        <f>ROUND(IF('Task 2'!G465&lt;0,ABS('Task 2'!G465),0),0)</f>
        <v>0</v>
      </c>
      <c r="E465" s="7">
        <f>ROUND('Task 2'!D465*'Task 3'!C465,0)</f>
        <v>29</v>
      </c>
      <c r="F465" s="7">
        <f>VLOOKUP(B465,'Vendor -MOQ- Lead time'!$A$2:$C$45,3,0)</f>
        <v>180</v>
      </c>
      <c r="G465" s="7">
        <f t="shared" si="14"/>
        <v>180</v>
      </c>
      <c r="H465" s="7" t="s">
        <v>0</v>
      </c>
      <c r="I465" s="7" cm="1">
        <f t="array" ref="I465">_xlfn.IFS(H465="25-50%",230,H465="Top 25 %",260,H465="50-75%",200,H465="Last 25%",170,H465="Retire",150)</f>
        <v>170</v>
      </c>
      <c r="J465" s="15">
        <f t="shared" si="15"/>
        <v>30600</v>
      </c>
    </row>
    <row r="466" spans="1:10" x14ac:dyDescent="0.3">
      <c r="A466" s="7" t="s">
        <v>518</v>
      </c>
      <c r="B466" s="7" t="str">
        <f>_xlfn.XLOOKUP(A466,'Vendor code- SKU mapping'!$B$1:$B$806,'Vendor code- SKU mapping'!$A$1:$A$806)</f>
        <v>AAdi</v>
      </c>
      <c r="C466" s="7">
        <f>VLOOKUP(B466,'Vendor -MOQ- Lead time'!$A$2:$B$45,2,0)</f>
        <v>45</v>
      </c>
      <c r="D466" s="13">
        <f>ROUND(IF('Task 2'!G466&lt;0,ABS('Task 2'!G466),0),0)</f>
        <v>0</v>
      </c>
      <c r="E466" s="7">
        <f>ROUND('Task 2'!D466*'Task 3'!C466,0)</f>
        <v>29</v>
      </c>
      <c r="F466" s="7">
        <f>VLOOKUP(B466,'Vendor -MOQ- Lead time'!$A$2:$C$45,3,0)</f>
        <v>270</v>
      </c>
      <c r="G466" s="7">
        <f t="shared" si="14"/>
        <v>270</v>
      </c>
      <c r="H466" s="7" t="s">
        <v>0</v>
      </c>
      <c r="I466" s="7" cm="1">
        <f t="array" ref="I466">_xlfn.IFS(H466="25-50%",230,H466="Top 25 %",260,H466="50-75%",200,H466="Last 25%",170,H466="Retire",150)</f>
        <v>170</v>
      </c>
      <c r="J466" s="15">
        <f t="shared" si="15"/>
        <v>45900</v>
      </c>
    </row>
    <row r="467" spans="1:10" x14ac:dyDescent="0.3">
      <c r="A467" s="7" t="s">
        <v>519</v>
      </c>
      <c r="B467" s="7" t="str">
        <f>_xlfn.XLOOKUP(A467,'Vendor code- SKU mapping'!$B$1:$B$806,'Vendor code- SKU mapping'!$A$1:$A$806)</f>
        <v>ISte</v>
      </c>
      <c r="C467" s="7">
        <f>VLOOKUP(B467,'Vendor -MOQ- Lead time'!$A$2:$B$45,2,0)</f>
        <v>45</v>
      </c>
      <c r="D467" s="13">
        <f>ROUND(IF('Task 2'!G467&lt;0,ABS('Task 2'!G467),0),0)</f>
        <v>0</v>
      </c>
      <c r="E467" s="7">
        <f>ROUND('Task 2'!D467*'Task 3'!C467,0)</f>
        <v>29</v>
      </c>
      <c r="F467" s="7">
        <f>VLOOKUP(B467,'Vendor -MOQ- Lead time'!$A$2:$C$45,3,0)</f>
        <v>270</v>
      </c>
      <c r="G467" s="7">
        <f t="shared" si="14"/>
        <v>270</v>
      </c>
      <c r="H467" s="7" t="s">
        <v>0</v>
      </c>
      <c r="I467" s="7" cm="1">
        <f t="array" ref="I467">_xlfn.IFS(H467="25-50%",230,H467="Top 25 %",260,H467="50-75%",200,H467="Last 25%",170,H467="Retire",150)</f>
        <v>170</v>
      </c>
      <c r="J467" s="15">
        <f t="shared" si="15"/>
        <v>45900</v>
      </c>
    </row>
    <row r="468" spans="1:10" x14ac:dyDescent="0.3">
      <c r="A468" s="7" t="s">
        <v>520</v>
      </c>
      <c r="B468" s="7" t="str">
        <f>_xlfn.XLOOKUP(A468,'Vendor code- SKU mapping'!$B$1:$B$806,'Vendor code- SKU mapping'!$A$1:$A$806)</f>
        <v>EGV</v>
      </c>
      <c r="C468" s="7">
        <f>VLOOKUP(B468,'Vendor -MOQ- Lead time'!$A$2:$B$45,2,0)</f>
        <v>45</v>
      </c>
      <c r="D468" s="13">
        <f>ROUND(IF('Task 2'!G468&lt;0,ABS('Task 2'!G468),0),0)</f>
        <v>0</v>
      </c>
      <c r="E468" s="7">
        <f>ROUND('Task 2'!D468*'Task 3'!C468,0)</f>
        <v>29</v>
      </c>
      <c r="F468" s="7">
        <f>VLOOKUP(B468,'Vendor -MOQ- Lead time'!$A$2:$C$45,3,0)</f>
        <v>270</v>
      </c>
      <c r="G468" s="7">
        <f t="shared" si="14"/>
        <v>270</v>
      </c>
      <c r="H468" s="7" t="s">
        <v>0</v>
      </c>
      <c r="I468" s="7" cm="1">
        <f t="array" ref="I468">_xlfn.IFS(H468="25-50%",230,H468="Top 25 %",260,H468="50-75%",200,H468="Last 25%",170,H468="Retire",150)</f>
        <v>170</v>
      </c>
      <c r="J468" s="15">
        <f t="shared" si="15"/>
        <v>45900</v>
      </c>
    </row>
    <row r="469" spans="1:10" x14ac:dyDescent="0.3">
      <c r="A469" s="7" t="s">
        <v>521</v>
      </c>
      <c r="B469" s="7" t="str">
        <f>_xlfn.XLOOKUP(A469,'Vendor code- SKU mapping'!$B$1:$B$806,'Vendor code- SKU mapping'!$A$1:$A$806)</f>
        <v>ORed</v>
      </c>
      <c r="C469" s="7">
        <f>VLOOKUP(B469,'Vendor -MOQ- Lead time'!$A$2:$B$45,2,0)</f>
        <v>30</v>
      </c>
      <c r="D469" s="13">
        <f>ROUND(IF('Task 2'!G469&lt;0,ABS('Task 2'!G469),0),0)</f>
        <v>0</v>
      </c>
      <c r="E469" s="7">
        <f>ROUND('Task 2'!D469*'Task 3'!C469,0)</f>
        <v>8</v>
      </c>
      <c r="F469" s="7">
        <f>VLOOKUP(B469,'Vendor -MOQ- Lead time'!$A$2:$C$45,3,0)</f>
        <v>180</v>
      </c>
      <c r="G469" s="7">
        <f t="shared" si="14"/>
        <v>180</v>
      </c>
      <c r="H469" s="7" t="s">
        <v>0</v>
      </c>
      <c r="I469" s="7" cm="1">
        <f t="array" ref="I469">_xlfn.IFS(H469="25-50%",230,H469="Top 25 %",260,H469="50-75%",200,H469="Last 25%",170,H469="Retire",150)</f>
        <v>170</v>
      </c>
      <c r="J469" s="15">
        <f t="shared" si="15"/>
        <v>30600</v>
      </c>
    </row>
    <row r="470" spans="1:10" x14ac:dyDescent="0.3">
      <c r="A470" s="7" t="s">
        <v>522</v>
      </c>
      <c r="B470" s="7" t="str">
        <f>_xlfn.XLOOKUP(A470,'Vendor code- SKU mapping'!$B$1:$B$806,'Vendor code- SKU mapping'!$A$1:$A$806)</f>
        <v>EHei</v>
      </c>
      <c r="C470" s="7">
        <f>VLOOKUP(B470,'Vendor -MOQ- Lead time'!$A$2:$B$45,2,0)</f>
        <v>45</v>
      </c>
      <c r="D470" s="13">
        <f>ROUND(IF('Task 2'!G470&lt;0,ABS('Task 2'!G470),0),0)</f>
        <v>0</v>
      </c>
      <c r="E470" s="7">
        <f>ROUND('Task 2'!D470*'Task 3'!C470,0)</f>
        <v>9</v>
      </c>
      <c r="F470" s="7">
        <f>VLOOKUP(B470,'Vendor -MOQ- Lead time'!$A$2:$C$45,3,0)</f>
        <v>270</v>
      </c>
      <c r="G470" s="7">
        <f t="shared" si="14"/>
        <v>270</v>
      </c>
      <c r="H470" s="7" t="s">
        <v>0</v>
      </c>
      <c r="I470" s="7" cm="1">
        <f t="array" ref="I470">_xlfn.IFS(H470="25-50%",230,H470="Top 25 %",260,H470="50-75%",200,H470="Last 25%",170,H470="Retire",150)</f>
        <v>170</v>
      </c>
      <c r="J470" s="15">
        <f t="shared" si="15"/>
        <v>45900</v>
      </c>
    </row>
    <row r="471" spans="1:10" x14ac:dyDescent="0.3">
      <c r="A471" s="7" t="s">
        <v>523</v>
      </c>
      <c r="B471" s="7" t="str">
        <f>_xlfn.XLOOKUP(A471,'Vendor code- SKU mapping'!$B$1:$B$806,'Vendor code- SKU mapping'!$A$1:$A$806)</f>
        <v>ISte</v>
      </c>
      <c r="C471" s="7">
        <f>VLOOKUP(B471,'Vendor -MOQ- Lead time'!$A$2:$B$45,2,0)</f>
        <v>45</v>
      </c>
      <c r="D471" s="13">
        <f>ROUND(IF('Task 2'!G471&lt;0,ABS('Task 2'!G471),0),0)</f>
        <v>0</v>
      </c>
      <c r="E471" s="7">
        <f>ROUND('Task 2'!D471*'Task 3'!C471,0)</f>
        <v>71</v>
      </c>
      <c r="F471" s="7">
        <f>VLOOKUP(B471,'Vendor -MOQ- Lead time'!$A$2:$C$45,3,0)</f>
        <v>270</v>
      </c>
      <c r="G471" s="7">
        <f t="shared" si="14"/>
        <v>270</v>
      </c>
      <c r="H471" s="7" t="s">
        <v>1</v>
      </c>
      <c r="I471" s="7" cm="1">
        <f t="array" ref="I471">_xlfn.IFS(H471="25-50%",230,H471="Top 25 %",260,H471="50-75%",200,H471="Last 25%",170,H471="Retire",150)</f>
        <v>200</v>
      </c>
      <c r="J471" s="15">
        <f t="shared" si="15"/>
        <v>54000</v>
      </c>
    </row>
    <row r="472" spans="1:10" x14ac:dyDescent="0.3">
      <c r="A472" s="7" t="s">
        <v>524</v>
      </c>
      <c r="B472" s="7" t="str">
        <f>_xlfn.XLOOKUP(A472,'Vendor code- SKU mapping'!$B$1:$B$806,'Vendor code- SKU mapping'!$A$1:$A$806)</f>
        <v>EDaz</v>
      </c>
      <c r="C472" s="7">
        <f>VLOOKUP(B472,'Vendor -MOQ- Lead time'!$A$2:$B$45,2,0)</f>
        <v>30</v>
      </c>
      <c r="D472" s="13">
        <f>ROUND(IF('Task 2'!G472&lt;0,ABS('Task 2'!G472),0),0)</f>
        <v>0</v>
      </c>
      <c r="E472" s="7">
        <f>ROUND('Task 2'!D472*'Task 3'!C472,0)</f>
        <v>37</v>
      </c>
      <c r="F472" s="7">
        <f>VLOOKUP(B472,'Vendor -MOQ- Lead time'!$A$2:$C$45,3,0)</f>
        <v>180</v>
      </c>
      <c r="G472" s="7">
        <f t="shared" si="14"/>
        <v>180</v>
      </c>
      <c r="H472" s="7" t="s">
        <v>0</v>
      </c>
      <c r="I472" s="7" cm="1">
        <f t="array" ref="I472">_xlfn.IFS(H472="25-50%",230,H472="Top 25 %",260,H472="50-75%",200,H472="Last 25%",170,H472="Retire",150)</f>
        <v>170</v>
      </c>
      <c r="J472" s="15">
        <f t="shared" si="15"/>
        <v>30600</v>
      </c>
    </row>
    <row r="473" spans="1:10" x14ac:dyDescent="0.3">
      <c r="A473" s="7" t="s">
        <v>525</v>
      </c>
      <c r="B473" s="7" t="str">
        <f>_xlfn.XLOOKUP(A473,'Vendor code- SKU mapping'!$B$1:$B$806,'Vendor code- SKU mapping'!$A$1:$A$806)</f>
        <v>AAre</v>
      </c>
      <c r="C473" s="7">
        <f>VLOOKUP(B473,'Vendor -MOQ- Lead time'!$A$2:$B$45,2,0)</f>
        <v>45</v>
      </c>
      <c r="D473" s="13">
        <f>ROUND(IF('Task 2'!G473&lt;0,ABS('Task 2'!G473),0),0)</f>
        <v>0</v>
      </c>
      <c r="E473" s="7">
        <f>ROUND('Task 2'!D473*'Task 3'!C473,0)</f>
        <v>42</v>
      </c>
      <c r="F473" s="7">
        <f>VLOOKUP(B473,'Vendor -MOQ- Lead time'!$A$2:$C$45,3,0)</f>
        <v>270</v>
      </c>
      <c r="G473" s="7">
        <f t="shared" si="14"/>
        <v>270</v>
      </c>
      <c r="H473" s="7" t="s">
        <v>0</v>
      </c>
      <c r="I473" s="7" cm="1">
        <f t="array" ref="I473">_xlfn.IFS(H473="25-50%",230,H473="Top 25 %",260,H473="50-75%",200,H473="Last 25%",170,H473="Retire",150)</f>
        <v>170</v>
      </c>
      <c r="J473" s="15">
        <f t="shared" si="15"/>
        <v>45900</v>
      </c>
    </row>
    <row r="474" spans="1:10" x14ac:dyDescent="0.3">
      <c r="A474" s="7" t="s">
        <v>526</v>
      </c>
      <c r="B474" s="7" t="str">
        <f>_xlfn.XLOOKUP(A474,'Vendor code- SKU mapping'!$B$1:$B$806,'Vendor code- SKU mapping'!$A$1:$A$806)</f>
        <v>EJSK</v>
      </c>
      <c r="C474" s="7">
        <f>VLOOKUP(B474,'Vendor -MOQ- Lead time'!$A$2:$B$45,2,0)</f>
        <v>45</v>
      </c>
      <c r="D474" s="13">
        <f>ROUND(IF('Task 2'!G474&lt;0,ABS('Task 2'!G474),0),0)</f>
        <v>23</v>
      </c>
      <c r="E474" s="7">
        <f>ROUND('Task 2'!D474*'Task 3'!C474,0)</f>
        <v>84</v>
      </c>
      <c r="F474" s="7">
        <f>VLOOKUP(B474,'Vendor -MOQ- Lead time'!$A$2:$C$45,3,0)</f>
        <v>270</v>
      </c>
      <c r="G474" s="7">
        <f t="shared" si="14"/>
        <v>270</v>
      </c>
      <c r="H474" s="7" t="s">
        <v>0</v>
      </c>
      <c r="I474" s="7" cm="1">
        <f t="array" ref="I474">_xlfn.IFS(H474="25-50%",230,H474="Top 25 %",260,H474="50-75%",200,H474="Last 25%",170,H474="Retire",150)</f>
        <v>170</v>
      </c>
      <c r="J474" s="15">
        <f t="shared" si="15"/>
        <v>45900</v>
      </c>
    </row>
    <row r="475" spans="1:10" x14ac:dyDescent="0.3">
      <c r="A475" s="7" t="s">
        <v>527</v>
      </c>
      <c r="B475" s="7" t="str">
        <f>_xlfn.XLOOKUP(A475,'Vendor code- SKU mapping'!$B$1:$B$806,'Vendor code- SKU mapping'!$A$1:$A$806)</f>
        <v>ISte</v>
      </c>
      <c r="C475" s="7">
        <f>VLOOKUP(B475,'Vendor -MOQ- Lead time'!$A$2:$B$45,2,0)</f>
        <v>45</v>
      </c>
      <c r="D475" s="13">
        <f>ROUND(IF('Task 2'!G475&lt;0,ABS('Task 2'!G475),0),0)</f>
        <v>0</v>
      </c>
      <c r="E475" s="7">
        <f>ROUND('Task 2'!D475*'Task 3'!C475,0)</f>
        <v>35</v>
      </c>
      <c r="F475" s="7">
        <f>VLOOKUP(B475,'Vendor -MOQ- Lead time'!$A$2:$C$45,3,0)</f>
        <v>270</v>
      </c>
      <c r="G475" s="7">
        <f t="shared" si="14"/>
        <v>270</v>
      </c>
      <c r="H475" s="7" t="s">
        <v>0</v>
      </c>
      <c r="I475" s="7" cm="1">
        <f t="array" ref="I475">_xlfn.IFS(H475="25-50%",230,H475="Top 25 %",260,H475="50-75%",200,H475="Last 25%",170,H475="Retire",150)</f>
        <v>170</v>
      </c>
      <c r="J475" s="15">
        <f t="shared" si="15"/>
        <v>45900</v>
      </c>
    </row>
    <row r="476" spans="1:10" x14ac:dyDescent="0.3">
      <c r="A476" s="7" t="s">
        <v>528</v>
      </c>
      <c r="B476" s="7" t="str">
        <f>_xlfn.XLOOKUP(A476,'Vendor code- SKU mapping'!$B$1:$B$806,'Vendor code- SKU mapping'!$A$1:$A$806)</f>
        <v>ISV</v>
      </c>
      <c r="C476" s="7">
        <f>VLOOKUP(B476,'Vendor -MOQ- Lead time'!$A$2:$B$45,2,0)</f>
        <v>45</v>
      </c>
      <c r="D476" s="13">
        <f>ROUND(IF('Task 2'!G476&lt;0,ABS('Task 2'!G476),0),0)</f>
        <v>0</v>
      </c>
      <c r="E476" s="7">
        <f>ROUND('Task 2'!D476*'Task 3'!C476,0)</f>
        <v>32</v>
      </c>
      <c r="F476" s="7">
        <f>VLOOKUP(B476,'Vendor -MOQ- Lead time'!$A$2:$C$45,3,0)</f>
        <v>270</v>
      </c>
      <c r="G476" s="7">
        <f t="shared" si="14"/>
        <v>270</v>
      </c>
      <c r="H476" s="7" t="s">
        <v>0</v>
      </c>
      <c r="I476" s="7" cm="1">
        <f t="array" ref="I476">_xlfn.IFS(H476="25-50%",230,H476="Top 25 %",260,H476="50-75%",200,H476="Last 25%",170,H476="Retire",150)</f>
        <v>170</v>
      </c>
      <c r="J476" s="15">
        <f t="shared" si="15"/>
        <v>45900</v>
      </c>
    </row>
    <row r="477" spans="1:10" x14ac:dyDescent="0.3">
      <c r="A477" s="7" t="s">
        <v>529</v>
      </c>
      <c r="B477" s="7" t="str">
        <f>_xlfn.XLOOKUP(A477,'Vendor code- SKU mapping'!$B$1:$B$806,'Vendor code- SKU mapping'!$A$1:$A$806)</f>
        <v>AAre</v>
      </c>
      <c r="C477" s="7">
        <f>VLOOKUP(B477,'Vendor -MOQ- Lead time'!$A$2:$B$45,2,0)</f>
        <v>45</v>
      </c>
      <c r="D477" s="13">
        <f>ROUND(IF('Task 2'!G477&lt;0,ABS('Task 2'!G477),0),0)</f>
        <v>0</v>
      </c>
      <c r="E477" s="7">
        <f>ROUND('Task 2'!D477*'Task 3'!C477,0)</f>
        <v>26</v>
      </c>
      <c r="F477" s="7">
        <f>VLOOKUP(B477,'Vendor -MOQ- Lead time'!$A$2:$C$45,3,0)</f>
        <v>270</v>
      </c>
      <c r="G477" s="7">
        <f t="shared" si="14"/>
        <v>270</v>
      </c>
      <c r="H477" s="7" t="s">
        <v>0</v>
      </c>
      <c r="I477" s="7" cm="1">
        <f t="array" ref="I477">_xlfn.IFS(H477="25-50%",230,H477="Top 25 %",260,H477="50-75%",200,H477="Last 25%",170,H477="Retire",150)</f>
        <v>170</v>
      </c>
      <c r="J477" s="15">
        <f t="shared" si="15"/>
        <v>45900</v>
      </c>
    </row>
    <row r="478" spans="1:10" x14ac:dyDescent="0.3">
      <c r="A478" s="7" t="s">
        <v>530</v>
      </c>
      <c r="B478" s="7" t="str">
        <f>_xlfn.XLOOKUP(A478,'Vendor code- SKU mapping'!$B$1:$B$806,'Vendor code- SKU mapping'!$A$1:$A$806)</f>
        <v>ISte</v>
      </c>
      <c r="C478" s="7">
        <f>VLOOKUP(B478,'Vendor -MOQ- Lead time'!$A$2:$B$45,2,0)</f>
        <v>45</v>
      </c>
      <c r="D478" s="13">
        <f>ROUND(IF('Task 2'!G478&lt;0,ABS('Task 2'!G478),0),0)</f>
        <v>0</v>
      </c>
      <c r="E478" s="7">
        <f>ROUND('Task 2'!D478*'Task 3'!C478,0)</f>
        <v>18</v>
      </c>
      <c r="F478" s="7">
        <f>VLOOKUP(B478,'Vendor -MOQ- Lead time'!$A$2:$C$45,3,0)</f>
        <v>270</v>
      </c>
      <c r="G478" s="7">
        <f t="shared" si="14"/>
        <v>270</v>
      </c>
      <c r="H478" s="7" t="s">
        <v>0</v>
      </c>
      <c r="I478" s="7" cm="1">
        <f t="array" ref="I478">_xlfn.IFS(H478="25-50%",230,H478="Top 25 %",260,H478="50-75%",200,H478="Last 25%",170,H478="Retire",150)</f>
        <v>170</v>
      </c>
      <c r="J478" s="15">
        <f t="shared" si="15"/>
        <v>45900</v>
      </c>
    </row>
    <row r="479" spans="1:10" x14ac:dyDescent="0.3">
      <c r="A479" s="7" t="s">
        <v>531</v>
      </c>
      <c r="B479" s="7" t="str">
        <f>_xlfn.XLOOKUP(A479,'Vendor code- SKU mapping'!$B$1:$B$806,'Vendor code- SKU mapping'!$A$1:$A$806)</f>
        <v>EJSK</v>
      </c>
      <c r="C479" s="7">
        <f>VLOOKUP(B479,'Vendor -MOQ- Lead time'!$A$2:$B$45,2,0)</f>
        <v>45</v>
      </c>
      <c r="D479" s="13">
        <f>ROUND(IF('Task 2'!G479&lt;0,ABS('Task 2'!G479),0),0)</f>
        <v>0</v>
      </c>
      <c r="E479" s="7">
        <f>ROUND('Task 2'!D479*'Task 3'!C479,0)</f>
        <v>41</v>
      </c>
      <c r="F479" s="7">
        <f>VLOOKUP(B479,'Vendor -MOQ- Lead time'!$A$2:$C$45,3,0)</f>
        <v>270</v>
      </c>
      <c r="G479" s="7">
        <f t="shared" si="14"/>
        <v>270</v>
      </c>
      <c r="H479" s="7" t="s">
        <v>0</v>
      </c>
      <c r="I479" s="7" cm="1">
        <f t="array" ref="I479">_xlfn.IFS(H479="25-50%",230,H479="Top 25 %",260,H479="50-75%",200,H479="Last 25%",170,H479="Retire",150)</f>
        <v>170</v>
      </c>
      <c r="J479" s="15">
        <f t="shared" si="15"/>
        <v>45900</v>
      </c>
    </row>
    <row r="480" spans="1:10" x14ac:dyDescent="0.3">
      <c r="A480" s="7" t="s">
        <v>532</v>
      </c>
      <c r="B480" s="7" t="str">
        <f>_xlfn.XLOOKUP(A480,'Vendor code- SKU mapping'!$B$1:$B$806,'Vendor code- SKU mapping'!$A$1:$A$806)</f>
        <v>OShe</v>
      </c>
      <c r="C480" s="7">
        <f>VLOOKUP(B480,'Vendor -MOQ- Lead time'!$A$2:$B$45,2,0)</f>
        <v>30</v>
      </c>
      <c r="D480" s="13">
        <f>ROUND(IF('Task 2'!G480&lt;0,ABS('Task 2'!G480),0),0)</f>
        <v>0</v>
      </c>
      <c r="E480" s="7">
        <f>ROUND('Task 2'!D480*'Task 3'!C480,0)</f>
        <v>28</v>
      </c>
      <c r="F480" s="7">
        <f>VLOOKUP(B480,'Vendor -MOQ- Lead time'!$A$2:$C$45,3,0)</f>
        <v>180</v>
      </c>
      <c r="G480" s="7">
        <f t="shared" si="14"/>
        <v>180</v>
      </c>
      <c r="H480" s="7" t="s">
        <v>0</v>
      </c>
      <c r="I480" s="7" cm="1">
        <f t="array" ref="I480">_xlfn.IFS(H480="25-50%",230,H480="Top 25 %",260,H480="50-75%",200,H480="Last 25%",170,H480="Retire",150)</f>
        <v>170</v>
      </c>
      <c r="J480" s="15">
        <f t="shared" si="15"/>
        <v>30600</v>
      </c>
    </row>
    <row r="481" spans="1:10" x14ac:dyDescent="0.3">
      <c r="A481" s="7" t="s">
        <v>533</v>
      </c>
      <c r="B481" s="7" t="str">
        <f>_xlfn.XLOOKUP(A481,'Vendor code- SKU mapping'!$B$1:$B$806,'Vendor code- SKU mapping'!$A$1:$A$806)</f>
        <v>ISV</v>
      </c>
      <c r="C481" s="7">
        <f>VLOOKUP(B481,'Vendor -MOQ- Lead time'!$A$2:$B$45,2,0)</f>
        <v>45</v>
      </c>
      <c r="D481" s="13">
        <f>ROUND(IF('Task 2'!G481&lt;0,ABS('Task 2'!G481),0),0)</f>
        <v>0</v>
      </c>
      <c r="E481" s="7">
        <f>ROUND('Task 2'!D481*'Task 3'!C481,0)</f>
        <v>23</v>
      </c>
      <c r="F481" s="7">
        <f>VLOOKUP(B481,'Vendor -MOQ- Lead time'!$A$2:$C$45,3,0)</f>
        <v>270</v>
      </c>
      <c r="G481" s="7">
        <f t="shared" si="14"/>
        <v>270</v>
      </c>
      <c r="H481" s="7" t="s">
        <v>0</v>
      </c>
      <c r="I481" s="7" cm="1">
        <f t="array" ref="I481">_xlfn.IFS(H481="25-50%",230,H481="Top 25 %",260,H481="50-75%",200,H481="Last 25%",170,H481="Retire",150)</f>
        <v>170</v>
      </c>
      <c r="J481" s="15">
        <f t="shared" si="15"/>
        <v>45900</v>
      </c>
    </row>
    <row r="482" spans="1:10" x14ac:dyDescent="0.3">
      <c r="A482" s="7" t="s">
        <v>534</v>
      </c>
      <c r="B482" s="7" t="str">
        <f>_xlfn.XLOOKUP(A482,'Vendor code- SKU mapping'!$B$1:$B$806,'Vendor code- SKU mapping'!$A$1:$A$806)</f>
        <v>ORed</v>
      </c>
      <c r="C482" s="7">
        <f>VLOOKUP(B482,'Vendor -MOQ- Lead time'!$A$2:$B$45,2,0)</f>
        <v>30</v>
      </c>
      <c r="D482" s="13">
        <f>ROUND(IF('Task 2'!G482&lt;0,ABS('Task 2'!G482),0),0)</f>
        <v>0</v>
      </c>
      <c r="E482" s="7">
        <f>ROUND('Task 2'!D482*'Task 3'!C482,0)</f>
        <v>11</v>
      </c>
      <c r="F482" s="7">
        <f>VLOOKUP(B482,'Vendor -MOQ- Lead time'!$A$2:$C$45,3,0)</f>
        <v>180</v>
      </c>
      <c r="G482" s="7">
        <f t="shared" si="14"/>
        <v>180</v>
      </c>
      <c r="H482" s="7" t="s">
        <v>0</v>
      </c>
      <c r="I482" s="7" cm="1">
        <f t="array" ref="I482">_xlfn.IFS(H482="25-50%",230,H482="Top 25 %",260,H482="50-75%",200,H482="Last 25%",170,H482="Retire",150)</f>
        <v>170</v>
      </c>
      <c r="J482" s="15">
        <f t="shared" si="15"/>
        <v>30600</v>
      </c>
    </row>
    <row r="483" spans="1:10" x14ac:dyDescent="0.3">
      <c r="A483" s="7" t="s">
        <v>535</v>
      </c>
      <c r="B483" s="7" t="str">
        <f>_xlfn.XLOOKUP(A483,'Vendor code- SKU mapping'!$B$1:$B$806,'Vendor code- SKU mapping'!$A$1:$A$806)</f>
        <v>ISte</v>
      </c>
      <c r="C483" s="7">
        <f>VLOOKUP(B483,'Vendor -MOQ- Lead time'!$A$2:$B$45,2,0)</f>
        <v>45</v>
      </c>
      <c r="D483" s="13">
        <f>ROUND(IF('Task 2'!G483&lt;0,ABS('Task 2'!G483),0),0)</f>
        <v>0</v>
      </c>
      <c r="E483" s="7">
        <f>ROUND('Task 2'!D483*'Task 3'!C483,0)</f>
        <v>45</v>
      </c>
      <c r="F483" s="7">
        <f>VLOOKUP(B483,'Vendor -MOQ- Lead time'!$A$2:$C$45,3,0)</f>
        <v>270</v>
      </c>
      <c r="G483" s="7">
        <f t="shared" si="14"/>
        <v>270</v>
      </c>
      <c r="H483" s="7" t="s">
        <v>0</v>
      </c>
      <c r="I483" s="7" cm="1">
        <f t="array" ref="I483">_xlfn.IFS(H483="25-50%",230,H483="Top 25 %",260,H483="50-75%",200,H483="Last 25%",170,H483="Retire",150)</f>
        <v>170</v>
      </c>
      <c r="J483" s="15">
        <f t="shared" si="15"/>
        <v>45900</v>
      </c>
    </row>
    <row r="484" spans="1:10" x14ac:dyDescent="0.3">
      <c r="A484" s="7" t="s">
        <v>536</v>
      </c>
      <c r="B484" s="7" t="str">
        <f>_xlfn.XLOOKUP(A484,'Vendor code- SKU mapping'!$B$1:$B$806,'Vendor code- SKU mapping'!$A$1:$A$806)</f>
        <v>EHei</v>
      </c>
      <c r="C484" s="7">
        <f>VLOOKUP(B484,'Vendor -MOQ- Lead time'!$A$2:$B$45,2,0)</f>
        <v>45</v>
      </c>
      <c r="D484" s="13">
        <f>ROUND(IF('Task 2'!G484&lt;0,ABS('Task 2'!G484),0),0)</f>
        <v>0</v>
      </c>
      <c r="E484" s="7">
        <f>ROUND('Task 2'!D484*'Task 3'!C484,0)</f>
        <v>15</v>
      </c>
      <c r="F484" s="7">
        <f>VLOOKUP(B484,'Vendor -MOQ- Lead time'!$A$2:$C$45,3,0)</f>
        <v>270</v>
      </c>
      <c r="G484" s="7">
        <f t="shared" si="14"/>
        <v>270</v>
      </c>
      <c r="H484" s="7" t="s">
        <v>0</v>
      </c>
      <c r="I484" s="7" cm="1">
        <f t="array" ref="I484">_xlfn.IFS(H484="25-50%",230,H484="Top 25 %",260,H484="50-75%",200,H484="Last 25%",170,H484="Retire",150)</f>
        <v>170</v>
      </c>
      <c r="J484" s="15">
        <f t="shared" si="15"/>
        <v>45900</v>
      </c>
    </row>
    <row r="485" spans="1:10" x14ac:dyDescent="0.3">
      <c r="A485" s="7" t="s">
        <v>537</v>
      </c>
      <c r="B485" s="7" t="str">
        <f>_xlfn.XLOOKUP(A485,'Vendor code- SKU mapping'!$B$1:$B$806,'Vendor code- SKU mapping'!$A$1:$A$806)</f>
        <v>EHei</v>
      </c>
      <c r="C485" s="7">
        <f>VLOOKUP(B485,'Vendor -MOQ- Lead time'!$A$2:$B$45,2,0)</f>
        <v>45</v>
      </c>
      <c r="D485" s="13">
        <f>ROUND(IF('Task 2'!G485&lt;0,ABS('Task 2'!G485),0),0)</f>
        <v>0</v>
      </c>
      <c r="E485" s="7">
        <f>ROUND('Task 2'!D485*'Task 3'!C485,0)</f>
        <v>20</v>
      </c>
      <c r="F485" s="7">
        <f>VLOOKUP(B485,'Vendor -MOQ- Lead time'!$A$2:$C$45,3,0)</f>
        <v>270</v>
      </c>
      <c r="G485" s="7">
        <f t="shared" si="14"/>
        <v>270</v>
      </c>
      <c r="H485" s="7" t="s">
        <v>0</v>
      </c>
      <c r="I485" s="7" cm="1">
        <f t="array" ref="I485">_xlfn.IFS(H485="25-50%",230,H485="Top 25 %",260,H485="50-75%",200,H485="Last 25%",170,H485="Retire",150)</f>
        <v>170</v>
      </c>
      <c r="J485" s="15">
        <f t="shared" si="15"/>
        <v>45900</v>
      </c>
    </row>
    <row r="486" spans="1:10" x14ac:dyDescent="0.3">
      <c r="A486" s="7" t="s">
        <v>538</v>
      </c>
      <c r="B486" s="7" t="str">
        <f>_xlfn.XLOOKUP(A486,'Vendor code- SKU mapping'!$B$1:$B$806,'Vendor code- SKU mapping'!$A$1:$A$806)</f>
        <v>EEnh</v>
      </c>
      <c r="C486" s="7">
        <f>VLOOKUP(B486,'Vendor -MOQ- Lead time'!$A$2:$B$45,2,0)</f>
        <v>60</v>
      </c>
      <c r="D486" s="13">
        <f>ROUND(IF('Task 2'!G486&lt;0,ABS('Task 2'!G486),0),0)</f>
        <v>0</v>
      </c>
      <c r="E486" s="7">
        <f>ROUND('Task 2'!D486*'Task 3'!C486,0)</f>
        <v>22</v>
      </c>
      <c r="F486" s="7">
        <f>VLOOKUP(B486,'Vendor -MOQ- Lead time'!$A$2:$C$45,3,0)</f>
        <v>720</v>
      </c>
      <c r="G486" s="7">
        <f t="shared" si="14"/>
        <v>720</v>
      </c>
      <c r="H486" s="7" t="s">
        <v>0</v>
      </c>
      <c r="I486" s="7" cm="1">
        <f t="array" ref="I486">_xlfn.IFS(H486="25-50%",230,H486="Top 25 %",260,H486="50-75%",200,H486="Last 25%",170,H486="Retire",150)</f>
        <v>170</v>
      </c>
      <c r="J486" s="15">
        <f t="shared" si="15"/>
        <v>122400</v>
      </c>
    </row>
    <row r="487" spans="1:10" x14ac:dyDescent="0.3">
      <c r="A487" s="7" t="s">
        <v>539</v>
      </c>
      <c r="B487" s="7" t="str">
        <f>_xlfn.XLOOKUP(A487,'Vendor code- SKU mapping'!$B$1:$B$806,'Vendor code- SKU mapping'!$A$1:$A$806)</f>
        <v>IStu</v>
      </c>
      <c r="C487" s="7">
        <f>VLOOKUP(B487,'Vendor -MOQ- Lead time'!$A$2:$B$45,2,0)</f>
        <v>30</v>
      </c>
      <c r="D487" s="13">
        <f>ROUND(IF('Task 2'!G487&lt;0,ABS('Task 2'!G487),0),0)</f>
        <v>0</v>
      </c>
      <c r="E487" s="7">
        <f>ROUND('Task 2'!D487*'Task 3'!C487,0)</f>
        <v>7</v>
      </c>
      <c r="F487" s="7">
        <f>VLOOKUP(B487,'Vendor -MOQ- Lead time'!$A$2:$C$45,3,0)</f>
        <v>180</v>
      </c>
      <c r="G487" s="7">
        <f t="shared" si="14"/>
        <v>180</v>
      </c>
      <c r="H487" s="7" t="s">
        <v>0</v>
      </c>
      <c r="I487" s="7" cm="1">
        <f t="array" ref="I487">_xlfn.IFS(H487="25-50%",230,H487="Top 25 %",260,H487="50-75%",200,H487="Last 25%",170,H487="Retire",150)</f>
        <v>170</v>
      </c>
      <c r="J487" s="15">
        <f t="shared" si="15"/>
        <v>30600</v>
      </c>
    </row>
    <row r="488" spans="1:10" x14ac:dyDescent="0.3">
      <c r="A488" s="7" t="s">
        <v>540</v>
      </c>
      <c r="B488" s="7" t="str">
        <f>_xlfn.XLOOKUP(A488,'Vendor code- SKU mapping'!$B$1:$B$806,'Vendor code- SKU mapping'!$A$1:$A$806)</f>
        <v>AAre</v>
      </c>
      <c r="C488" s="7">
        <f>VLOOKUP(B488,'Vendor -MOQ- Lead time'!$A$2:$B$45,2,0)</f>
        <v>45</v>
      </c>
      <c r="D488" s="13">
        <f>ROUND(IF('Task 2'!G488&lt;0,ABS('Task 2'!G488),0),0)</f>
        <v>0</v>
      </c>
      <c r="E488" s="7">
        <f>ROUND('Task 2'!D488*'Task 3'!C488,0)</f>
        <v>110</v>
      </c>
      <c r="F488" s="7">
        <f>VLOOKUP(B488,'Vendor -MOQ- Lead time'!$A$2:$C$45,3,0)</f>
        <v>270</v>
      </c>
      <c r="G488" s="7">
        <f t="shared" si="14"/>
        <v>270</v>
      </c>
      <c r="H488" s="7" t="s">
        <v>3</v>
      </c>
      <c r="I488" s="7" cm="1">
        <f t="array" ref="I488">_xlfn.IFS(H488="25-50%",230,H488="Top 25 %",260,H488="50-75%",200,H488="Last 25%",170,H488="Retire",150)</f>
        <v>150</v>
      </c>
      <c r="J488" s="15">
        <f t="shared" si="15"/>
        <v>40500</v>
      </c>
    </row>
    <row r="489" spans="1:10" x14ac:dyDescent="0.3">
      <c r="A489" s="7" t="s">
        <v>541</v>
      </c>
      <c r="B489" s="7" t="str">
        <f>_xlfn.XLOOKUP(A489,'Vendor code- SKU mapping'!$B$1:$B$806,'Vendor code- SKU mapping'!$A$1:$A$806)</f>
        <v>ORed</v>
      </c>
      <c r="C489" s="7">
        <f>VLOOKUP(B489,'Vendor -MOQ- Lead time'!$A$2:$B$45,2,0)</f>
        <v>30</v>
      </c>
      <c r="D489" s="13">
        <f>ROUND(IF('Task 2'!G489&lt;0,ABS('Task 2'!G489),0),0)</f>
        <v>0</v>
      </c>
      <c r="E489" s="7">
        <f>ROUND('Task 2'!D489*'Task 3'!C489,0)</f>
        <v>65</v>
      </c>
      <c r="F489" s="7">
        <f>VLOOKUP(B489,'Vendor -MOQ- Lead time'!$A$2:$C$45,3,0)</f>
        <v>180</v>
      </c>
      <c r="G489" s="7">
        <f t="shared" si="14"/>
        <v>180</v>
      </c>
      <c r="H489" s="7" t="s">
        <v>0</v>
      </c>
      <c r="I489" s="7" cm="1">
        <f t="array" ref="I489">_xlfn.IFS(H489="25-50%",230,H489="Top 25 %",260,H489="50-75%",200,H489="Last 25%",170,H489="Retire",150)</f>
        <v>170</v>
      </c>
      <c r="J489" s="15">
        <f t="shared" si="15"/>
        <v>30600</v>
      </c>
    </row>
    <row r="490" spans="1:10" x14ac:dyDescent="0.3">
      <c r="A490" s="7" t="s">
        <v>542</v>
      </c>
      <c r="B490" s="7" t="str">
        <f>_xlfn.XLOOKUP(A490,'Vendor code- SKU mapping'!$B$1:$B$806,'Vendor code- SKU mapping'!$A$1:$A$806)</f>
        <v>EHei</v>
      </c>
      <c r="C490" s="7">
        <f>VLOOKUP(B490,'Vendor -MOQ- Lead time'!$A$2:$B$45,2,0)</f>
        <v>45</v>
      </c>
      <c r="D490" s="13">
        <f>ROUND(IF('Task 2'!G490&lt;0,ABS('Task 2'!G490),0),0)</f>
        <v>0</v>
      </c>
      <c r="E490" s="7">
        <f>ROUND('Task 2'!D490*'Task 3'!C490,0)</f>
        <v>50</v>
      </c>
      <c r="F490" s="7">
        <f>VLOOKUP(B490,'Vendor -MOQ- Lead time'!$A$2:$C$45,3,0)</f>
        <v>270</v>
      </c>
      <c r="G490" s="7">
        <f t="shared" si="14"/>
        <v>270</v>
      </c>
      <c r="H490" s="7" t="s">
        <v>0</v>
      </c>
      <c r="I490" s="7" cm="1">
        <f t="array" ref="I490">_xlfn.IFS(H490="25-50%",230,H490="Top 25 %",260,H490="50-75%",200,H490="Last 25%",170,H490="Retire",150)</f>
        <v>170</v>
      </c>
      <c r="J490" s="15">
        <f t="shared" si="15"/>
        <v>45900</v>
      </c>
    </row>
    <row r="491" spans="1:10" x14ac:dyDescent="0.3">
      <c r="A491" s="7" t="s">
        <v>543</v>
      </c>
      <c r="B491" s="7" t="str">
        <f>_xlfn.XLOOKUP(A491,'Vendor code- SKU mapping'!$B$1:$B$806,'Vendor code- SKU mapping'!$A$1:$A$806)</f>
        <v>EDaz</v>
      </c>
      <c r="C491" s="7">
        <f>VLOOKUP(B491,'Vendor -MOQ- Lead time'!$A$2:$B$45,2,0)</f>
        <v>30</v>
      </c>
      <c r="D491" s="13">
        <f>ROUND(IF('Task 2'!G491&lt;0,ABS('Task 2'!G491),0),0)</f>
        <v>0</v>
      </c>
      <c r="E491" s="7">
        <f>ROUND('Task 2'!D491*'Task 3'!C491,0)</f>
        <v>31</v>
      </c>
      <c r="F491" s="7">
        <f>VLOOKUP(B491,'Vendor -MOQ- Lead time'!$A$2:$C$45,3,0)</f>
        <v>180</v>
      </c>
      <c r="G491" s="7">
        <f t="shared" si="14"/>
        <v>180</v>
      </c>
      <c r="H491" s="7" t="s">
        <v>0</v>
      </c>
      <c r="I491" s="7" cm="1">
        <f t="array" ref="I491">_xlfn.IFS(H491="25-50%",230,H491="Top 25 %",260,H491="50-75%",200,H491="Last 25%",170,H491="Retire",150)</f>
        <v>170</v>
      </c>
      <c r="J491" s="15">
        <f t="shared" si="15"/>
        <v>30600</v>
      </c>
    </row>
    <row r="492" spans="1:10" x14ac:dyDescent="0.3">
      <c r="A492" s="7" t="s">
        <v>544</v>
      </c>
      <c r="B492" s="7" t="str">
        <f>_xlfn.XLOOKUP(A492,'Vendor code- SKU mapping'!$B$1:$B$806,'Vendor code- SKU mapping'!$A$1:$A$806)</f>
        <v>ISte</v>
      </c>
      <c r="C492" s="7">
        <f>VLOOKUP(B492,'Vendor -MOQ- Lead time'!$A$2:$B$45,2,0)</f>
        <v>45</v>
      </c>
      <c r="D492" s="13">
        <f>ROUND(IF('Task 2'!G492&lt;0,ABS('Task 2'!G492),0),0)</f>
        <v>0</v>
      </c>
      <c r="E492" s="7">
        <f>ROUND('Task 2'!D492*'Task 3'!C492,0)</f>
        <v>39</v>
      </c>
      <c r="F492" s="7">
        <f>VLOOKUP(B492,'Vendor -MOQ- Lead time'!$A$2:$C$45,3,0)</f>
        <v>270</v>
      </c>
      <c r="G492" s="7">
        <f t="shared" si="14"/>
        <v>270</v>
      </c>
      <c r="H492" s="7" t="s">
        <v>0</v>
      </c>
      <c r="I492" s="7" cm="1">
        <f t="array" ref="I492">_xlfn.IFS(H492="25-50%",230,H492="Top 25 %",260,H492="50-75%",200,H492="Last 25%",170,H492="Retire",150)</f>
        <v>170</v>
      </c>
      <c r="J492" s="15">
        <f t="shared" si="15"/>
        <v>45900</v>
      </c>
    </row>
    <row r="493" spans="1:10" x14ac:dyDescent="0.3">
      <c r="A493" s="7" t="s">
        <v>545</v>
      </c>
      <c r="B493" s="7" t="str">
        <f>_xlfn.XLOOKUP(A493,'Vendor code- SKU mapping'!$B$1:$B$806,'Vendor code- SKU mapping'!$A$1:$A$806)</f>
        <v>OMah</v>
      </c>
      <c r="C493" s="7">
        <f>VLOOKUP(B493,'Vendor -MOQ- Lead time'!$A$2:$B$45,2,0)</f>
        <v>45</v>
      </c>
      <c r="D493" s="13">
        <f>ROUND(IF('Task 2'!G493&lt;0,ABS('Task 2'!G493),0),0)</f>
        <v>0</v>
      </c>
      <c r="E493" s="7">
        <f>ROUND('Task 2'!D493*'Task 3'!C493,0)</f>
        <v>38</v>
      </c>
      <c r="F493" s="7">
        <f>VLOOKUP(B493,'Vendor -MOQ- Lead time'!$A$2:$C$45,3,0)</f>
        <v>270</v>
      </c>
      <c r="G493" s="7">
        <f t="shared" si="14"/>
        <v>270</v>
      </c>
      <c r="H493" s="7" t="s">
        <v>0</v>
      </c>
      <c r="I493" s="7" cm="1">
        <f t="array" ref="I493">_xlfn.IFS(H493="25-50%",230,H493="Top 25 %",260,H493="50-75%",200,H493="Last 25%",170,H493="Retire",150)</f>
        <v>170</v>
      </c>
      <c r="J493" s="15">
        <f t="shared" si="15"/>
        <v>45900</v>
      </c>
    </row>
    <row r="494" spans="1:10" x14ac:dyDescent="0.3">
      <c r="A494" s="7" t="s">
        <v>546</v>
      </c>
      <c r="B494" s="7" t="str">
        <f>_xlfn.XLOOKUP(A494,'Vendor code- SKU mapping'!$B$1:$B$806,'Vendor code- SKU mapping'!$A$1:$A$806)</f>
        <v>AAri</v>
      </c>
      <c r="C494" s="7">
        <f>VLOOKUP(B494,'Vendor -MOQ- Lead time'!$A$2:$B$45,2,0)</f>
        <v>30</v>
      </c>
      <c r="D494" s="13">
        <f>ROUND(IF('Task 2'!G494&lt;0,ABS('Task 2'!G494),0),0)</f>
        <v>0</v>
      </c>
      <c r="E494" s="7">
        <f>ROUND('Task 2'!D494*'Task 3'!C494,0)</f>
        <v>20</v>
      </c>
      <c r="F494" s="7">
        <f>VLOOKUP(B494,'Vendor -MOQ- Lead time'!$A$2:$C$45,3,0)</f>
        <v>180</v>
      </c>
      <c r="G494" s="7">
        <f t="shared" si="14"/>
        <v>180</v>
      </c>
      <c r="H494" s="7" t="s">
        <v>0</v>
      </c>
      <c r="I494" s="7" cm="1">
        <f t="array" ref="I494">_xlfn.IFS(H494="25-50%",230,H494="Top 25 %",260,H494="50-75%",200,H494="Last 25%",170,H494="Retire",150)</f>
        <v>170</v>
      </c>
      <c r="J494" s="15">
        <f t="shared" si="15"/>
        <v>30600</v>
      </c>
    </row>
    <row r="495" spans="1:10" x14ac:dyDescent="0.3">
      <c r="A495" s="7" t="s">
        <v>547</v>
      </c>
      <c r="B495" s="7" t="str">
        <f>_xlfn.XLOOKUP(A495,'Vendor code- SKU mapping'!$B$1:$B$806,'Vendor code- SKU mapping'!$A$1:$A$806)</f>
        <v>ISV</v>
      </c>
      <c r="C495" s="7">
        <f>VLOOKUP(B495,'Vendor -MOQ- Lead time'!$A$2:$B$45,2,0)</f>
        <v>45</v>
      </c>
      <c r="D495" s="13">
        <f>ROUND(IF('Task 2'!G495&lt;0,ABS('Task 2'!G495),0),0)</f>
        <v>0</v>
      </c>
      <c r="E495" s="7">
        <f>ROUND('Task 2'!D495*'Task 3'!C495,0)</f>
        <v>35</v>
      </c>
      <c r="F495" s="7">
        <f>VLOOKUP(B495,'Vendor -MOQ- Lead time'!$A$2:$C$45,3,0)</f>
        <v>270</v>
      </c>
      <c r="G495" s="7">
        <f t="shared" si="14"/>
        <v>270</v>
      </c>
      <c r="H495" s="7" t="s">
        <v>0</v>
      </c>
      <c r="I495" s="7" cm="1">
        <f t="array" ref="I495">_xlfn.IFS(H495="25-50%",230,H495="Top 25 %",260,H495="50-75%",200,H495="Last 25%",170,H495="Retire",150)</f>
        <v>170</v>
      </c>
      <c r="J495" s="15">
        <f t="shared" si="15"/>
        <v>45900</v>
      </c>
    </row>
    <row r="496" spans="1:10" x14ac:dyDescent="0.3">
      <c r="A496" s="7" t="s">
        <v>548</v>
      </c>
      <c r="B496" s="7" t="str">
        <f>_xlfn.XLOOKUP(A496,'Vendor code- SKU mapping'!$B$1:$B$806,'Vendor code- SKU mapping'!$A$1:$A$806)</f>
        <v>ISte</v>
      </c>
      <c r="C496" s="7">
        <f>VLOOKUP(B496,'Vendor -MOQ- Lead time'!$A$2:$B$45,2,0)</f>
        <v>45</v>
      </c>
      <c r="D496" s="13">
        <f>ROUND(IF('Task 2'!G496&lt;0,ABS('Task 2'!G496),0),0)</f>
        <v>0</v>
      </c>
      <c r="E496" s="7">
        <f>ROUND('Task 2'!D496*'Task 3'!C496,0)</f>
        <v>41</v>
      </c>
      <c r="F496" s="7">
        <f>VLOOKUP(B496,'Vendor -MOQ- Lead time'!$A$2:$C$45,3,0)</f>
        <v>270</v>
      </c>
      <c r="G496" s="7">
        <f t="shared" si="14"/>
        <v>270</v>
      </c>
      <c r="H496" s="7" t="s">
        <v>0</v>
      </c>
      <c r="I496" s="7" cm="1">
        <f t="array" ref="I496">_xlfn.IFS(H496="25-50%",230,H496="Top 25 %",260,H496="50-75%",200,H496="Last 25%",170,H496="Retire",150)</f>
        <v>170</v>
      </c>
      <c r="J496" s="15">
        <f t="shared" si="15"/>
        <v>45900</v>
      </c>
    </row>
    <row r="497" spans="1:10" x14ac:dyDescent="0.3">
      <c r="A497" s="7" t="s">
        <v>549</v>
      </c>
      <c r="B497" s="7" t="str">
        <f>_xlfn.XLOOKUP(A497,'Vendor code- SKU mapping'!$B$1:$B$806,'Vendor code- SKU mapping'!$A$1:$A$806)</f>
        <v>ISte</v>
      </c>
      <c r="C497" s="7">
        <f>VLOOKUP(B497,'Vendor -MOQ- Lead time'!$A$2:$B$45,2,0)</f>
        <v>45</v>
      </c>
      <c r="D497" s="13">
        <f>ROUND(IF('Task 2'!G497&lt;0,ABS('Task 2'!G497),0),0)</f>
        <v>0</v>
      </c>
      <c r="E497" s="7">
        <f>ROUND('Task 2'!D497*'Task 3'!C497,0)</f>
        <v>41</v>
      </c>
      <c r="F497" s="7">
        <f>VLOOKUP(B497,'Vendor -MOQ- Lead time'!$A$2:$C$45,3,0)</f>
        <v>270</v>
      </c>
      <c r="G497" s="7">
        <f t="shared" si="14"/>
        <v>270</v>
      </c>
      <c r="H497" s="7" t="s">
        <v>0</v>
      </c>
      <c r="I497" s="7" cm="1">
        <f t="array" ref="I497">_xlfn.IFS(H497="25-50%",230,H497="Top 25 %",260,H497="50-75%",200,H497="Last 25%",170,H497="Retire",150)</f>
        <v>170</v>
      </c>
      <c r="J497" s="15">
        <f t="shared" si="15"/>
        <v>45900</v>
      </c>
    </row>
    <row r="498" spans="1:10" x14ac:dyDescent="0.3">
      <c r="A498" s="7" t="s">
        <v>550</v>
      </c>
      <c r="B498" s="7" t="str">
        <f>_xlfn.XLOOKUP(A498,'Vendor code- SKU mapping'!$B$1:$B$806,'Vendor code- SKU mapping'!$A$1:$A$806)</f>
        <v>EFla</v>
      </c>
      <c r="C498" s="7">
        <f>VLOOKUP(B498,'Vendor -MOQ- Lead time'!$A$2:$B$45,2,0)</f>
        <v>90</v>
      </c>
      <c r="D498" s="13">
        <f>ROUND(IF('Task 2'!G498&lt;0,ABS('Task 2'!G498),0),0)</f>
        <v>0</v>
      </c>
      <c r="E498" s="7">
        <f>ROUND('Task 2'!D498*'Task 3'!C498,0)</f>
        <v>75</v>
      </c>
      <c r="F498" s="7">
        <f>VLOOKUP(B498,'Vendor -MOQ- Lead time'!$A$2:$C$45,3,0)</f>
        <v>1440</v>
      </c>
      <c r="G498" s="7">
        <f t="shared" si="14"/>
        <v>1440</v>
      </c>
      <c r="H498" s="7" t="s">
        <v>0</v>
      </c>
      <c r="I498" s="7" cm="1">
        <f t="array" ref="I498">_xlfn.IFS(H498="25-50%",230,H498="Top 25 %",260,H498="50-75%",200,H498="Last 25%",170,H498="Retire",150)</f>
        <v>170</v>
      </c>
      <c r="J498" s="15">
        <f t="shared" si="15"/>
        <v>244800</v>
      </c>
    </row>
    <row r="499" spans="1:10" x14ac:dyDescent="0.3">
      <c r="A499" s="7" t="s">
        <v>551</v>
      </c>
      <c r="B499" s="7" t="str">
        <f>_xlfn.XLOOKUP(A499,'Vendor code- SKU mapping'!$B$1:$B$806,'Vendor code- SKU mapping'!$A$1:$A$806)</f>
        <v>AAre</v>
      </c>
      <c r="C499" s="7">
        <f>VLOOKUP(B499,'Vendor -MOQ- Lead time'!$A$2:$B$45,2,0)</f>
        <v>45</v>
      </c>
      <c r="D499" s="13">
        <f>ROUND(IF('Task 2'!G499&lt;0,ABS('Task 2'!G499),0),0)</f>
        <v>0</v>
      </c>
      <c r="E499" s="7">
        <f>ROUND('Task 2'!D499*'Task 3'!C499,0)</f>
        <v>41</v>
      </c>
      <c r="F499" s="7">
        <f>VLOOKUP(B499,'Vendor -MOQ- Lead time'!$A$2:$C$45,3,0)</f>
        <v>270</v>
      </c>
      <c r="G499" s="7">
        <f t="shared" si="14"/>
        <v>270</v>
      </c>
      <c r="H499" s="7" t="s">
        <v>0</v>
      </c>
      <c r="I499" s="7" cm="1">
        <f t="array" ref="I499">_xlfn.IFS(H499="25-50%",230,H499="Top 25 %",260,H499="50-75%",200,H499="Last 25%",170,H499="Retire",150)</f>
        <v>170</v>
      </c>
      <c r="J499" s="15">
        <f t="shared" si="15"/>
        <v>45900</v>
      </c>
    </row>
    <row r="500" spans="1:10" x14ac:dyDescent="0.3">
      <c r="A500" s="7" t="s">
        <v>552</v>
      </c>
      <c r="B500" s="7" t="str">
        <f>_xlfn.XLOOKUP(A500,'Vendor code- SKU mapping'!$B$1:$B$806,'Vendor code- SKU mapping'!$A$1:$A$806)</f>
        <v>AAri</v>
      </c>
      <c r="C500" s="7">
        <f>VLOOKUP(B500,'Vendor -MOQ- Lead time'!$A$2:$B$45,2,0)</f>
        <v>30</v>
      </c>
      <c r="D500" s="13">
        <f>ROUND(IF('Task 2'!G500&lt;0,ABS('Task 2'!G500),0),0)</f>
        <v>0</v>
      </c>
      <c r="E500" s="7">
        <f>ROUND('Task 2'!D500*'Task 3'!C500,0)</f>
        <v>23</v>
      </c>
      <c r="F500" s="7">
        <f>VLOOKUP(B500,'Vendor -MOQ- Lead time'!$A$2:$C$45,3,0)</f>
        <v>180</v>
      </c>
      <c r="G500" s="7">
        <f t="shared" si="14"/>
        <v>180</v>
      </c>
      <c r="H500" s="7" t="s">
        <v>0</v>
      </c>
      <c r="I500" s="7" cm="1">
        <f t="array" ref="I500">_xlfn.IFS(H500="25-50%",230,H500="Top 25 %",260,H500="50-75%",200,H500="Last 25%",170,H500="Retire",150)</f>
        <v>170</v>
      </c>
      <c r="J500" s="15">
        <f t="shared" si="15"/>
        <v>30600</v>
      </c>
    </row>
    <row r="501" spans="1:10" x14ac:dyDescent="0.3">
      <c r="A501" s="7" t="s">
        <v>553</v>
      </c>
      <c r="B501" s="7" t="str">
        <f>_xlfn.XLOOKUP(A501,'Vendor code- SKU mapping'!$B$1:$B$806,'Vendor code- SKU mapping'!$A$1:$A$806)</f>
        <v>EDaz</v>
      </c>
      <c r="C501" s="7">
        <f>VLOOKUP(B501,'Vendor -MOQ- Lead time'!$A$2:$B$45,2,0)</f>
        <v>30</v>
      </c>
      <c r="D501" s="13">
        <f>ROUND(IF('Task 2'!G501&lt;0,ABS('Task 2'!G501),0),0)</f>
        <v>0</v>
      </c>
      <c r="E501" s="7">
        <f>ROUND('Task 2'!D501*'Task 3'!C501,0)</f>
        <v>9</v>
      </c>
      <c r="F501" s="7">
        <f>VLOOKUP(B501,'Vendor -MOQ- Lead time'!$A$2:$C$45,3,0)</f>
        <v>180</v>
      </c>
      <c r="G501" s="7">
        <f t="shared" si="14"/>
        <v>180</v>
      </c>
      <c r="H501" s="7" t="s">
        <v>0</v>
      </c>
      <c r="I501" s="7" cm="1">
        <f t="array" ref="I501">_xlfn.IFS(H501="25-50%",230,H501="Top 25 %",260,H501="50-75%",200,H501="Last 25%",170,H501="Retire",150)</f>
        <v>170</v>
      </c>
      <c r="J501" s="15">
        <f t="shared" si="15"/>
        <v>30600</v>
      </c>
    </row>
    <row r="502" spans="1:10" x14ac:dyDescent="0.3">
      <c r="A502" s="7" t="s">
        <v>554</v>
      </c>
      <c r="B502" s="7" t="str">
        <f>_xlfn.XLOOKUP(A502,'Vendor code- SKU mapping'!$B$1:$B$806,'Vendor code- SKU mapping'!$A$1:$A$806)</f>
        <v>ISte</v>
      </c>
      <c r="C502" s="7">
        <f>VLOOKUP(B502,'Vendor -MOQ- Lead time'!$A$2:$B$45,2,0)</f>
        <v>45</v>
      </c>
      <c r="D502" s="13">
        <f>ROUND(IF('Task 2'!G502&lt;0,ABS('Task 2'!G502),0),0)</f>
        <v>0</v>
      </c>
      <c r="E502" s="7">
        <f>ROUND('Task 2'!D502*'Task 3'!C502,0)</f>
        <v>15</v>
      </c>
      <c r="F502" s="7">
        <f>VLOOKUP(B502,'Vendor -MOQ- Lead time'!$A$2:$C$45,3,0)</f>
        <v>270</v>
      </c>
      <c r="G502" s="7">
        <f t="shared" si="14"/>
        <v>270</v>
      </c>
      <c r="H502" s="7" t="s">
        <v>0</v>
      </c>
      <c r="I502" s="7" cm="1">
        <f t="array" ref="I502">_xlfn.IFS(H502="25-50%",230,H502="Top 25 %",260,H502="50-75%",200,H502="Last 25%",170,H502="Retire",150)</f>
        <v>170</v>
      </c>
      <c r="J502" s="15">
        <f t="shared" si="15"/>
        <v>45900</v>
      </c>
    </row>
    <row r="503" spans="1:10" x14ac:dyDescent="0.3">
      <c r="A503" s="7" t="s">
        <v>555</v>
      </c>
      <c r="B503" s="7" t="str">
        <f>_xlfn.XLOOKUP(A503,'Vendor code- SKU mapping'!$B$1:$B$806,'Vendor code- SKU mapping'!$A$1:$A$806)</f>
        <v>OKri</v>
      </c>
      <c r="C503" s="7">
        <f>VLOOKUP(B503,'Vendor -MOQ- Lead time'!$A$2:$B$45,2,0)</f>
        <v>45</v>
      </c>
      <c r="D503" s="13">
        <f>ROUND(IF('Task 2'!G503&lt;0,ABS('Task 2'!G503),0),0)</f>
        <v>0</v>
      </c>
      <c r="E503" s="7">
        <f>ROUND('Task 2'!D503*'Task 3'!C503,0)</f>
        <v>29</v>
      </c>
      <c r="F503" s="7">
        <f>VLOOKUP(B503,'Vendor -MOQ- Lead time'!$A$2:$C$45,3,0)</f>
        <v>270</v>
      </c>
      <c r="G503" s="7">
        <f t="shared" si="14"/>
        <v>270</v>
      </c>
      <c r="H503" s="7" t="s">
        <v>0</v>
      </c>
      <c r="I503" s="7" cm="1">
        <f t="array" ref="I503">_xlfn.IFS(H503="25-50%",230,H503="Top 25 %",260,H503="50-75%",200,H503="Last 25%",170,H503="Retire",150)</f>
        <v>170</v>
      </c>
      <c r="J503" s="15">
        <f t="shared" si="15"/>
        <v>45900</v>
      </c>
    </row>
    <row r="504" spans="1:10" x14ac:dyDescent="0.3">
      <c r="A504" s="7" t="s">
        <v>556</v>
      </c>
      <c r="B504" s="7" t="str">
        <f>_xlfn.XLOOKUP(A504,'Vendor code- SKU mapping'!$B$1:$B$806,'Vendor code- SKU mapping'!$A$1:$A$806)</f>
        <v>OSAI</v>
      </c>
      <c r="C504" s="7">
        <f>VLOOKUP(B504,'Vendor -MOQ- Lead time'!$A$2:$B$45,2,0)</f>
        <v>30</v>
      </c>
      <c r="D504" s="13">
        <f>ROUND(IF('Task 2'!G504&lt;0,ABS('Task 2'!G504),0),0)</f>
        <v>0</v>
      </c>
      <c r="E504" s="7">
        <f>ROUND('Task 2'!D504*'Task 3'!C504,0)</f>
        <v>10</v>
      </c>
      <c r="F504" s="7">
        <f>VLOOKUP(B504,'Vendor -MOQ- Lead time'!$A$2:$C$45,3,0)</f>
        <v>180</v>
      </c>
      <c r="G504" s="7">
        <f t="shared" si="14"/>
        <v>180</v>
      </c>
      <c r="H504" s="7" t="s">
        <v>0</v>
      </c>
      <c r="I504" s="7" cm="1">
        <f t="array" ref="I504">_xlfn.IFS(H504="25-50%",230,H504="Top 25 %",260,H504="50-75%",200,H504="Last 25%",170,H504="Retire",150)</f>
        <v>170</v>
      </c>
      <c r="J504" s="15">
        <f t="shared" si="15"/>
        <v>30600</v>
      </c>
    </row>
    <row r="505" spans="1:10" x14ac:dyDescent="0.3">
      <c r="A505" s="7" t="s">
        <v>557</v>
      </c>
      <c r="B505" s="7" t="str">
        <f>_xlfn.XLOOKUP(A505,'Vendor code- SKU mapping'!$B$1:$B$806,'Vendor code- SKU mapping'!$A$1:$A$806)</f>
        <v>OKri</v>
      </c>
      <c r="C505" s="7">
        <f>VLOOKUP(B505,'Vendor -MOQ- Lead time'!$A$2:$B$45,2,0)</f>
        <v>45</v>
      </c>
      <c r="D505" s="13">
        <f>ROUND(IF('Task 2'!G505&lt;0,ABS('Task 2'!G505),0),0)</f>
        <v>0</v>
      </c>
      <c r="E505" s="7">
        <f>ROUND('Task 2'!D505*'Task 3'!C505,0)</f>
        <v>9</v>
      </c>
      <c r="F505" s="7">
        <f>VLOOKUP(B505,'Vendor -MOQ- Lead time'!$A$2:$C$45,3,0)</f>
        <v>270</v>
      </c>
      <c r="G505" s="7">
        <f t="shared" si="14"/>
        <v>270</v>
      </c>
      <c r="H505" s="7" t="s">
        <v>0</v>
      </c>
      <c r="I505" s="7" cm="1">
        <f t="array" ref="I505">_xlfn.IFS(H505="25-50%",230,H505="Top 25 %",260,H505="50-75%",200,H505="Last 25%",170,H505="Retire",150)</f>
        <v>170</v>
      </c>
      <c r="J505" s="15">
        <f t="shared" si="15"/>
        <v>45900</v>
      </c>
    </row>
    <row r="506" spans="1:10" x14ac:dyDescent="0.3">
      <c r="A506" s="7" t="s">
        <v>558</v>
      </c>
      <c r="B506" s="7" t="str">
        <f>_xlfn.XLOOKUP(A506,'Vendor code- SKU mapping'!$B$1:$B$806,'Vendor code- SKU mapping'!$A$1:$A$806)</f>
        <v>ORed</v>
      </c>
      <c r="C506" s="7">
        <f>VLOOKUP(B506,'Vendor -MOQ- Lead time'!$A$2:$B$45,2,0)</f>
        <v>30</v>
      </c>
      <c r="D506" s="13">
        <f>ROUND(IF('Task 2'!G506&lt;0,ABS('Task 2'!G506),0),0)</f>
        <v>0</v>
      </c>
      <c r="E506" s="7">
        <f>ROUND('Task 2'!D506*'Task 3'!C506,0)</f>
        <v>8</v>
      </c>
      <c r="F506" s="7">
        <f>VLOOKUP(B506,'Vendor -MOQ- Lead time'!$A$2:$C$45,3,0)</f>
        <v>180</v>
      </c>
      <c r="G506" s="7">
        <f t="shared" si="14"/>
        <v>180</v>
      </c>
      <c r="H506" s="7" t="s">
        <v>0</v>
      </c>
      <c r="I506" s="7" cm="1">
        <f t="array" ref="I506">_xlfn.IFS(H506="25-50%",230,H506="Top 25 %",260,H506="50-75%",200,H506="Last 25%",170,H506="Retire",150)</f>
        <v>170</v>
      </c>
      <c r="J506" s="15">
        <f t="shared" si="15"/>
        <v>30600</v>
      </c>
    </row>
    <row r="507" spans="1:10" x14ac:dyDescent="0.3">
      <c r="A507" s="7" t="s">
        <v>559</v>
      </c>
      <c r="B507" s="7" t="str">
        <f>_xlfn.XLOOKUP(A507,'Vendor code- SKU mapping'!$B$1:$B$806,'Vendor code- SKU mapping'!$A$1:$A$806)</f>
        <v>AAri</v>
      </c>
      <c r="C507" s="7">
        <f>VLOOKUP(B507,'Vendor -MOQ- Lead time'!$A$2:$B$45,2,0)</f>
        <v>30</v>
      </c>
      <c r="D507" s="13">
        <f>ROUND(IF('Task 2'!G507&lt;0,ABS('Task 2'!G507),0),0)</f>
        <v>0</v>
      </c>
      <c r="E507" s="7">
        <f>ROUND('Task 2'!D507*'Task 3'!C507,0)</f>
        <v>17</v>
      </c>
      <c r="F507" s="7">
        <f>VLOOKUP(B507,'Vendor -MOQ- Lead time'!$A$2:$C$45,3,0)</f>
        <v>180</v>
      </c>
      <c r="G507" s="7">
        <f t="shared" si="14"/>
        <v>180</v>
      </c>
      <c r="H507" s="7" t="s">
        <v>0</v>
      </c>
      <c r="I507" s="7" cm="1">
        <f t="array" ref="I507">_xlfn.IFS(H507="25-50%",230,H507="Top 25 %",260,H507="50-75%",200,H507="Last 25%",170,H507="Retire",150)</f>
        <v>170</v>
      </c>
      <c r="J507" s="15">
        <f t="shared" si="15"/>
        <v>30600</v>
      </c>
    </row>
    <row r="508" spans="1:10" x14ac:dyDescent="0.3">
      <c r="A508" s="7" t="s">
        <v>560</v>
      </c>
      <c r="B508" s="7" t="str">
        <f>_xlfn.XLOOKUP(A508,'Vendor code- SKU mapping'!$B$1:$B$806,'Vendor code- SKU mapping'!$A$1:$A$806)</f>
        <v>IWin</v>
      </c>
      <c r="C508" s="7">
        <f>VLOOKUP(B508,'Vendor -MOQ- Lead time'!$A$2:$B$45,2,0)</f>
        <v>90</v>
      </c>
      <c r="D508" s="13">
        <f>ROUND(IF('Task 2'!G508&lt;0,ABS('Task 2'!G508),0),0)</f>
        <v>0</v>
      </c>
      <c r="E508" s="7">
        <f>ROUND('Task 2'!D508*'Task 3'!C508,0)</f>
        <v>12</v>
      </c>
      <c r="F508" s="7">
        <f>VLOOKUP(B508,'Vendor -MOQ- Lead time'!$A$2:$C$45,3,0)</f>
        <v>1440</v>
      </c>
      <c r="G508" s="7">
        <f t="shared" si="14"/>
        <v>1440</v>
      </c>
      <c r="H508" s="7" t="s">
        <v>0</v>
      </c>
      <c r="I508" s="7" cm="1">
        <f t="array" ref="I508">_xlfn.IFS(H508="25-50%",230,H508="Top 25 %",260,H508="50-75%",200,H508="Last 25%",170,H508="Retire",150)</f>
        <v>170</v>
      </c>
      <c r="J508" s="15">
        <f t="shared" si="15"/>
        <v>244800</v>
      </c>
    </row>
    <row r="509" spans="1:10" x14ac:dyDescent="0.3">
      <c r="A509" s="7" t="s">
        <v>561</v>
      </c>
      <c r="B509" s="7" t="str">
        <f>_xlfn.XLOOKUP(A509,'Vendor code- SKU mapping'!$B$1:$B$806,'Vendor code- SKU mapping'!$A$1:$A$806)</f>
        <v>AAre</v>
      </c>
      <c r="C509" s="7">
        <f>VLOOKUP(B509,'Vendor -MOQ- Lead time'!$A$2:$B$45,2,0)</f>
        <v>45</v>
      </c>
      <c r="D509" s="13">
        <f>ROUND(IF('Task 2'!G509&lt;0,ABS('Task 2'!G509),0),0)</f>
        <v>0</v>
      </c>
      <c r="E509" s="7">
        <f>ROUND('Task 2'!D509*'Task 3'!C509,0)</f>
        <v>59</v>
      </c>
      <c r="F509" s="7">
        <f>VLOOKUP(B509,'Vendor -MOQ- Lead time'!$A$2:$C$45,3,0)</f>
        <v>270</v>
      </c>
      <c r="G509" s="7">
        <f t="shared" si="14"/>
        <v>270</v>
      </c>
      <c r="H509" s="7" t="s">
        <v>0</v>
      </c>
      <c r="I509" s="7" cm="1">
        <f t="array" ref="I509">_xlfn.IFS(H509="25-50%",230,H509="Top 25 %",260,H509="50-75%",200,H509="Last 25%",170,H509="Retire",150)</f>
        <v>170</v>
      </c>
      <c r="J509" s="15">
        <f t="shared" si="15"/>
        <v>45900</v>
      </c>
    </row>
    <row r="510" spans="1:10" x14ac:dyDescent="0.3">
      <c r="A510" s="7" t="s">
        <v>562</v>
      </c>
      <c r="B510" s="7" t="str">
        <f>_xlfn.XLOOKUP(A510,'Vendor code- SKU mapping'!$B$1:$B$806,'Vendor code- SKU mapping'!$A$1:$A$806)</f>
        <v>ISte</v>
      </c>
      <c r="C510" s="7">
        <f>VLOOKUP(B510,'Vendor -MOQ- Lead time'!$A$2:$B$45,2,0)</f>
        <v>45</v>
      </c>
      <c r="D510" s="13">
        <f>ROUND(IF('Task 2'!G510&lt;0,ABS('Task 2'!G510),0),0)</f>
        <v>8</v>
      </c>
      <c r="E510" s="7">
        <f>ROUND('Task 2'!D510*'Task 3'!C510,0)</f>
        <v>48</v>
      </c>
      <c r="F510" s="7">
        <f>VLOOKUP(B510,'Vendor -MOQ- Lead time'!$A$2:$C$45,3,0)</f>
        <v>270</v>
      </c>
      <c r="G510" s="7">
        <f t="shared" si="14"/>
        <v>270</v>
      </c>
      <c r="H510" s="7" t="s">
        <v>0</v>
      </c>
      <c r="I510" s="7" cm="1">
        <f t="array" ref="I510">_xlfn.IFS(H510="25-50%",230,H510="Top 25 %",260,H510="50-75%",200,H510="Last 25%",170,H510="Retire",150)</f>
        <v>170</v>
      </c>
      <c r="J510" s="15">
        <f t="shared" si="15"/>
        <v>45900</v>
      </c>
    </row>
    <row r="511" spans="1:10" x14ac:dyDescent="0.3">
      <c r="A511" s="7" t="s">
        <v>563</v>
      </c>
      <c r="B511" s="7" t="str">
        <f>_xlfn.XLOOKUP(A511,'Vendor code- SKU mapping'!$B$1:$B$806,'Vendor code- SKU mapping'!$A$1:$A$806)</f>
        <v>EJSK</v>
      </c>
      <c r="C511" s="7">
        <f>VLOOKUP(B511,'Vendor -MOQ- Lead time'!$A$2:$B$45,2,0)</f>
        <v>45</v>
      </c>
      <c r="D511" s="13">
        <f>ROUND(IF('Task 2'!G511&lt;0,ABS('Task 2'!G511),0),0)</f>
        <v>0</v>
      </c>
      <c r="E511" s="7">
        <f>ROUND('Task 2'!D511*'Task 3'!C511,0)</f>
        <v>62</v>
      </c>
      <c r="F511" s="7">
        <f>VLOOKUP(B511,'Vendor -MOQ- Lead time'!$A$2:$C$45,3,0)</f>
        <v>270</v>
      </c>
      <c r="G511" s="7">
        <f t="shared" si="14"/>
        <v>270</v>
      </c>
      <c r="H511" s="7" t="s">
        <v>0</v>
      </c>
      <c r="I511" s="7" cm="1">
        <f t="array" ref="I511">_xlfn.IFS(H511="25-50%",230,H511="Top 25 %",260,H511="50-75%",200,H511="Last 25%",170,H511="Retire",150)</f>
        <v>170</v>
      </c>
      <c r="J511" s="15">
        <f t="shared" si="15"/>
        <v>45900</v>
      </c>
    </row>
    <row r="512" spans="1:10" x14ac:dyDescent="0.3">
      <c r="A512" s="7" t="s">
        <v>564</v>
      </c>
      <c r="B512" s="7" t="str">
        <f>_xlfn.XLOOKUP(A512,'Vendor code- SKU mapping'!$B$1:$B$806,'Vendor code- SKU mapping'!$A$1:$A$806)</f>
        <v>AAdi</v>
      </c>
      <c r="C512" s="7">
        <f>VLOOKUP(B512,'Vendor -MOQ- Lead time'!$A$2:$B$45,2,0)</f>
        <v>45</v>
      </c>
      <c r="D512" s="13">
        <f>ROUND(IF('Task 2'!G512&lt;0,ABS('Task 2'!G512),0),0)</f>
        <v>0</v>
      </c>
      <c r="E512" s="7">
        <f>ROUND('Task 2'!D512*'Task 3'!C512,0)</f>
        <v>42</v>
      </c>
      <c r="F512" s="7">
        <f>VLOOKUP(B512,'Vendor -MOQ- Lead time'!$A$2:$C$45,3,0)</f>
        <v>270</v>
      </c>
      <c r="G512" s="7">
        <f t="shared" si="14"/>
        <v>270</v>
      </c>
      <c r="H512" s="7" t="s">
        <v>0</v>
      </c>
      <c r="I512" s="7" cm="1">
        <f t="array" ref="I512">_xlfn.IFS(H512="25-50%",230,H512="Top 25 %",260,H512="50-75%",200,H512="Last 25%",170,H512="Retire",150)</f>
        <v>170</v>
      </c>
      <c r="J512" s="15">
        <f t="shared" si="15"/>
        <v>45900</v>
      </c>
    </row>
    <row r="513" spans="1:10" x14ac:dyDescent="0.3">
      <c r="A513" s="7" t="s">
        <v>565</v>
      </c>
      <c r="B513" s="7" t="str">
        <f>_xlfn.XLOOKUP(A513,'Vendor code- SKU mapping'!$B$1:$B$806,'Vendor code- SKU mapping'!$A$1:$A$806)</f>
        <v>OMah</v>
      </c>
      <c r="C513" s="7">
        <f>VLOOKUP(B513,'Vendor -MOQ- Lead time'!$A$2:$B$45,2,0)</f>
        <v>45</v>
      </c>
      <c r="D513" s="13">
        <f>ROUND(IF('Task 2'!G513&lt;0,ABS('Task 2'!G513),0),0)</f>
        <v>0</v>
      </c>
      <c r="E513" s="7">
        <f>ROUND('Task 2'!D513*'Task 3'!C513,0)</f>
        <v>35</v>
      </c>
      <c r="F513" s="7">
        <f>VLOOKUP(B513,'Vendor -MOQ- Lead time'!$A$2:$C$45,3,0)</f>
        <v>270</v>
      </c>
      <c r="G513" s="7">
        <f t="shared" si="14"/>
        <v>270</v>
      </c>
      <c r="H513" s="7" t="s">
        <v>0</v>
      </c>
      <c r="I513" s="7" cm="1">
        <f t="array" ref="I513">_xlfn.IFS(H513="25-50%",230,H513="Top 25 %",260,H513="50-75%",200,H513="Last 25%",170,H513="Retire",150)</f>
        <v>170</v>
      </c>
      <c r="J513" s="15">
        <f t="shared" si="15"/>
        <v>45900</v>
      </c>
    </row>
    <row r="514" spans="1:10" x14ac:dyDescent="0.3">
      <c r="A514" s="7" t="s">
        <v>566</v>
      </c>
      <c r="B514" s="7" t="str">
        <f>_xlfn.XLOOKUP(A514,'Vendor code- SKU mapping'!$B$1:$B$806,'Vendor code- SKU mapping'!$A$1:$A$806)</f>
        <v>EHei</v>
      </c>
      <c r="C514" s="7">
        <f>VLOOKUP(B514,'Vendor -MOQ- Lead time'!$A$2:$B$45,2,0)</f>
        <v>45</v>
      </c>
      <c r="D514" s="13">
        <f>ROUND(IF('Task 2'!G514&lt;0,ABS('Task 2'!G514),0),0)</f>
        <v>0</v>
      </c>
      <c r="E514" s="7">
        <f>ROUND('Task 2'!D514*'Task 3'!C514,0)</f>
        <v>41</v>
      </c>
      <c r="F514" s="7">
        <f>VLOOKUP(B514,'Vendor -MOQ- Lead time'!$A$2:$C$45,3,0)</f>
        <v>270</v>
      </c>
      <c r="G514" s="7">
        <f t="shared" si="14"/>
        <v>270</v>
      </c>
      <c r="H514" s="7" t="s">
        <v>0</v>
      </c>
      <c r="I514" s="7" cm="1">
        <f t="array" ref="I514">_xlfn.IFS(H514="25-50%",230,H514="Top 25 %",260,H514="50-75%",200,H514="Last 25%",170,H514="Retire",150)</f>
        <v>170</v>
      </c>
      <c r="J514" s="15">
        <f t="shared" si="15"/>
        <v>45900</v>
      </c>
    </row>
    <row r="515" spans="1:10" x14ac:dyDescent="0.3">
      <c r="A515" s="7" t="s">
        <v>567</v>
      </c>
      <c r="B515" s="7" t="str">
        <f>_xlfn.XLOOKUP(A515,'Vendor code- SKU mapping'!$B$1:$B$806,'Vendor code- SKU mapping'!$A$1:$A$806)</f>
        <v>OKri</v>
      </c>
      <c r="C515" s="7">
        <f>VLOOKUP(B515,'Vendor -MOQ- Lead time'!$A$2:$B$45,2,0)</f>
        <v>45</v>
      </c>
      <c r="D515" s="13">
        <f>ROUND(IF('Task 2'!G515&lt;0,ABS('Task 2'!G515),0),0)</f>
        <v>0</v>
      </c>
      <c r="E515" s="7">
        <f>ROUND('Task 2'!D515*'Task 3'!C515,0)</f>
        <v>20</v>
      </c>
      <c r="F515" s="7">
        <f>VLOOKUP(B515,'Vendor -MOQ- Lead time'!$A$2:$C$45,3,0)</f>
        <v>270</v>
      </c>
      <c r="G515" s="7">
        <f t="shared" ref="G515:G578" si="16">CEILING(D515+E515,F515)</f>
        <v>270</v>
      </c>
      <c r="H515" s="7" t="s">
        <v>0</v>
      </c>
      <c r="I515" s="7" cm="1">
        <f t="array" ref="I515">_xlfn.IFS(H515="25-50%",230,H515="Top 25 %",260,H515="50-75%",200,H515="Last 25%",170,H515="Retire",150)</f>
        <v>170</v>
      </c>
      <c r="J515" s="15">
        <f t="shared" ref="J515:J578" si="17">G515*I515</f>
        <v>45900</v>
      </c>
    </row>
    <row r="516" spans="1:10" x14ac:dyDescent="0.3">
      <c r="A516" s="7" t="s">
        <v>568</v>
      </c>
      <c r="B516" s="7" t="str">
        <f>_xlfn.XLOOKUP(A516,'Vendor code- SKU mapping'!$B$1:$B$806,'Vendor code- SKU mapping'!$A$1:$A$806)</f>
        <v>ORoy</v>
      </c>
      <c r="C516" s="7">
        <f>VLOOKUP(B516,'Vendor -MOQ- Lead time'!$A$2:$B$45,2,0)</f>
        <v>45</v>
      </c>
      <c r="D516" s="13">
        <f>ROUND(IF('Task 2'!G516&lt;0,ABS('Task 2'!G516),0),0)</f>
        <v>0</v>
      </c>
      <c r="E516" s="7">
        <f>ROUND('Task 2'!D516*'Task 3'!C516,0)</f>
        <v>12</v>
      </c>
      <c r="F516" s="7">
        <f>VLOOKUP(B516,'Vendor -MOQ- Lead time'!$A$2:$C$45,3,0)</f>
        <v>270</v>
      </c>
      <c r="G516" s="7">
        <f t="shared" si="16"/>
        <v>270</v>
      </c>
      <c r="H516" s="7" t="s">
        <v>0</v>
      </c>
      <c r="I516" s="7" cm="1">
        <f t="array" ref="I516">_xlfn.IFS(H516="25-50%",230,H516="Top 25 %",260,H516="50-75%",200,H516="Last 25%",170,H516="Retire",150)</f>
        <v>170</v>
      </c>
      <c r="J516" s="15">
        <f t="shared" si="17"/>
        <v>45900</v>
      </c>
    </row>
    <row r="517" spans="1:10" x14ac:dyDescent="0.3">
      <c r="A517" s="7" t="s">
        <v>569</v>
      </c>
      <c r="B517" s="7" t="str">
        <f>_xlfn.XLOOKUP(A517,'Vendor code- SKU mapping'!$B$1:$B$806,'Vendor code- SKU mapping'!$A$1:$A$806)</f>
        <v>AAre</v>
      </c>
      <c r="C517" s="7">
        <f>VLOOKUP(B517,'Vendor -MOQ- Lead time'!$A$2:$B$45,2,0)</f>
        <v>45</v>
      </c>
      <c r="D517" s="13">
        <f>ROUND(IF('Task 2'!G517&lt;0,ABS('Task 2'!G517),0),0)</f>
        <v>0</v>
      </c>
      <c r="E517" s="7">
        <f>ROUND('Task 2'!D517*'Task 3'!C517,0)</f>
        <v>23</v>
      </c>
      <c r="F517" s="7">
        <f>VLOOKUP(B517,'Vendor -MOQ- Lead time'!$A$2:$C$45,3,0)</f>
        <v>270</v>
      </c>
      <c r="G517" s="7">
        <f t="shared" si="16"/>
        <v>270</v>
      </c>
      <c r="H517" s="7" t="s">
        <v>0</v>
      </c>
      <c r="I517" s="7" cm="1">
        <f t="array" ref="I517">_xlfn.IFS(H517="25-50%",230,H517="Top 25 %",260,H517="50-75%",200,H517="Last 25%",170,H517="Retire",150)</f>
        <v>170</v>
      </c>
      <c r="J517" s="15">
        <f t="shared" si="17"/>
        <v>45900</v>
      </c>
    </row>
    <row r="518" spans="1:10" x14ac:dyDescent="0.3">
      <c r="A518" s="7" t="s">
        <v>570</v>
      </c>
      <c r="B518" s="7" t="str">
        <f>_xlfn.XLOOKUP(A518,'Vendor code- SKU mapping'!$B$1:$B$806,'Vendor code- SKU mapping'!$A$1:$A$806)</f>
        <v>ORav</v>
      </c>
      <c r="C518" s="7">
        <f>VLOOKUP(B518,'Vendor -MOQ- Lead time'!$A$2:$B$45,2,0)</f>
        <v>30</v>
      </c>
      <c r="D518" s="13">
        <f>ROUND(IF('Task 2'!G518&lt;0,ABS('Task 2'!G518),0),0)</f>
        <v>0</v>
      </c>
      <c r="E518" s="7">
        <f>ROUND('Task 2'!D518*'Task 3'!C518,0)</f>
        <v>9</v>
      </c>
      <c r="F518" s="7">
        <f>VLOOKUP(B518,'Vendor -MOQ- Lead time'!$A$2:$C$45,3,0)</f>
        <v>180</v>
      </c>
      <c r="G518" s="7">
        <f t="shared" si="16"/>
        <v>180</v>
      </c>
      <c r="H518" s="7" t="s">
        <v>0</v>
      </c>
      <c r="I518" s="7" cm="1">
        <f t="array" ref="I518">_xlfn.IFS(H518="25-50%",230,H518="Top 25 %",260,H518="50-75%",200,H518="Last 25%",170,H518="Retire",150)</f>
        <v>170</v>
      </c>
      <c r="J518" s="15">
        <f t="shared" si="17"/>
        <v>30600</v>
      </c>
    </row>
    <row r="519" spans="1:10" x14ac:dyDescent="0.3">
      <c r="A519" s="7" t="s">
        <v>571</v>
      </c>
      <c r="B519" s="7" t="str">
        <f>_xlfn.XLOOKUP(A519,'Vendor code- SKU mapping'!$B$1:$B$806,'Vendor code- SKU mapping'!$A$1:$A$806)</f>
        <v>AAdi</v>
      </c>
      <c r="C519" s="7">
        <f>VLOOKUP(B519,'Vendor -MOQ- Lead time'!$A$2:$B$45,2,0)</f>
        <v>45</v>
      </c>
      <c r="D519" s="13">
        <f>ROUND(IF('Task 2'!G519&lt;0,ABS('Task 2'!G519),0),0)</f>
        <v>0</v>
      </c>
      <c r="E519" s="7">
        <f>ROUND('Task 2'!D519*'Task 3'!C519,0)</f>
        <v>12</v>
      </c>
      <c r="F519" s="7">
        <f>VLOOKUP(B519,'Vendor -MOQ- Lead time'!$A$2:$C$45,3,0)</f>
        <v>270</v>
      </c>
      <c r="G519" s="7">
        <f t="shared" si="16"/>
        <v>270</v>
      </c>
      <c r="H519" s="7" t="s">
        <v>0</v>
      </c>
      <c r="I519" s="7" cm="1">
        <f t="array" ref="I519">_xlfn.IFS(H519="25-50%",230,H519="Top 25 %",260,H519="50-75%",200,H519="Last 25%",170,H519="Retire",150)</f>
        <v>170</v>
      </c>
      <c r="J519" s="15">
        <f t="shared" si="17"/>
        <v>45900</v>
      </c>
    </row>
    <row r="520" spans="1:10" x14ac:dyDescent="0.3">
      <c r="A520" s="7" t="s">
        <v>572</v>
      </c>
      <c r="B520" s="7" t="str">
        <f>_xlfn.XLOOKUP(A520,'Vendor code- SKU mapping'!$B$1:$B$806,'Vendor code- SKU mapping'!$A$1:$A$806)</f>
        <v>EDaz</v>
      </c>
      <c r="C520" s="7">
        <f>VLOOKUP(B520,'Vendor -MOQ- Lead time'!$A$2:$B$45,2,0)</f>
        <v>30</v>
      </c>
      <c r="D520" s="13">
        <f>ROUND(IF('Task 2'!G520&lt;0,ABS('Task 2'!G520),0),0)</f>
        <v>0</v>
      </c>
      <c r="E520" s="7">
        <f>ROUND('Task 2'!D520*'Task 3'!C520,0)</f>
        <v>13</v>
      </c>
      <c r="F520" s="7">
        <f>VLOOKUP(B520,'Vendor -MOQ- Lead time'!$A$2:$C$45,3,0)</f>
        <v>180</v>
      </c>
      <c r="G520" s="7">
        <f t="shared" si="16"/>
        <v>180</v>
      </c>
      <c r="H520" s="7" t="s">
        <v>0</v>
      </c>
      <c r="I520" s="7" cm="1">
        <f t="array" ref="I520">_xlfn.IFS(H520="25-50%",230,H520="Top 25 %",260,H520="50-75%",200,H520="Last 25%",170,H520="Retire",150)</f>
        <v>170</v>
      </c>
      <c r="J520" s="15">
        <f t="shared" si="17"/>
        <v>30600</v>
      </c>
    </row>
    <row r="521" spans="1:10" x14ac:dyDescent="0.3">
      <c r="A521" s="7" t="s">
        <v>573</v>
      </c>
      <c r="B521" s="7" t="str">
        <f>_xlfn.XLOOKUP(A521,'Vendor code- SKU mapping'!$B$1:$B$806,'Vendor code- SKU mapping'!$A$1:$A$806)</f>
        <v>OKri</v>
      </c>
      <c r="C521" s="7">
        <f>VLOOKUP(B521,'Vendor -MOQ- Lead time'!$A$2:$B$45,2,0)</f>
        <v>45</v>
      </c>
      <c r="D521" s="13">
        <f>ROUND(IF('Task 2'!G521&lt;0,ABS('Task 2'!G521),0),0)</f>
        <v>0</v>
      </c>
      <c r="E521" s="7">
        <f>ROUND('Task 2'!D521*'Task 3'!C521,0)</f>
        <v>23</v>
      </c>
      <c r="F521" s="7">
        <f>VLOOKUP(B521,'Vendor -MOQ- Lead time'!$A$2:$C$45,3,0)</f>
        <v>270</v>
      </c>
      <c r="G521" s="7">
        <f t="shared" si="16"/>
        <v>270</v>
      </c>
      <c r="H521" s="7" t="s">
        <v>0</v>
      </c>
      <c r="I521" s="7" cm="1">
        <f t="array" ref="I521">_xlfn.IFS(H521="25-50%",230,H521="Top 25 %",260,H521="50-75%",200,H521="Last 25%",170,H521="Retire",150)</f>
        <v>170</v>
      </c>
      <c r="J521" s="15">
        <f t="shared" si="17"/>
        <v>45900</v>
      </c>
    </row>
    <row r="522" spans="1:10" x14ac:dyDescent="0.3">
      <c r="A522" s="7" t="s">
        <v>574</v>
      </c>
      <c r="B522" s="7" t="str">
        <f>_xlfn.XLOOKUP(A522,'Vendor code- SKU mapping'!$B$1:$B$806,'Vendor code- SKU mapping'!$A$1:$A$806)</f>
        <v>ORav</v>
      </c>
      <c r="C522" s="7">
        <f>VLOOKUP(B522,'Vendor -MOQ- Lead time'!$A$2:$B$45,2,0)</f>
        <v>30</v>
      </c>
      <c r="D522" s="13">
        <f>ROUND(IF('Task 2'!G522&lt;0,ABS('Task 2'!G522),0),0)</f>
        <v>0</v>
      </c>
      <c r="E522" s="7">
        <f>ROUND('Task 2'!D522*'Task 3'!C522,0)</f>
        <v>10</v>
      </c>
      <c r="F522" s="7">
        <f>VLOOKUP(B522,'Vendor -MOQ- Lead time'!$A$2:$C$45,3,0)</f>
        <v>180</v>
      </c>
      <c r="G522" s="7">
        <f t="shared" si="16"/>
        <v>180</v>
      </c>
      <c r="H522" s="7" t="s">
        <v>0</v>
      </c>
      <c r="I522" s="7" cm="1">
        <f t="array" ref="I522">_xlfn.IFS(H522="25-50%",230,H522="Top 25 %",260,H522="50-75%",200,H522="Last 25%",170,H522="Retire",150)</f>
        <v>170</v>
      </c>
      <c r="J522" s="15">
        <f t="shared" si="17"/>
        <v>30600</v>
      </c>
    </row>
    <row r="523" spans="1:10" x14ac:dyDescent="0.3">
      <c r="A523" s="7" t="s">
        <v>575</v>
      </c>
      <c r="B523" s="7" t="str">
        <f>_xlfn.XLOOKUP(A523,'Vendor code- SKU mapping'!$B$1:$B$806,'Vendor code- SKU mapping'!$A$1:$A$806)</f>
        <v>EDaz</v>
      </c>
      <c r="C523" s="7">
        <f>VLOOKUP(B523,'Vendor -MOQ- Lead time'!$A$2:$B$45,2,0)</f>
        <v>30</v>
      </c>
      <c r="D523" s="13">
        <f>ROUND(IF('Task 2'!G523&lt;0,ABS('Task 2'!G523),0),0)</f>
        <v>0</v>
      </c>
      <c r="E523" s="7">
        <f>ROUND('Task 2'!D523*'Task 3'!C523,0)</f>
        <v>7</v>
      </c>
      <c r="F523" s="7">
        <f>VLOOKUP(B523,'Vendor -MOQ- Lead time'!$A$2:$C$45,3,0)</f>
        <v>180</v>
      </c>
      <c r="G523" s="7">
        <f t="shared" si="16"/>
        <v>180</v>
      </c>
      <c r="H523" s="7" t="s">
        <v>0</v>
      </c>
      <c r="I523" s="7" cm="1">
        <f t="array" ref="I523">_xlfn.IFS(H523="25-50%",230,H523="Top 25 %",260,H523="50-75%",200,H523="Last 25%",170,H523="Retire",150)</f>
        <v>170</v>
      </c>
      <c r="J523" s="15">
        <f t="shared" si="17"/>
        <v>30600</v>
      </c>
    </row>
    <row r="524" spans="1:10" x14ac:dyDescent="0.3">
      <c r="A524" s="7" t="s">
        <v>576</v>
      </c>
      <c r="B524" s="7" t="str">
        <f>_xlfn.XLOOKUP(A524,'Vendor code- SKU mapping'!$B$1:$B$806,'Vendor code- SKU mapping'!$A$1:$A$806)</f>
        <v>OShe</v>
      </c>
      <c r="C524" s="7">
        <f>VLOOKUP(B524,'Vendor -MOQ- Lead time'!$A$2:$B$45,2,0)</f>
        <v>30</v>
      </c>
      <c r="D524" s="13">
        <f>ROUND(IF('Task 2'!G524&lt;0,ABS('Task 2'!G524),0),0)</f>
        <v>0</v>
      </c>
      <c r="E524" s="7">
        <f>ROUND('Task 2'!D524*'Task 3'!C524,0)</f>
        <v>10</v>
      </c>
      <c r="F524" s="7">
        <f>VLOOKUP(B524,'Vendor -MOQ- Lead time'!$A$2:$C$45,3,0)</f>
        <v>180</v>
      </c>
      <c r="G524" s="7">
        <f t="shared" si="16"/>
        <v>180</v>
      </c>
      <c r="H524" s="7" t="s">
        <v>0</v>
      </c>
      <c r="I524" s="7" cm="1">
        <f t="array" ref="I524">_xlfn.IFS(H524="25-50%",230,H524="Top 25 %",260,H524="50-75%",200,H524="Last 25%",170,H524="Retire",150)</f>
        <v>170</v>
      </c>
      <c r="J524" s="15">
        <f t="shared" si="17"/>
        <v>30600</v>
      </c>
    </row>
    <row r="525" spans="1:10" x14ac:dyDescent="0.3">
      <c r="A525" s="7" t="s">
        <v>577</v>
      </c>
      <c r="B525" s="7" t="str">
        <f>_xlfn.XLOOKUP(A525,'Vendor code- SKU mapping'!$B$1:$B$806,'Vendor code- SKU mapping'!$A$1:$A$806)</f>
        <v>EEnh</v>
      </c>
      <c r="C525" s="7">
        <f>VLOOKUP(B525,'Vendor -MOQ- Lead time'!$A$2:$B$45,2,0)</f>
        <v>60</v>
      </c>
      <c r="D525" s="13">
        <f>ROUND(IF('Task 2'!G525&lt;0,ABS('Task 2'!G525),0),0)</f>
        <v>0</v>
      </c>
      <c r="E525" s="7">
        <f>ROUND('Task 2'!D525*'Task 3'!C525,0)</f>
        <v>14</v>
      </c>
      <c r="F525" s="7">
        <f>VLOOKUP(B525,'Vendor -MOQ- Lead time'!$A$2:$C$45,3,0)</f>
        <v>720</v>
      </c>
      <c r="G525" s="7">
        <f t="shared" si="16"/>
        <v>720</v>
      </c>
      <c r="H525" s="7" t="s">
        <v>0</v>
      </c>
      <c r="I525" s="7" cm="1">
        <f t="array" ref="I525">_xlfn.IFS(H525="25-50%",230,H525="Top 25 %",260,H525="50-75%",200,H525="Last 25%",170,H525="Retire",150)</f>
        <v>170</v>
      </c>
      <c r="J525" s="15">
        <f t="shared" si="17"/>
        <v>122400</v>
      </c>
    </row>
    <row r="526" spans="1:10" x14ac:dyDescent="0.3">
      <c r="A526" s="7" t="s">
        <v>578</v>
      </c>
      <c r="B526" s="7" t="str">
        <f>_xlfn.XLOOKUP(A526,'Vendor code- SKU mapping'!$B$1:$B$806,'Vendor code- SKU mapping'!$A$1:$A$806)</f>
        <v>AAma</v>
      </c>
      <c r="C526" s="7">
        <f>VLOOKUP(B526,'Vendor -MOQ- Lead time'!$A$2:$B$45,2,0)</f>
        <v>45</v>
      </c>
      <c r="D526" s="13">
        <f>ROUND(IF('Task 2'!G526&lt;0,ABS('Task 2'!G526),0),0)</f>
        <v>0</v>
      </c>
      <c r="E526" s="7">
        <f>ROUND('Task 2'!D526*'Task 3'!C526,0)</f>
        <v>27</v>
      </c>
      <c r="F526" s="7">
        <f>VLOOKUP(B526,'Vendor -MOQ- Lead time'!$A$2:$C$45,3,0)</f>
        <v>270</v>
      </c>
      <c r="G526" s="7">
        <f t="shared" si="16"/>
        <v>270</v>
      </c>
      <c r="H526" s="7" t="s">
        <v>0</v>
      </c>
      <c r="I526" s="7" cm="1">
        <f t="array" ref="I526">_xlfn.IFS(H526="25-50%",230,H526="Top 25 %",260,H526="50-75%",200,H526="Last 25%",170,H526="Retire",150)</f>
        <v>170</v>
      </c>
      <c r="J526" s="15">
        <f t="shared" si="17"/>
        <v>45900</v>
      </c>
    </row>
    <row r="527" spans="1:10" x14ac:dyDescent="0.3">
      <c r="A527" s="7" t="s">
        <v>579</v>
      </c>
      <c r="B527" s="7" t="str">
        <f>_xlfn.XLOOKUP(A527,'Vendor code- SKU mapping'!$B$1:$B$806,'Vendor code- SKU mapping'!$A$1:$A$806)</f>
        <v>AAma</v>
      </c>
      <c r="C527" s="7">
        <f>VLOOKUP(B527,'Vendor -MOQ- Lead time'!$A$2:$B$45,2,0)</f>
        <v>45</v>
      </c>
      <c r="D527" s="13">
        <f>ROUND(IF('Task 2'!G527&lt;0,ABS('Task 2'!G527),0),0)</f>
        <v>0</v>
      </c>
      <c r="E527" s="7">
        <f>ROUND('Task 2'!D527*'Task 3'!C527,0)</f>
        <v>14</v>
      </c>
      <c r="F527" s="7">
        <f>VLOOKUP(B527,'Vendor -MOQ- Lead time'!$A$2:$C$45,3,0)</f>
        <v>270</v>
      </c>
      <c r="G527" s="7">
        <f t="shared" si="16"/>
        <v>270</v>
      </c>
      <c r="H527" s="7" t="s">
        <v>0</v>
      </c>
      <c r="I527" s="7" cm="1">
        <f t="array" ref="I527">_xlfn.IFS(H527="25-50%",230,H527="Top 25 %",260,H527="50-75%",200,H527="Last 25%",170,H527="Retire",150)</f>
        <v>170</v>
      </c>
      <c r="J527" s="15">
        <f t="shared" si="17"/>
        <v>45900</v>
      </c>
    </row>
    <row r="528" spans="1:10" x14ac:dyDescent="0.3">
      <c r="A528" s="7" t="s">
        <v>580</v>
      </c>
      <c r="B528" s="7" t="str">
        <f>_xlfn.XLOOKUP(A528,'Vendor code- SKU mapping'!$B$1:$B$806,'Vendor code- SKU mapping'!$A$1:$A$806)</f>
        <v>IStu</v>
      </c>
      <c r="C528" s="7">
        <f>VLOOKUP(B528,'Vendor -MOQ- Lead time'!$A$2:$B$45,2,0)</f>
        <v>30</v>
      </c>
      <c r="D528" s="13">
        <f>ROUND(IF('Task 2'!G528&lt;0,ABS('Task 2'!G528),0),0)</f>
        <v>0</v>
      </c>
      <c r="E528" s="7">
        <f>ROUND('Task 2'!D528*'Task 3'!C528,0)</f>
        <v>4</v>
      </c>
      <c r="F528" s="7">
        <f>VLOOKUP(B528,'Vendor -MOQ- Lead time'!$A$2:$C$45,3,0)</f>
        <v>180</v>
      </c>
      <c r="G528" s="7">
        <f t="shared" si="16"/>
        <v>180</v>
      </c>
      <c r="H528" s="7" t="s">
        <v>0</v>
      </c>
      <c r="I528" s="7" cm="1">
        <f t="array" ref="I528">_xlfn.IFS(H528="25-50%",230,H528="Top 25 %",260,H528="50-75%",200,H528="Last 25%",170,H528="Retire",150)</f>
        <v>170</v>
      </c>
      <c r="J528" s="15">
        <f t="shared" si="17"/>
        <v>30600</v>
      </c>
    </row>
    <row r="529" spans="1:10" x14ac:dyDescent="0.3">
      <c r="A529" s="7" t="s">
        <v>581</v>
      </c>
      <c r="B529" s="7" t="str">
        <f>_xlfn.XLOOKUP(A529,'Vendor code- SKU mapping'!$B$1:$B$806,'Vendor code- SKU mapping'!$A$1:$A$806)</f>
        <v>OMah</v>
      </c>
      <c r="C529" s="7">
        <f>VLOOKUP(B529,'Vendor -MOQ- Lead time'!$A$2:$B$45,2,0)</f>
        <v>45</v>
      </c>
      <c r="D529" s="13">
        <f>ROUND(IF('Task 2'!G529&lt;0,ABS('Task 2'!G529),0),0)</f>
        <v>0</v>
      </c>
      <c r="E529" s="7">
        <f>ROUND('Task 2'!D529*'Task 3'!C529,0)</f>
        <v>17</v>
      </c>
      <c r="F529" s="7">
        <f>VLOOKUP(B529,'Vendor -MOQ- Lead time'!$A$2:$C$45,3,0)</f>
        <v>270</v>
      </c>
      <c r="G529" s="7">
        <f t="shared" si="16"/>
        <v>270</v>
      </c>
      <c r="H529" s="7" t="s">
        <v>0</v>
      </c>
      <c r="I529" s="7" cm="1">
        <f t="array" ref="I529">_xlfn.IFS(H529="25-50%",230,H529="Top 25 %",260,H529="50-75%",200,H529="Last 25%",170,H529="Retire",150)</f>
        <v>170</v>
      </c>
      <c r="J529" s="15">
        <f t="shared" si="17"/>
        <v>45900</v>
      </c>
    </row>
    <row r="530" spans="1:10" x14ac:dyDescent="0.3">
      <c r="A530" s="7" t="s">
        <v>582</v>
      </c>
      <c r="B530" s="7" t="str">
        <f>_xlfn.XLOOKUP(A530,'Vendor code- SKU mapping'!$B$1:$B$806,'Vendor code- SKU mapping'!$A$1:$A$806)</f>
        <v>OMah</v>
      </c>
      <c r="C530" s="7">
        <f>VLOOKUP(B530,'Vendor -MOQ- Lead time'!$A$2:$B$45,2,0)</f>
        <v>45</v>
      </c>
      <c r="D530" s="13">
        <f>ROUND(IF('Task 2'!G530&lt;0,ABS('Task 2'!G530),0),0)</f>
        <v>0</v>
      </c>
      <c r="E530" s="7">
        <f>ROUND('Task 2'!D530*'Task 3'!C530,0)</f>
        <v>11</v>
      </c>
      <c r="F530" s="7">
        <f>VLOOKUP(B530,'Vendor -MOQ- Lead time'!$A$2:$C$45,3,0)</f>
        <v>270</v>
      </c>
      <c r="G530" s="7">
        <f t="shared" si="16"/>
        <v>270</v>
      </c>
      <c r="H530" s="7" t="s">
        <v>0</v>
      </c>
      <c r="I530" s="7" cm="1">
        <f t="array" ref="I530">_xlfn.IFS(H530="25-50%",230,H530="Top 25 %",260,H530="50-75%",200,H530="Last 25%",170,H530="Retire",150)</f>
        <v>170</v>
      </c>
      <c r="J530" s="15">
        <f t="shared" si="17"/>
        <v>45900</v>
      </c>
    </row>
    <row r="531" spans="1:10" x14ac:dyDescent="0.3">
      <c r="A531" s="7" t="s">
        <v>583</v>
      </c>
      <c r="B531" s="7" t="str">
        <f>_xlfn.XLOOKUP(A531,'Vendor code- SKU mapping'!$B$1:$B$806,'Vendor code- SKU mapping'!$A$1:$A$806)</f>
        <v>EBes</v>
      </c>
      <c r="C531" s="7">
        <f>VLOOKUP(B531,'Vendor -MOQ- Lead time'!$A$2:$B$45,2,0)</f>
        <v>45</v>
      </c>
      <c r="D531" s="13">
        <f>ROUND(IF('Task 2'!G531&lt;0,ABS('Task 2'!G531),0),0)</f>
        <v>0</v>
      </c>
      <c r="E531" s="7">
        <f>ROUND('Task 2'!D531*'Task 3'!C531,0)</f>
        <v>6</v>
      </c>
      <c r="F531" s="7">
        <f>VLOOKUP(B531,'Vendor -MOQ- Lead time'!$A$2:$C$45,3,0)</f>
        <v>270</v>
      </c>
      <c r="G531" s="7">
        <f t="shared" si="16"/>
        <v>270</v>
      </c>
      <c r="H531" s="7" t="s">
        <v>0</v>
      </c>
      <c r="I531" s="7" cm="1">
        <f t="array" ref="I531">_xlfn.IFS(H531="25-50%",230,H531="Top 25 %",260,H531="50-75%",200,H531="Last 25%",170,H531="Retire",150)</f>
        <v>170</v>
      </c>
      <c r="J531" s="15">
        <f t="shared" si="17"/>
        <v>45900</v>
      </c>
    </row>
    <row r="532" spans="1:10" x14ac:dyDescent="0.3">
      <c r="A532" s="7" t="s">
        <v>584</v>
      </c>
      <c r="B532" s="7" t="str">
        <f>_xlfn.XLOOKUP(A532,'Vendor code- SKU mapping'!$B$1:$B$806,'Vendor code- SKU mapping'!$A$1:$A$806)</f>
        <v>EIta</v>
      </c>
      <c r="C532" s="7">
        <f>VLOOKUP(B532,'Vendor -MOQ- Lead time'!$A$2:$B$45,2,0)</f>
        <v>60</v>
      </c>
      <c r="D532" s="13">
        <f>ROUND(IF('Task 2'!G532&lt;0,ABS('Task 2'!G532),0),0)</f>
        <v>18</v>
      </c>
      <c r="E532" s="7">
        <f>ROUND('Task 2'!D532*'Task 3'!C532,0)</f>
        <v>120</v>
      </c>
      <c r="F532" s="7">
        <f>VLOOKUP(B532,'Vendor -MOQ- Lead time'!$A$2:$C$45,3,0)</f>
        <v>1080</v>
      </c>
      <c r="G532" s="7">
        <f t="shared" si="16"/>
        <v>1080</v>
      </c>
      <c r="H532" s="7" t="s">
        <v>0</v>
      </c>
      <c r="I532" s="7" cm="1">
        <f t="array" ref="I532">_xlfn.IFS(H532="25-50%",230,H532="Top 25 %",260,H532="50-75%",200,H532="Last 25%",170,H532="Retire",150)</f>
        <v>170</v>
      </c>
      <c r="J532" s="15">
        <f t="shared" si="17"/>
        <v>183600</v>
      </c>
    </row>
    <row r="533" spans="1:10" x14ac:dyDescent="0.3">
      <c r="A533" s="7" t="s">
        <v>585</v>
      </c>
      <c r="B533" s="7" t="str">
        <f>_xlfn.XLOOKUP(A533,'Vendor code- SKU mapping'!$B$1:$B$806,'Vendor code- SKU mapping'!$A$1:$A$806)</f>
        <v>ISte</v>
      </c>
      <c r="C533" s="7">
        <f>VLOOKUP(B533,'Vendor -MOQ- Lead time'!$A$2:$B$45,2,0)</f>
        <v>45</v>
      </c>
      <c r="D533" s="13">
        <f>ROUND(IF('Task 2'!G533&lt;0,ABS('Task 2'!G533),0),0)</f>
        <v>67</v>
      </c>
      <c r="E533" s="7">
        <f>ROUND('Task 2'!D533*'Task 3'!C533,0)</f>
        <v>155</v>
      </c>
      <c r="F533" s="7">
        <f>VLOOKUP(B533,'Vendor -MOQ- Lead time'!$A$2:$C$45,3,0)</f>
        <v>270</v>
      </c>
      <c r="G533" s="7">
        <f t="shared" si="16"/>
        <v>270</v>
      </c>
      <c r="H533" s="7" t="s">
        <v>0</v>
      </c>
      <c r="I533" s="7" cm="1">
        <f t="array" ref="I533">_xlfn.IFS(H533="25-50%",230,H533="Top 25 %",260,H533="50-75%",200,H533="Last 25%",170,H533="Retire",150)</f>
        <v>170</v>
      </c>
      <c r="J533" s="15">
        <f t="shared" si="17"/>
        <v>45900</v>
      </c>
    </row>
    <row r="534" spans="1:10" x14ac:dyDescent="0.3">
      <c r="A534" s="7" t="s">
        <v>586</v>
      </c>
      <c r="B534" s="7" t="str">
        <f>_xlfn.XLOOKUP(A534,'Vendor code- SKU mapping'!$B$1:$B$806,'Vendor code- SKU mapping'!$A$1:$A$806)</f>
        <v>EJSK</v>
      </c>
      <c r="C534" s="7">
        <f>VLOOKUP(B534,'Vendor -MOQ- Lead time'!$A$2:$B$45,2,0)</f>
        <v>45</v>
      </c>
      <c r="D534" s="13">
        <f>ROUND(IF('Task 2'!G534&lt;0,ABS('Task 2'!G534),0),0)</f>
        <v>0</v>
      </c>
      <c r="E534" s="7">
        <f>ROUND('Task 2'!D534*'Task 3'!C534,0)</f>
        <v>30</v>
      </c>
      <c r="F534" s="7">
        <f>VLOOKUP(B534,'Vendor -MOQ- Lead time'!$A$2:$C$45,3,0)</f>
        <v>270</v>
      </c>
      <c r="G534" s="7">
        <f t="shared" si="16"/>
        <v>270</v>
      </c>
      <c r="H534" s="7" t="s">
        <v>0</v>
      </c>
      <c r="I534" s="7" cm="1">
        <f t="array" ref="I534">_xlfn.IFS(H534="25-50%",230,H534="Top 25 %",260,H534="50-75%",200,H534="Last 25%",170,H534="Retire",150)</f>
        <v>170</v>
      </c>
      <c r="J534" s="15">
        <f t="shared" si="17"/>
        <v>45900</v>
      </c>
    </row>
    <row r="535" spans="1:10" x14ac:dyDescent="0.3">
      <c r="A535" s="7" t="s">
        <v>587</v>
      </c>
      <c r="B535" s="7" t="str">
        <f>_xlfn.XLOOKUP(A535,'Vendor code- SKU mapping'!$B$1:$B$806,'Vendor code- SKU mapping'!$A$1:$A$806)</f>
        <v>ISte</v>
      </c>
      <c r="C535" s="7">
        <f>VLOOKUP(B535,'Vendor -MOQ- Lead time'!$A$2:$B$45,2,0)</f>
        <v>45</v>
      </c>
      <c r="D535" s="13">
        <f>ROUND(IF('Task 2'!G535&lt;0,ABS('Task 2'!G535),0),0)</f>
        <v>0</v>
      </c>
      <c r="E535" s="7">
        <f>ROUND('Task 2'!D535*'Task 3'!C535,0)</f>
        <v>21</v>
      </c>
      <c r="F535" s="7">
        <f>VLOOKUP(B535,'Vendor -MOQ- Lead time'!$A$2:$C$45,3,0)</f>
        <v>270</v>
      </c>
      <c r="G535" s="7">
        <f t="shared" si="16"/>
        <v>270</v>
      </c>
      <c r="H535" s="7" t="s">
        <v>0</v>
      </c>
      <c r="I535" s="7" cm="1">
        <f t="array" ref="I535">_xlfn.IFS(H535="25-50%",230,H535="Top 25 %",260,H535="50-75%",200,H535="Last 25%",170,H535="Retire",150)</f>
        <v>170</v>
      </c>
      <c r="J535" s="15">
        <f t="shared" si="17"/>
        <v>45900</v>
      </c>
    </row>
    <row r="536" spans="1:10" x14ac:dyDescent="0.3">
      <c r="A536" s="7" t="s">
        <v>588</v>
      </c>
      <c r="B536" s="7" t="str">
        <f>_xlfn.XLOOKUP(A536,'Vendor code- SKU mapping'!$B$1:$B$806,'Vendor code- SKU mapping'!$A$1:$A$806)</f>
        <v>OKri</v>
      </c>
      <c r="C536" s="7">
        <f>VLOOKUP(B536,'Vendor -MOQ- Lead time'!$A$2:$B$45,2,0)</f>
        <v>45</v>
      </c>
      <c r="D536" s="13">
        <f>ROUND(IF('Task 2'!G536&lt;0,ABS('Task 2'!G536),0),0)</f>
        <v>0</v>
      </c>
      <c r="E536" s="7">
        <f>ROUND('Task 2'!D536*'Task 3'!C536,0)</f>
        <v>24</v>
      </c>
      <c r="F536" s="7">
        <f>VLOOKUP(B536,'Vendor -MOQ- Lead time'!$A$2:$C$45,3,0)</f>
        <v>270</v>
      </c>
      <c r="G536" s="7">
        <f t="shared" si="16"/>
        <v>270</v>
      </c>
      <c r="H536" s="7" t="s">
        <v>0</v>
      </c>
      <c r="I536" s="7" cm="1">
        <f t="array" ref="I536">_xlfn.IFS(H536="25-50%",230,H536="Top 25 %",260,H536="50-75%",200,H536="Last 25%",170,H536="Retire",150)</f>
        <v>170</v>
      </c>
      <c r="J536" s="15">
        <f t="shared" si="17"/>
        <v>45900</v>
      </c>
    </row>
    <row r="537" spans="1:10" x14ac:dyDescent="0.3">
      <c r="A537" s="7" t="s">
        <v>589</v>
      </c>
      <c r="B537" s="7" t="str">
        <f>_xlfn.XLOOKUP(A537,'Vendor code- SKU mapping'!$B$1:$B$806,'Vendor code- SKU mapping'!$A$1:$A$806)</f>
        <v>EDaz</v>
      </c>
      <c r="C537" s="7">
        <f>VLOOKUP(B537,'Vendor -MOQ- Lead time'!$A$2:$B$45,2,0)</f>
        <v>30</v>
      </c>
      <c r="D537" s="13">
        <f>ROUND(IF('Task 2'!G537&lt;0,ABS('Task 2'!G537),0),0)</f>
        <v>0</v>
      </c>
      <c r="E537" s="7">
        <f>ROUND('Task 2'!D537*'Task 3'!C537,0)</f>
        <v>35</v>
      </c>
      <c r="F537" s="7">
        <f>VLOOKUP(B537,'Vendor -MOQ- Lead time'!$A$2:$C$45,3,0)</f>
        <v>180</v>
      </c>
      <c r="G537" s="7">
        <f t="shared" si="16"/>
        <v>180</v>
      </c>
      <c r="H537" s="7" t="s">
        <v>0</v>
      </c>
      <c r="I537" s="7" cm="1">
        <f t="array" ref="I537">_xlfn.IFS(H537="25-50%",230,H537="Top 25 %",260,H537="50-75%",200,H537="Last 25%",170,H537="Retire",150)</f>
        <v>170</v>
      </c>
      <c r="J537" s="15">
        <f t="shared" si="17"/>
        <v>30600</v>
      </c>
    </row>
    <row r="538" spans="1:10" x14ac:dyDescent="0.3">
      <c r="A538" s="7" t="s">
        <v>590</v>
      </c>
      <c r="B538" s="7" t="str">
        <f>_xlfn.XLOOKUP(A538,'Vendor code- SKU mapping'!$B$1:$B$806,'Vendor code- SKU mapping'!$A$1:$A$806)</f>
        <v>EJSK</v>
      </c>
      <c r="C538" s="7">
        <f>VLOOKUP(B538,'Vendor -MOQ- Lead time'!$A$2:$B$45,2,0)</f>
        <v>45</v>
      </c>
      <c r="D538" s="13">
        <f>ROUND(IF('Task 2'!G538&lt;0,ABS('Task 2'!G538),0),0)</f>
        <v>0</v>
      </c>
      <c r="E538" s="7">
        <f>ROUND('Task 2'!D538*'Task 3'!C538,0)</f>
        <v>57</v>
      </c>
      <c r="F538" s="7">
        <f>VLOOKUP(B538,'Vendor -MOQ- Lead time'!$A$2:$C$45,3,0)</f>
        <v>270</v>
      </c>
      <c r="G538" s="7">
        <f t="shared" si="16"/>
        <v>270</v>
      </c>
      <c r="H538" s="7" t="s">
        <v>0</v>
      </c>
      <c r="I538" s="7" cm="1">
        <f t="array" ref="I538">_xlfn.IFS(H538="25-50%",230,H538="Top 25 %",260,H538="50-75%",200,H538="Last 25%",170,H538="Retire",150)</f>
        <v>170</v>
      </c>
      <c r="J538" s="15">
        <f t="shared" si="17"/>
        <v>45900</v>
      </c>
    </row>
    <row r="539" spans="1:10" x14ac:dyDescent="0.3">
      <c r="A539" s="7" t="s">
        <v>591</v>
      </c>
      <c r="B539" s="7" t="str">
        <f>_xlfn.XLOOKUP(A539,'Vendor code- SKU mapping'!$B$1:$B$806,'Vendor code- SKU mapping'!$A$1:$A$806)</f>
        <v>EDaz</v>
      </c>
      <c r="C539" s="7">
        <f>VLOOKUP(B539,'Vendor -MOQ- Lead time'!$A$2:$B$45,2,0)</f>
        <v>30</v>
      </c>
      <c r="D539" s="13">
        <f>ROUND(IF('Task 2'!G539&lt;0,ABS('Task 2'!G539),0),0)</f>
        <v>0</v>
      </c>
      <c r="E539" s="7">
        <f>ROUND('Task 2'!D539*'Task 3'!C539,0)</f>
        <v>16</v>
      </c>
      <c r="F539" s="7">
        <f>VLOOKUP(B539,'Vendor -MOQ- Lead time'!$A$2:$C$45,3,0)</f>
        <v>180</v>
      </c>
      <c r="G539" s="7">
        <f t="shared" si="16"/>
        <v>180</v>
      </c>
      <c r="H539" s="7" t="s">
        <v>0</v>
      </c>
      <c r="I539" s="7" cm="1">
        <f t="array" ref="I539">_xlfn.IFS(H539="25-50%",230,H539="Top 25 %",260,H539="50-75%",200,H539="Last 25%",170,H539="Retire",150)</f>
        <v>170</v>
      </c>
      <c r="J539" s="15">
        <f t="shared" si="17"/>
        <v>30600</v>
      </c>
    </row>
    <row r="540" spans="1:10" x14ac:dyDescent="0.3">
      <c r="A540" s="7" t="s">
        <v>592</v>
      </c>
      <c r="B540" s="7" t="str">
        <f>_xlfn.XLOOKUP(A540,'Vendor code- SKU mapping'!$B$1:$B$806,'Vendor code- SKU mapping'!$A$1:$A$806)</f>
        <v>ISte</v>
      </c>
      <c r="C540" s="7">
        <f>VLOOKUP(B540,'Vendor -MOQ- Lead time'!$A$2:$B$45,2,0)</f>
        <v>45</v>
      </c>
      <c r="D540" s="13">
        <f>ROUND(IF('Task 2'!G540&lt;0,ABS('Task 2'!G540),0),0)</f>
        <v>0</v>
      </c>
      <c r="E540" s="7">
        <f>ROUND('Task 2'!D540*'Task 3'!C540,0)</f>
        <v>44</v>
      </c>
      <c r="F540" s="7">
        <f>VLOOKUP(B540,'Vendor -MOQ- Lead time'!$A$2:$C$45,3,0)</f>
        <v>270</v>
      </c>
      <c r="G540" s="7">
        <f t="shared" si="16"/>
        <v>270</v>
      </c>
      <c r="H540" s="7" t="s">
        <v>0</v>
      </c>
      <c r="I540" s="7" cm="1">
        <f t="array" ref="I540">_xlfn.IFS(H540="25-50%",230,H540="Top 25 %",260,H540="50-75%",200,H540="Last 25%",170,H540="Retire",150)</f>
        <v>170</v>
      </c>
      <c r="J540" s="15">
        <f t="shared" si="17"/>
        <v>45900</v>
      </c>
    </row>
    <row r="541" spans="1:10" x14ac:dyDescent="0.3">
      <c r="A541" s="7" t="s">
        <v>593</v>
      </c>
      <c r="B541" s="7" t="str">
        <f>_xlfn.XLOOKUP(A541,'Vendor code- SKU mapping'!$B$1:$B$806,'Vendor code- SKU mapping'!$A$1:$A$806)</f>
        <v>ISte</v>
      </c>
      <c r="C541" s="7">
        <f>VLOOKUP(B541,'Vendor -MOQ- Lead time'!$A$2:$B$45,2,0)</f>
        <v>45</v>
      </c>
      <c r="D541" s="13">
        <f>ROUND(IF('Task 2'!G541&lt;0,ABS('Task 2'!G541),0),0)</f>
        <v>8</v>
      </c>
      <c r="E541" s="7">
        <f>ROUND('Task 2'!D541*'Task 3'!C541,0)</f>
        <v>39</v>
      </c>
      <c r="F541" s="7">
        <f>VLOOKUP(B541,'Vendor -MOQ- Lead time'!$A$2:$C$45,3,0)</f>
        <v>270</v>
      </c>
      <c r="G541" s="7">
        <f t="shared" si="16"/>
        <v>270</v>
      </c>
      <c r="H541" s="7" t="s">
        <v>0</v>
      </c>
      <c r="I541" s="7" cm="1">
        <f t="array" ref="I541">_xlfn.IFS(H541="25-50%",230,H541="Top 25 %",260,H541="50-75%",200,H541="Last 25%",170,H541="Retire",150)</f>
        <v>170</v>
      </c>
      <c r="J541" s="15">
        <f t="shared" si="17"/>
        <v>45900</v>
      </c>
    </row>
    <row r="542" spans="1:10" x14ac:dyDescent="0.3">
      <c r="A542" s="7" t="s">
        <v>594</v>
      </c>
      <c r="B542" s="7" t="str">
        <f>_xlfn.XLOOKUP(A542,'Vendor code- SKU mapping'!$B$1:$B$806,'Vendor code- SKU mapping'!$A$1:$A$806)</f>
        <v>ORed</v>
      </c>
      <c r="C542" s="7">
        <f>VLOOKUP(B542,'Vendor -MOQ- Lead time'!$A$2:$B$45,2,0)</f>
        <v>30</v>
      </c>
      <c r="D542" s="13">
        <f>ROUND(IF('Task 2'!G542&lt;0,ABS('Task 2'!G542),0),0)</f>
        <v>0</v>
      </c>
      <c r="E542" s="7">
        <f>ROUND('Task 2'!D542*'Task 3'!C542,0)</f>
        <v>12</v>
      </c>
      <c r="F542" s="7">
        <f>VLOOKUP(B542,'Vendor -MOQ- Lead time'!$A$2:$C$45,3,0)</f>
        <v>180</v>
      </c>
      <c r="G542" s="7">
        <f t="shared" si="16"/>
        <v>180</v>
      </c>
      <c r="H542" s="7" t="s">
        <v>0</v>
      </c>
      <c r="I542" s="7" cm="1">
        <f t="array" ref="I542">_xlfn.IFS(H542="25-50%",230,H542="Top 25 %",260,H542="50-75%",200,H542="Last 25%",170,H542="Retire",150)</f>
        <v>170</v>
      </c>
      <c r="J542" s="15">
        <f t="shared" si="17"/>
        <v>30600</v>
      </c>
    </row>
    <row r="543" spans="1:10" x14ac:dyDescent="0.3">
      <c r="A543" s="7" t="s">
        <v>595</v>
      </c>
      <c r="B543" s="7" t="str">
        <f>_xlfn.XLOOKUP(A543,'Vendor code- SKU mapping'!$B$1:$B$806,'Vendor code- SKU mapping'!$A$1:$A$806)</f>
        <v>OKri</v>
      </c>
      <c r="C543" s="7">
        <f>VLOOKUP(B543,'Vendor -MOQ- Lead time'!$A$2:$B$45,2,0)</f>
        <v>45</v>
      </c>
      <c r="D543" s="13">
        <f>ROUND(IF('Task 2'!G543&lt;0,ABS('Task 2'!G543),0),0)</f>
        <v>0</v>
      </c>
      <c r="E543" s="7">
        <f>ROUND('Task 2'!D543*'Task 3'!C543,0)</f>
        <v>12</v>
      </c>
      <c r="F543" s="7">
        <f>VLOOKUP(B543,'Vendor -MOQ- Lead time'!$A$2:$C$45,3,0)</f>
        <v>270</v>
      </c>
      <c r="G543" s="7">
        <f t="shared" si="16"/>
        <v>270</v>
      </c>
      <c r="H543" s="7" t="s">
        <v>0</v>
      </c>
      <c r="I543" s="7" cm="1">
        <f t="array" ref="I543">_xlfn.IFS(H543="25-50%",230,H543="Top 25 %",260,H543="50-75%",200,H543="Last 25%",170,H543="Retire",150)</f>
        <v>170</v>
      </c>
      <c r="J543" s="15">
        <f t="shared" si="17"/>
        <v>45900</v>
      </c>
    </row>
    <row r="544" spans="1:10" x14ac:dyDescent="0.3">
      <c r="A544" s="7" t="s">
        <v>596</v>
      </c>
      <c r="B544" s="7" t="str">
        <f>_xlfn.XLOOKUP(A544,'Vendor code- SKU mapping'!$B$1:$B$806,'Vendor code- SKU mapping'!$A$1:$A$806)</f>
        <v>AAma</v>
      </c>
      <c r="C544" s="7">
        <f>VLOOKUP(B544,'Vendor -MOQ- Lead time'!$A$2:$B$45,2,0)</f>
        <v>45</v>
      </c>
      <c r="D544" s="13">
        <f>ROUND(IF('Task 2'!G544&lt;0,ABS('Task 2'!G544),0),0)</f>
        <v>0</v>
      </c>
      <c r="E544" s="7">
        <f>ROUND('Task 2'!D544*'Task 3'!C544,0)</f>
        <v>17</v>
      </c>
      <c r="F544" s="7">
        <f>VLOOKUP(B544,'Vendor -MOQ- Lead time'!$A$2:$C$45,3,0)</f>
        <v>270</v>
      </c>
      <c r="G544" s="7">
        <f t="shared" si="16"/>
        <v>270</v>
      </c>
      <c r="H544" s="7" t="s">
        <v>0</v>
      </c>
      <c r="I544" s="7" cm="1">
        <f t="array" ref="I544">_xlfn.IFS(H544="25-50%",230,H544="Top 25 %",260,H544="50-75%",200,H544="Last 25%",170,H544="Retire",150)</f>
        <v>170</v>
      </c>
      <c r="J544" s="15">
        <f t="shared" si="17"/>
        <v>45900</v>
      </c>
    </row>
    <row r="545" spans="1:10" x14ac:dyDescent="0.3">
      <c r="A545" s="7" t="s">
        <v>597</v>
      </c>
      <c r="B545" s="7" t="str">
        <f>_xlfn.XLOOKUP(A545,'Vendor code- SKU mapping'!$B$1:$B$806,'Vendor code- SKU mapping'!$A$1:$A$806)</f>
        <v>ISV</v>
      </c>
      <c r="C545" s="7">
        <f>VLOOKUP(B545,'Vendor -MOQ- Lead time'!$A$2:$B$45,2,0)</f>
        <v>45</v>
      </c>
      <c r="D545" s="13">
        <f>ROUND(IF('Task 2'!G545&lt;0,ABS('Task 2'!G545),0),0)</f>
        <v>0</v>
      </c>
      <c r="E545" s="7">
        <f>ROUND('Task 2'!D545*'Task 3'!C545,0)</f>
        <v>18</v>
      </c>
      <c r="F545" s="7">
        <f>VLOOKUP(B545,'Vendor -MOQ- Lead time'!$A$2:$C$45,3,0)</f>
        <v>270</v>
      </c>
      <c r="G545" s="7">
        <f t="shared" si="16"/>
        <v>270</v>
      </c>
      <c r="H545" s="7" t="s">
        <v>0</v>
      </c>
      <c r="I545" s="7" cm="1">
        <f t="array" ref="I545">_xlfn.IFS(H545="25-50%",230,H545="Top 25 %",260,H545="50-75%",200,H545="Last 25%",170,H545="Retire",150)</f>
        <v>170</v>
      </c>
      <c r="J545" s="15">
        <f t="shared" si="17"/>
        <v>45900</v>
      </c>
    </row>
    <row r="546" spans="1:10" x14ac:dyDescent="0.3">
      <c r="A546" s="7" t="s">
        <v>598</v>
      </c>
      <c r="B546" s="7" t="str">
        <f>_xlfn.XLOOKUP(A546,'Vendor code- SKU mapping'!$B$1:$B$806,'Vendor code- SKU mapping'!$A$1:$A$806)</f>
        <v>EFai</v>
      </c>
      <c r="C546" s="7">
        <f>VLOOKUP(B546,'Vendor -MOQ- Lead time'!$A$2:$B$45,2,0)</f>
        <v>60</v>
      </c>
      <c r="D546" s="13">
        <f>ROUND(IF('Task 2'!G546&lt;0,ABS('Task 2'!G546),0),0)</f>
        <v>0</v>
      </c>
      <c r="E546" s="7">
        <f>ROUND('Task 2'!D546*'Task 3'!C546,0)</f>
        <v>18</v>
      </c>
      <c r="F546" s="7">
        <f>VLOOKUP(B546,'Vendor -MOQ- Lead time'!$A$2:$C$45,3,0)</f>
        <v>1080</v>
      </c>
      <c r="G546" s="7">
        <f t="shared" si="16"/>
        <v>1080</v>
      </c>
      <c r="H546" s="7" t="s">
        <v>0</v>
      </c>
      <c r="I546" s="7" cm="1">
        <f t="array" ref="I546">_xlfn.IFS(H546="25-50%",230,H546="Top 25 %",260,H546="50-75%",200,H546="Last 25%",170,H546="Retire",150)</f>
        <v>170</v>
      </c>
      <c r="J546" s="15">
        <f t="shared" si="17"/>
        <v>183600</v>
      </c>
    </row>
    <row r="547" spans="1:10" x14ac:dyDescent="0.3">
      <c r="A547" s="7" t="s">
        <v>599</v>
      </c>
      <c r="B547" s="7" t="str">
        <f>_xlfn.XLOOKUP(A547,'Vendor code- SKU mapping'!$B$1:$B$806,'Vendor code- SKU mapping'!$A$1:$A$806)</f>
        <v>EBes</v>
      </c>
      <c r="C547" s="7">
        <f>VLOOKUP(B547,'Vendor -MOQ- Lead time'!$A$2:$B$45,2,0)</f>
        <v>45</v>
      </c>
      <c r="D547" s="13">
        <f>ROUND(IF('Task 2'!G547&lt;0,ABS('Task 2'!G547),0),0)</f>
        <v>0</v>
      </c>
      <c r="E547" s="7">
        <f>ROUND('Task 2'!D547*'Task 3'!C547,0)</f>
        <v>17</v>
      </c>
      <c r="F547" s="7">
        <f>VLOOKUP(B547,'Vendor -MOQ- Lead time'!$A$2:$C$45,3,0)</f>
        <v>270</v>
      </c>
      <c r="G547" s="7">
        <f t="shared" si="16"/>
        <v>270</v>
      </c>
      <c r="H547" s="7" t="s">
        <v>0</v>
      </c>
      <c r="I547" s="7" cm="1">
        <f t="array" ref="I547">_xlfn.IFS(H547="25-50%",230,H547="Top 25 %",260,H547="50-75%",200,H547="Last 25%",170,H547="Retire",150)</f>
        <v>170</v>
      </c>
      <c r="J547" s="15">
        <f t="shared" si="17"/>
        <v>45900</v>
      </c>
    </row>
    <row r="548" spans="1:10" x14ac:dyDescent="0.3">
      <c r="A548" s="7" t="s">
        <v>600</v>
      </c>
      <c r="B548" s="7" t="str">
        <f>_xlfn.XLOOKUP(A548,'Vendor code- SKU mapping'!$B$1:$B$806,'Vendor code- SKU mapping'!$A$1:$A$806)</f>
        <v>OLux</v>
      </c>
      <c r="C548" s="7">
        <f>VLOOKUP(B548,'Vendor -MOQ- Lead time'!$A$2:$B$45,2,0)</f>
        <v>30</v>
      </c>
      <c r="D548" s="13">
        <f>ROUND(IF('Task 2'!G548&lt;0,ABS('Task 2'!G548),0),0)</f>
        <v>0</v>
      </c>
      <c r="E548" s="7">
        <f>ROUND('Task 2'!D548*'Task 3'!C548,0)</f>
        <v>15</v>
      </c>
      <c r="F548" s="7">
        <f>VLOOKUP(B548,'Vendor -MOQ- Lead time'!$A$2:$C$45,3,0)</f>
        <v>180</v>
      </c>
      <c r="G548" s="7">
        <f t="shared" si="16"/>
        <v>180</v>
      </c>
      <c r="H548" s="7" t="s">
        <v>0</v>
      </c>
      <c r="I548" s="7" cm="1">
        <f t="array" ref="I548">_xlfn.IFS(H548="25-50%",230,H548="Top 25 %",260,H548="50-75%",200,H548="Last 25%",170,H548="Retire",150)</f>
        <v>170</v>
      </c>
      <c r="J548" s="15">
        <f t="shared" si="17"/>
        <v>30600</v>
      </c>
    </row>
    <row r="549" spans="1:10" x14ac:dyDescent="0.3">
      <c r="A549" s="7" t="s">
        <v>601</v>
      </c>
      <c r="B549" s="7" t="str">
        <f>_xlfn.XLOOKUP(A549,'Vendor code- SKU mapping'!$B$1:$B$806,'Vendor code- SKU mapping'!$A$1:$A$806)</f>
        <v>IStu</v>
      </c>
      <c r="C549" s="7">
        <f>VLOOKUP(B549,'Vendor -MOQ- Lead time'!$A$2:$B$45,2,0)</f>
        <v>30</v>
      </c>
      <c r="D549" s="13">
        <f>ROUND(IF('Task 2'!G549&lt;0,ABS('Task 2'!G549),0),0)</f>
        <v>0</v>
      </c>
      <c r="E549" s="7">
        <f>ROUND('Task 2'!D549*'Task 3'!C549,0)</f>
        <v>5</v>
      </c>
      <c r="F549" s="7">
        <f>VLOOKUP(B549,'Vendor -MOQ- Lead time'!$A$2:$C$45,3,0)</f>
        <v>180</v>
      </c>
      <c r="G549" s="7">
        <f t="shared" si="16"/>
        <v>180</v>
      </c>
      <c r="H549" s="7" t="s">
        <v>0</v>
      </c>
      <c r="I549" s="7" cm="1">
        <f t="array" ref="I549">_xlfn.IFS(H549="25-50%",230,H549="Top 25 %",260,H549="50-75%",200,H549="Last 25%",170,H549="Retire",150)</f>
        <v>170</v>
      </c>
      <c r="J549" s="15">
        <f t="shared" si="17"/>
        <v>30600</v>
      </c>
    </row>
    <row r="550" spans="1:10" x14ac:dyDescent="0.3">
      <c r="A550" s="7" t="s">
        <v>602</v>
      </c>
      <c r="B550" s="7" t="str">
        <f>_xlfn.XLOOKUP(A550,'Vendor code- SKU mapping'!$B$1:$B$806,'Vendor code- SKU mapping'!$A$1:$A$806)</f>
        <v>ORav</v>
      </c>
      <c r="C550" s="7">
        <f>VLOOKUP(B550,'Vendor -MOQ- Lead time'!$A$2:$B$45,2,0)</f>
        <v>30</v>
      </c>
      <c r="D550" s="13">
        <f>ROUND(IF('Task 2'!G550&lt;0,ABS('Task 2'!G550),0),0)</f>
        <v>0</v>
      </c>
      <c r="E550" s="7">
        <f>ROUND('Task 2'!D550*'Task 3'!C550,0)</f>
        <v>13</v>
      </c>
      <c r="F550" s="7">
        <f>VLOOKUP(B550,'Vendor -MOQ- Lead time'!$A$2:$C$45,3,0)</f>
        <v>180</v>
      </c>
      <c r="G550" s="7">
        <f t="shared" si="16"/>
        <v>180</v>
      </c>
      <c r="H550" s="7" t="s">
        <v>0</v>
      </c>
      <c r="I550" s="7" cm="1">
        <f t="array" ref="I550">_xlfn.IFS(H550="25-50%",230,H550="Top 25 %",260,H550="50-75%",200,H550="Last 25%",170,H550="Retire",150)</f>
        <v>170</v>
      </c>
      <c r="J550" s="15">
        <f t="shared" si="17"/>
        <v>30600</v>
      </c>
    </row>
    <row r="551" spans="1:10" x14ac:dyDescent="0.3">
      <c r="A551" s="7" t="s">
        <v>603</v>
      </c>
      <c r="B551" s="7" t="str">
        <f>_xlfn.XLOOKUP(A551,'Vendor code- SKU mapping'!$B$1:$B$806,'Vendor code- SKU mapping'!$A$1:$A$806)</f>
        <v>IStu</v>
      </c>
      <c r="C551" s="7">
        <f>VLOOKUP(B551,'Vendor -MOQ- Lead time'!$A$2:$B$45,2,0)</f>
        <v>30</v>
      </c>
      <c r="D551" s="13">
        <f>ROUND(IF('Task 2'!G551&lt;0,ABS('Task 2'!G551),0),0)</f>
        <v>0</v>
      </c>
      <c r="E551" s="7">
        <f>ROUND('Task 2'!D551*'Task 3'!C551,0)</f>
        <v>4</v>
      </c>
      <c r="F551" s="7">
        <f>VLOOKUP(B551,'Vendor -MOQ- Lead time'!$A$2:$C$45,3,0)</f>
        <v>180</v>
      </c>
      <c r="G551" s="7">
        <f t="shared" si="16"/>
        <v>180</v>
      </c>
      <c r="H551" s="7" t="s">
        <v>0</v>
      </c>
      <c r="I551" s="7" cm="1">
        <f t="array" ref="I551">_xlfn.IFS(H551="25-50%",230,H551="Top 25 %",260,H551="50-75%",200,H551="Last 25%",170,H551="Retire",150)</f>
        <v>170</v>
      </c>
      <c r="J551" s="15">
        <f t="shared" si="17"/>
        <v>30600</v>
      </c>
    </row>
    <row r="552" spans="1:10" x14ac:dyDescent="0.3">
      <c r="A552" s="7" t="s">
        <v>604</v>
      </c>
      <c r="B552" s="7" t="str">
        <f>_xlfn.XLOOKUP(A552,'Vendor code- SKU mapping'!$B$1:$B$806,'Vendor code- SKU mapping'!$A$1:$A$806)</f>
        <v>OMD</v>
      </c>
      <c r="C552" s="7">
        <f>VLOOKUP(B552,'Vendor -MOQ- Lead time'!$A$2:$B$45,2,0)</f>
        <v>30</v>
      </c>
      <c r="D552" s="13">
        <f>ROUND(IF('Task 2'!G552&lt;0,ABS('Task 2'!G552),0),0)</f>
        <v>0</v>
      </c>
      <c r="E552" s="7">
        <f>ROUND('Task 2'!D552*'Task 3'!C552,0)</f>
        <v>11</v>
      </c>
      <c r="F552" s="7">
        <f>VLOOKUP(B552,'Vendor -MOQ- Lead time'!$A$2:$C$45,3,0)</f>
        <v>180</v>
      </c>
      <c r="G552" s="7">
        <f t="shared" si="16"/>
        <v>180</v>
      </c>
      <c r="H552" s="7" t="s">
        <v>0</v>
      </c>
      <c r="I552" s="7" cm="1">
        <f t="array" ref="I552">_xlfn.IFS(H552="25-50%",230,H552="Top 25 %",260,H552="50-75%",200,H552="Last 25%",170,H552="Retire",150)</f>
        <v>170</v>
      </c>
      <c r="J552" s="15">
        <f t="shared" si="17"/>
        <v>30600</v>
      </c>
    </row>
    <row r="553" spans="1:10" x14ac:dyDescent="0.3">
      <c r="A553" s="7" t="s">
        <v>605</v>
      </c>
      <c r="B553" s="7" t="str">
        <f>_xlfn.XLOOKUP(A553,'Vendor code- SKU mapping'!$B$1:$B$806,'Vendor code- SKU mapping'!$A$1:$A$806)</f>
        <v>ISte</v>
      </c>
      <c r="C553" s="7">
        <f>VLOOKUP(B553,'Vendor -MOQ- Lead time'!$A$2:$B$45,2,0)</f>
        <v>45</v>
      </c>
      <c r="D553" s="13">
        <f>ROUND(IF('Task 2'!G553&lt;0,ABS('Task 2'!G553),0),0)</f>
        <v>0</v>
      </c>
      <c r="E553" s="7">
        <f>ROUND('Task 2'!D553*'Task 3'!C553,0)</f>
        <v>11</v>
      </c>
      <c r="F553" s="7">
        <f>VLOOKUP(B553,'Vendor -MOQ- Lead time'!$A$2:$C$45,3,0)</f>
        <v>270</v>
      </c>
      <c r="G553" s="7">
        <f t="shared" si="16"/>
        <v>270</v>
      </c>
      <c r="H553" s="7" t="s">
        <v>0</v>
      </c>
      <c r="I553" s="7" cm="1">
        <f t="array" ref="I553">_xlfn.IFS(H553="25-50%",230,H553="Top 25 %",260,H553="50-75%",200,H553="Last 25%",170,H553="Retire",150)</f>
        <v>170</v>
      </c>
      <c r="J553" s="15">
        <f t="shared" si="17"/>
        <v>45900</v>
      </c>
    </row>
    <row r="554" spans="1:10" x14ac:dyDescent="0.3">
      <c r="A554" s="7" t="s">
        <v>606</v>
      </c>
      <c r="B554" s="7" t="str">
        <f>_xlfn.XLOOKUP(A554,'Vendor code- SKU mapping'!$B$1:$B$806,'Vendor code- SKU mapping'!$A$1:$A$806)</f>
        <v>OLux</v>
      </c>
      <c r="C554" s="7">
        <f>VLOOKUP(B554,'Vendor -MOQ- Lead time'!$A$2:$B$45,2,0)</f>
        <v>30</v>
      </c>
      <c r="D554" s="13">
        <f>ROUND(IF('Task 2'!G554&lt;0,ABS('Task 2'!G554),0),0)</f>
        <v>0</v>
      </c>
      <c r="E554" s="7">
        <f>ROUND('Task 2'!D554*'Task 3'!C554,0)</f>
        <v>7</v>
      </c>
      <c r="F554" s="7">
        <f>VLOOKUP(B554,'Vendor -MOQ- Lead time'!$A$2:$C$45,3,0)</f>
        <v>180</v>
      </c>
      <c r="G554" s="7">
        <f t="shared" si="16"/>
        <v>180</v>
      </c>
      <c r="H554" s="7" t="s">
        <v>0</v>
      </c>
      <c r="I554" s="7" cm="1">
        <f t="array" ref="I554">_xlfn.IFS(H554="25-50%",230,H554="Top 25 %",260,H554="50-75%",200,H554="Last 25%",170,H554="Retire",150)</f>
        <v>170</v>
      </c>
      <c r="J554" s="15">
        <f t="shared" si="17"/>
        <v>30600</v>
      </c>
    </row>
    <row r="555" spans="1:10" x14ac:dyDescent="0.3">
      <c r="A555" s="7" t="s">
        <v>607</v>
      </c>
      <c r="B555" s="7" t="str">
        <f>_xlfn.XLOOKUP(A555,'Vendor code- SKU mapping'!$B$1:$B$806,'Vendor code- SKU mapping'!$A$1:$A$806)</f>
        <v>IStu</v>
      </c>
      <c r="C555" s="7">
        <f>VLOOKUP(B555,'Vendor -MOQ- Lead time'!$A$2:$B$45,2,0)</f>
        <v>30</v>
      </c>
      <c r="D555" s="13">
        <f>ROUND(IF('Task 2'!G555&lt;0,ABS('Task 2'!G555),0),0)</f>
        <v>0</v>
      </c>
      <c r="E555" s="7">
        <f>ROUND('Task 2'!D555*'Task 3'!C555,0)</f>
        <v>5</v>
      </c>
      <c r="F555" s="7">
        <f>VLOOKUP(B555,'Vendor -MOQ- Lead time'!$A$2:$C$45,3,0)</f>
        <v>180</v>
      </c>
      <c r="G555" s="7">
        <f t="shared" si="16"/>
        <v>180</v>
      </c>
      <c r="H555" s="7" t="s">
        <v>0</v>
      </c>
      <c r="I555" s="7" cm="1">
        <f t="array" ref="I555">_xlfn.IFS(H555="25-50%",230,H555="Top 25 %",260,H555="50-75%",200,H555="Last 25%",170,H555="Retire",150)</f>
        <v>170</v>
      </c>
      <c r="J555" s="15">
        <f t="shared" si="17"/>
        <v>30600</v>
      </c>
    </row>
    <row r="556" spans="1:10" x14ac:dyDescent="0.3">
      <c r="A556" s="7" t="s">
        <v>608</v>
      </c>
      <c r="B556" s="7" t="str">
        <f>_xlfn.XLOOKUP(A556,'Vendor code- SKU mapping'!$B$1:$B$806,'Vendor code- SKU mapping'!$A$1:$A$806)</f>
        <v>OMah</v>
      </c>
      <c r="C556" s="7">
        <f>VLOOKUP(B556,'Vendor -MOQ- Lead time'!$A$2:$B$45,2,0)</f>
        <v>45</v>
      </c>
      <c r="D556" s="13">
        <f>ROUND(IF('Task 2'!G556&lt;0,ABS('Task 2'!G556),0),0)</f>
        <v>0</v>
      </c>
      <c r="E556" s="7">
        <f>ROUND('Task 2'!D556*'Task 3'!C556,0)</f>
        <v>30</v>
      </c>
      <c r="F556" s="7">
        <f>VLOOKUP(B556,'Vendor -MOQ- Lead time'!$A$2:$C$45,3,0)</f>
        <v>270</v>
      </c>
      <c r="G556" s="7">
        <f t="shared" si="16"/>
        <v>270</v>
      </c>
      <c r="H556" s="7" t="s">
        <v>0</v>
      </c>
      <c r="I556" s="7" cm="1">
        <f t="array" ref="I556">_xlfn.IFS(H556="25-50%",230,H556="Top 25 %",260,H556="50-75%",200,H556="Last 25%",170,H556="Retire",150)</f>
        <v>170</v>
      </c>
      <c r="J556" s="15">
        <f t="shared" si="17"/>
        <v>45900</v>
      </c>
    </row>
    <row r="557" spans="1:10" x14ac:dyDescent="0.3">
      <c r="A557" s="7" t="s">
        <v>609</v>
      </c>
      <c r="B557" s="7" t="str">
        <f>_xlfn.XLOOKUP(A557,'Vendor code- SKU mapping'!$B$1:$B$806,'Vendor code- SKU mapping'!$A$1:$A$806)</f>
        <v>ISte</v>
      </c>
      <c r="C557" s="7">
        <f>VLOOKUP(B557,'Vendor -MOQ- Lead time'!$A$2:$B$45,2,0)</f>
        <v>45</v>
      </c>
      <c r="D557" s="13">
        <f>ROUND(IF('Task 2'!G557&lt;0,ABS('Task 2'!G557),0),0)</f>
        <v>0</v>
      </c>
      <c r="E557" s="7">
        <f>ROUND('Task 2'!D557*'Task 3'!C557,0)</f>
        <v>8</v>
      </c>
      <c r="F557" s="7">
        <f>VLOOKUP(B557,'Vendor -MOQ- Lead time'!$A$2:$C$45,3,0)</f>
        <v>270</v>
      </c>
      <c r="G557" s="7">
        <f t="shared" si="16"/>
        <v>270</v>
      </c>
      <c r="H557" s="7" t="s">
        <v>0</v>
      </c>
      <c r="I557" s="7" cm="1">
        <f t="array" ref="I557">_xlfn.IFS(H557="25-50%",230,H557="Top 25 %",260,H557="50-75%",200,H557="Last 25%",170,H557="Retire",150)</f>
        <v>170</v>
      </c>
      <c r="J557" s="15">
        <f t="shared" si="17"/>
        <v>45900</v>
      </c>
    </row>
    <row r="558" spans="1:10" x14ac:dyDescent="0.3">
      <c r="A558" s="7" t="s">
        <v>610</v>
      </c>
      <c r="B558" s="7" t="str">
        <f>_xlfn.XLOOKUP(A558,'Vendor code- SKU mapping'!$B$1:$B$806,'Vendor code- SKU mapping'!$A$1:$A$806)</f>
        <v>ISte</v>
      </c>
      <c r="C558" s="7">
        <f>VLOOKUP(B558,'Vendor -MOQ- Lead time'!$A$2:$B$45,2,0)</f>
        <v>45</v>
      </c>
      <c r="D558" s="13">
        <f>ROUND(IF('Task 2'!G558&lt;0,ABS('Task 2'!G558),0),0)</f>
        <v>0</v>
      </c>
      <c r="E558" s="7">
        <f>ROUND('Task 2'!D558*'Task 3'!C558,0)</f>
        <v>11</v>
      </c>
      <c r="F558" s="7">
        <f>VLOOKUP(B558,'Vendor -MOQ- Lead time'!$A$2:$C$45,3,0)</f>
        <v>270</v>
      </c>
      <c r="G558" s="7">
        <f t="shared" si="16"/>
        <v>270</v>
      </c>
      <c r="H558" s="7" t="s">
        <v>0</v>
      </c>
      <c r="I558" s="7" cm="1">
        <f t="array" ref="I558">_xlfn.IFS(H558="25-50%",230,H558="Top 25 %",260,H558="50-75%",200,H558="Last 25%",170,H558="Retire",150)</f>
        <v>170</v>
      </c>
      <c r="J558" s="15">
        <f t="shared" si="17"/>
        <v>45900</v>
      </c>
    </row>
    <row r="559" spans="1:10" x14ac:dyDescent="0.3">
      <c r="A559" s="7" t="s">
        <v>611</v>
      </c>
      <c r="B559" s="7" t="str">
        <f>_xlfn.XLOOKUP(A559,'Vendor code- SKU mapping'!$B$1:$B$806,'Vendor code- SKU mapping'!$A$1:$A$806)</f>
        <v>ORed</v>
      </c>
      <c r="C559" s="7">
        <f>VLOOKUP(B559,'Vendor -MOQ- Lead time'!$A$2:$B$45,2,0)</f>
        <v>30</v>
      </c>
      <c r="D559" s="13">
        <f>ROUND(IF('Task 2'!G559&lt;0,ABS('Task 2'!G559),0),0)</f>
        <v>0</v>
      </c>
      <c r="E559" s="7">
        <f>ROUND('Task 2'!D559*'Task 3'!C559,0)</f>
        <v>4</v>
      </c>
      <c r="F559" s="7">
        <f>VLOOKUP(B559,'Vendor -MOQ- Lead time'!$A$2:$C$45,3,0)</f>
        <v>180</v>
      </c>
      <c r="G559" s="7">
        <f t="shared" si="16"/>
        <v>180</v>
      </c>
      <c r="H559" s="7" t="s">
        <v>0</v>
      </c>
      <c r="I559" s="7" cm="1">
        <f t="array" ref="I559">_xlfn.IFS(H559="25-50%",230,H559="Top 25 %",260,H559="50-75%",200,H559="Last 25%",170,H559="Retire",150)</f>
        <v>170</v>
      </c>
      <c r="J559" s="15">
        <f t="shared" si="17"/>
        <v>30600</v>
      </c>
    </row>
    <row r="560" spans="1:10" x14ac:dyDescent="0.3">
      <c r="A560" s="7" t="s">
        <v>612</v>
      </c>
      <c r="B560" s="7" t="str">
        <f>_xlfn.XLOOKUP(A560,'Vendor code- SKU mapping'!$B$1:$B$806,'Vendor code- SKU mapping'!$A$1:$A$806)</f>
        <v>ISte</v>
      </c>
      <c r="C560" s="7">
        <f>VLOOKUP(B560,'Vendor -MOQ- Lead time'!$A$2:$B$45,2,0)</f>
        <v>45</v>
      </c>
      <c r="D560" s="13">
        <f>ROUND(IF('Task 2'!G560&lt;0,ABS('Task 2'!G560),0),0)</f>
        <v>0</v>
      </c>
      <c r="E560" s="7">
        <f>ROUND('Task 2'!D560*'Task 3'!C560,0)</f>
        <v>9</v>
      </c>
      <c r="F560" s="7">
        <f>VLOOKUP(B560,'Vendor -MOQ- Lead time'!$A$2:$C$45,3,0)</f>
        <v>270</v>
      </c>
      <c r="G560" s="7">
        <f t="shared" si="16"/>
        <v>270</v>
      </c>
      <c r="H560" s="7" t="s">
        <v>0</v>
      </c>
      <c r="I560" s="7" cm="1">
        <f t="array" ref="I560">_xlfn.IFS(H560="25-50%",230,H560="Top 25 %",260,H560="50-75%",200,H560="Last 25%",170,H560="Retire",150)</f>
        <v>170</v>
      </c>
      <c r="J560" s="15">
        <f t="shared" si="17"/>
        <v>45900</v>
      </c>
    </row>
    <row r="561" spans="1:10" x14ac:dyDescent="0.3">
      <c r="A561" s="7" t="s">
        <v>613</v>
      </c>
      <c r="B561" s="7" t="str">
        <f>_xlfn.XLOOKUP(A561,'Vendor code- SKU mapping'!$B$1:$B$806,'Vendor code- SKU mapping'!$A$1:$A$806)</f>
        <v>ISte</v>
      </c>
      <c r="C561" s="7">
        <f>VLOOKUP(B561,'Vendor -MOQ- Lead time'!$A$2:$B$45,2,0)</f>
        <v>45</v>
      </c>
      <c r="D561" s="13">
        <f>ROUND(IF('Task 2'!G561&lt;0,ABS('Task 2'!G561),0),0)</f>
        <v>0</v>
      </c>
      <c r="E561" s="7">
        <f>ROUND('Task 2'!D561*'Task 3'!C561,0)</f>
        <v>17</v>
      </c>
      <c r="F561" s="7">
        <f>VLOOKUP(B561,'Vendor -MOQ- Lead time'!$A$2:$C$45,3,0)</f>
        <v>270</v>
      </c>
      <c r="G561" s="7">
        <f t="shared" si="16"/>
        <v>270</v>
      </c>
      <c r="H561" s="7" t="s">
        <v>0</v>
      </c>
      <c r="I561" s="7" cm="1">
        <f t="array" ref="I561">_xlfn.IFS(H561="25-50%",230,H561="Top 25 %",260,H561="50-75%",200,H561="Last 25%",170,H561="Retire",150)</f>
        <v>170</v>
      </c>
      <c r="J561" s="15">
        <f t="shared" si="17"/>
        <v>45900</v>
      </c>
    </row>
    <row r="562" spans="1:10" x14ac:dyDescent="0.3">
      <c r="A562" s="7" t="s">
        <v>614</v>
      </c>
      <c r="B562" s="7" t="str">
        <f>_xlfn.XLOOKUP(A562,'Vendor code- SKU mapping'!$B$1:$B$806,'Vendor code- SKU mapping'!$A$1:$A$806)</f>
        <v>OMD</v>
      </c>
      <c r="C562" s="7">
        <f>VLOOKUP(B562,'Vendor -MOQ- Lead time'!$A$2:$B$45,2,0)</f>
        <v>30</v>
      </c>
      <c r="D562" s="13">
        <f>ROUND(IF('Task 2'!G562&lt;0,ABS('Task 2'!G562),0),0)</f>
        <v>0</v>
      </c>
      <c r="E562" s="7">
        <f>ROUND('Task 2'!D562*'Task 3'!C562,0)</f>
        <v>7</v>
      </c>
      <c r="F562" s="7">
        <f>VLOOKUP(B562,'Vendor -MOQ- Lead time'!$A$2:$C$45,3,0)</f>
        <v>180</v>
      </c>
      <c r="G562" s="7">
        <f t="shared" si="16"/>
        <v>180</v>
      </c>
      <c r="H562" s="7" t="s">
        <v>0</v>
      </c>
      <c r="I562" s="7" cm="1">
        <f t="array" ref="I562">_xlfn.IFS(H562="25-50%",230,H562="Top 25 %",260,H562="50-75%",200,H562="Last 25%",170,H562="Retire",150)</f>
        <v>170</v>
      </c>
      <c r="J562" s="15">
        <f t="shared" si="17"/>
        <v>30600</v>
      </c>
    </row>
    <row r="563" spans="1:10" x14ac:dyDescent="0.3">
      <c r="A563" s="7" t="s">
        <v>615</v>
      </c>
      <c r="B563" s="7" t="str">
        <f>_xlfn.XLOOKUP(A563,'Vendor code- SKU mapping'!$B$1:$B$806,'Vendor code- SKU mapping'!$A$1:$A$806)</f>
        <v>AAma</v>
      </c>
      <c r="C563" s="7">
        <f>VLOOKUP(B563,'Vendor -MOQ- Lead time'!$A$2:$B$45,2,0)</f>
        <v>45</v>
      </c>
      <c r="D563" s="13">
        <f>ROUND(IF('Task 2'!G563&lt;0,ABS('Task 2'!G563),0),0)</f>
        <v>0</v>
      </c>
      <c r="E563" s="7">
        <f>ROUND('Task 2'!D563*'Task 3'!C563,0)</f>
        <v>9</v>
      </c>
      <c r="F563" s="7">
        <f>VLOOKUP(B563,'Vendor -MOQ- Lead time'!$A$2:$C$45,3,0)</f>
        <v>270</v>
      </c>
      <c r="G563" s="7">
        <f t="shared" si="16"/>
        <v>270</v>
      </c>
      <c r="H563" s="7" t="s">
        <v>0</v>
      </c>
      <c r="I563" s="7" cm="1">
        <f t="array" ref="I563">_xlfn.IFS(H563="25-50%",230,H563="Top 25 %",260,H563="50-75%",200,H563="Last 25%",170,H563="Retire",150)</f>
        <v>170</v>
      </c>
      <c r="J563" s="15">
        <f t="shared" si="17"/>
        <v>45900</v>
      </c>
    </row>
    <row r="564" spans="1:10" x14ac:dyDescent="0.3">
      <c r="A564" s="7" t="s">
        <v>616</v>
      </c>
      <c r="B564" s="7" t="str">
        <f>_xlfn.XLOOKUP(A564,'Vendor code- SKU mapping'!$B$1:$B$806,'Vendor code- SKU mapping'!$A$1:$A$806)</f>
        <v>EGV</v>
      </c>
      <c r="C564" s="7">
        <f>VLOOKUP(B564,'Vendor -MOQ- Lead time'!$A$2:$B$45,2,0)</f>
        <v>45</v>
      </c>
      <c r="D564" s="13">
        <f>ROUND(IF('Task 2'!G564&lt;0,ABS('Task 2'!G564),0),0)</f>
        <v>0</v>
      </c>
      <c r="E564" s="7">
        <f>ROUND('Task 2'!D564*'Task 3'!C564,0)</f>
        <v>3</v>
      </c>
      <c r="F564" s="7">
        <f>VLOOKUP(B564,'Vendor -MOQ- Lead time'!$A$2:$C$45,3,0)</f>
        <v>270</v>
      </c>
      <c r="G564" s="7">
        <f t="shared" si="16"/>
        <v>270</v>
      </c>
      <c r="H564" s="7" t="s">
        <v>0</v>
      </c>
      <c r="I564" s="7" cm="1">
        <f t="array" ref="I564">_xlfn.IFS(H564="25-50%",230,H564="Top 25 %",260,H564="50-75%",200,H564="Last 25%",170,H564="Retire",150)</f>
        <v>170</v>
      </c>
      <c r="J564" s="15">
        <f t="shared" si="17"/>
        <v>45900</v>
      </c>
    </row>
    <row r="565" spans="1:10" x14ac:dyDescent="0.3">
      <c r="A565" s="7" t="s">
        <v>617</v>
      </c>
      <c r="B565" s="7" t="str">
        <f>_xlfn.XLOOKUP(A565,'Vendor code- SKU mapping'!$B$1:$B$806,'Vendor code- SKU mapping'!$A$1:$A$806)</f>
        <v>OSha</v>
      </c>
      <c r="C565" s="7">
        <f>VLOOKUP(B565,'Vendor -MOQ- Lead time'!$A$2:$B$45,2,0)</f>
        <v>45</v>
      </c>
      <c r="D565" s="13">
        <f>ROUND(IF('Task 2'!G565&lt;0,ABS('Task 2'!G565),0),0)</f>
        <v>0</v>
      </c>
      <c r="E565" s="7">
        <f>ROUND('Task 2'!D565*'Task 3'!C565,0)</f>
        <v>9</v>
      </c>
      <c r="F565" s="7">
        <f>VLOOKUP(B565,'Vendor -MOQ- Lead time'!$A$2:$C$45,3,0)</f>
        <v>270</v>
      </c>
      <c r="G565" s="7">
        <f t="shared" si="16"/>
        <v>270</v>
      </c>
      <c r="H565" s="7" t="s">
        <v>3</v>
      </c>
      <c r="I565" s="7" cm="1">
        <f t="array" ref="I565">_xlfn.IFS(H565="25-50%",230,H565="Top 25 %",260,H565="50-75%",200,H565="Last 25%",170,H565="Retire",150)</f>
        <v>150</v>
      </c>
      <c r="J565" s="15">
        <f t="shared" si="17"/>
        <v>40500</v>
      </c>
    </row>
    <row r="566" spans="1:10" x14ac:dyDescent="0.3">
      <c r="A566" s="7" t="s">
        <v>618</v>
      </c>
      <c r="B566" s="7" t="str">
        <f>_xlfn.XLOOKUP(A566,'Vendor code- SKU mapping'!$B$1:$B$806,'Vendor code- SKU mapping'!$A$1:$A$806)</f>
        <v>EGRS</v>
      </c>
      <c r="C566" s="7">
        <f>VLOOKUP(B566,'Vendor -MOQ- Lead time'!$A$2:$B$45,2,0)</f>
        <v>45</v>
      </c>
      <c r="D566" s="13">
        <f>ROUND(IF('Task 2'!G566&lt;0,ABS('Task 2'!G566),0),0)</f>
        <v>15</v>
      </c>
      <c r="E566" s="7">
        <f>ROUND('Task 2'!D566*'Task 3'!C566,0)</f>
        <v>30</v>
      </c>
      <c r="F566" s="7">
        <f>VLOOKUP(B566,'Vendor -MOQ- Lead time'!$A$2:$C$45,3,0)</f>
        <v>270</v>
      </c>
      <c r="G566" s="7">
        <f t="shared" si="16"/>
        <v>270</v>
      </c>
      <c r="H566" s="7" t="s">
        <v>2</v>
      </c>
      <c r="I566" s="7" cm="1">
        <f t="array" ref="I566">_xlfn.IFS(H566="25-50%",230,H566="Top 25 %",260,H566="50-75%",200,H566="Last 25%",170,H566="Retire",150)</f>
        <v>230</v>
      </c>
      <c r="J566" s="15">
        <f t="shared" si="17"/>
        <v>62100</v>
      </c>
    </row>
    <row r="567" spans="1:10" x14ac:dyDescent="0.3">
      <c r="A567" s="7" t="s">
        <v>619</v>
      </c>
      <c r="B567" s="7" t="str">
        <f>_xlfn.XLOOKUP(A567,'Vendor code- SKU mapping'!$B$1:$B$806,'Vendor code- SKU mapping'!$A$1:$A$806)</f>
        <v>ISte</v>
      </c>
      <c r="C567" s="7">
        <f>VLOOKUP(B567,'Vendor -MOQ- Lead time'!$A$2:$B$45,2,0)</f>
        <v>45</v>
      </c>
      <c r="D567" s="13">
        <f>ROUND(IF('Task 2'!G567&lt;0,ABS('Task 2'!G567),0),0)</f>
        <v>0</v>
      </c>
      <c r="E567" s="7">
        <f>ROUND('Task 2'!D567*'Task 3'!C567,0)</f>
        <v>21</v>
      </c>
      <c r="F567" s="7">
        <f>VLOOKUP(B567,'Vendor -MOQ- Lead time'!$A$2:$C$45,3,0)</f>
        <v>270</v>
      </c>
      <c r="G567" s="7">
        <f t="shared" si="16"/>
        <v>270</v>
      </c>
      <c r="H567" s="7" t="s">
        <v>1</v>
      </c>
      <c r="I567" s="7" cm="1">
        <f t="array" ref="I567">_xlfn.IFS(H567="25-50%",230,H567="Top 25 %",260,H567="50-75%",200,H567="Last 25%",170,H567="Retire",150)</f>
        <v>200</v>
      </c>
      <c r="J567" s="15">
        <f t="shared" si="17"/>
        <v>54000</v>
      </c>
    </row>
    <row r="568" spans="1:10" x14ac:dyDescent="0.3">
      <c r="A568" s="7" t="s">
        <v>620</v>
      </c>
      <c r="B568" s="7" t="str">
        <f>_xlfn.XLOOKUP(A568,'Vendor code- SKU mapping'!$B$1:$B$806,'Vendor code- SKU mapping'!$A$1:$A$806)</f>
        <v>ISte</v>
      </c>
      <c r="C568" s="7">
        <f>VLOOKUP(B568,'Vendor -MOQ- Lead time'!$A$2:$B$45,2,0)</f>
        <v>45</v>
      </c>
      <c r="D568" s="13">
        <f>ROUND(IF('Task 2'!G568&lt;0,ABS('Task 2'!G568),0),0)</f>
        <v>0</v>
      </c>
      <c r="E568" s="7">
        <f>ROUND('Task 2'!D568*'Task 3'!C568,0)</f>
        <v>3</v>
      </c>
      <c r="F568" s="7">
        <f>VLOOKUP(B568,'Vendor -MOQ- Lead time'!$A$2:$C$45,3,0)</f>
        <v>270</v>
      </c>
      <c r="G568" s="7">
        <f t="shared" si="16"/>
        <v>270</v>
      </c>
      <c r="H568" s="7" t="s">
        <v>1</v>
      </c>
      <c r="I568" s="7" cm="1">
        <f t="array" ref="I568">_xlfn.IFS(H568="25-50%",230,H568="Top 25 %",260,H568="50-75%",200,H568="Last 25%",170,H568="Retire",150)</f>
        <v>200</v>
      </c>
      <c r="J568" s="15">
        <f t="shared" si="17"/>
        <v>54000</v>
      </c>
    </row>
    <row r="569" spans="1:10" x14ac:dyDescent="0.3">
      <c r="A569" s="7" t="s">
        <v>621</v>
      </c>
      <c r="B569" s="7" t="str">
        <f>_xlfn.XLOOKUP(A569,'Vendor code- SKU mapping'!$B$1:$B$806,'Vendor code- SKU mapping'!$A$1:$A$806)</f>
        <v>ISte</v>
      </c>
      <c r="C569" s="7">
        <f>VLOOKUP(B569,'Vendor -MOQ- Lead time'!$A$2:$B$45,2,0)</f>
        <v>45</v>
      </c>
      <c r="D569" s="13">
        <f>ROUND(IF('Task 2'!G569&lt;0,ABS('Task 2'!G569),0),0)</f>
        <v>0</v>
      </c>
      <c r="E569" s="7">
        <f>ROUND('Task 2'!D569*'Task 3'!C569,0)</f>
        <v>8</v>
      </c>
      <c r="F569" s="7">
        <f>VLOOKUP(B569,'Vendor -MOQ- Lead time'!$A$2:$C$45,3,0)</f>
        <v>270</v>
      </c>
      <c r="G569" s="7">
        <f t="shared" si="16"/>
        <v>270</v>
      </c>
      <c r="H569" s="7" t="s">
        <v>1</v>
      </c>
      <c r="I569" s="7" cm="1">
        <f t="array" ref="I569">_xlfn.IFS(H569="25-50%",230,H569="Top 25 %",260,H569="50-75%",200,H569="Last 25%",170,H569="Retire",150)</f>
        <v>200</v>
      </c>
      <c r="J569" s="15">
        <f t="shared" si="17"/>
        <v>54000</v>
      </c>
    </row>
    <row r="570" spans="1:10" x14ac:dyDescent="0.3">
      <c r="A570" s="7" t="s">
        <v>622</v>
      </c>
      <c r="B570" s="7" t="str">
        <f>_xlfn.XLOOKUP(A570,'Vendor code- SKU mapping'!$B$1:$B$806,'Vendor code- SKU mapping'!$A$1:$A$806)</f>
        <v>OSha</v>
      </c>
      <c r="C570" s="7">
        <f>VLOOKUP(B570,'Vendor -MOQ- Lead time'!$A$2:$B$45,2,0)</f>
        <v>45</v>
      </c>
      <c r="D570" s="13">
        <f>ROUND(IF('Task 2'!G570&lt;0,ABS('Task 2'!G570),0),0)</f>
        <v>5</v>
      </c>
      <c r="E570" s="7">
        <f>ROUND('Task 2'!D570*'Task 3'!C570,0)</f>
        <v>62</v>
      </c>
      <c r="F570" s="7">
        <f>VLOOKUP(B570,'Vendor -MOQ- Lead time'!$A$2:$C$45,3,0)</f>
        <v>270</v>
      </c>
      <c r="G570" s="7">
        <f t="shared" si="16"/>
        <v>270</v>
      </c>
      <c r="H570" s="7" t="s">
        <v>0</v>
      </c>
      <c r="I570" s="7" cm="1">
        <f t="array" ref="I570">_xlfn.IFS(H570="25-50%",230,H570="Top 25 %",260,H570="50-75%",200,H570="Last 25%",170,H570="Retire",150)</f>
        <v>170</v>
      </c>
      <c r="J570" s="15">
        <f t="shared" si="17"/>
        <v>45900</v>
      </c>
    </row>
    <row r="571" spans="1:10" x14ac:dyDescent="0.3">
      <c r="A571" s="7" t="s">
        <v>623</v>
      </c>
      <c r="B571" s="7" t="str">
        <f>_xlfn.XLOOKUP(A571,'Vendor code- SKU mapping'!$B$1:$B$806,'Vendor code- SKU mapping'!$A$1:$A$806)</f>
        <v>IStu</v>
      </c>
      <c r="C571" s="7">
        <f>VLOOKUP(B571,'Vendor -MOQ- Lead time'!$A$2:$B$45,2,0)</f>
        <v>30</v>
      </c>
      <c r="D571" s="13">
        <f>ROUND(IF('Task 2'!G571&lt;0,ABS('Task 2'!G571),0),0)</f>
        <v>0</v>
      </c>
      <c r="E571" s="7">
        <f>ROUND('Task 2'!D571*'Task 3'!C571,0)</f>
        <v>27</v>
      </c>
      <c r="F571" s="7">
        <f>VLOOKUP(B571,'Vendor -MOQ- Lead time'!$A$2:$C$45,3,0)</f>
        <v>180</v>
      </c>
      <c r="G571" s="7">
        <f t="shared" si="16"/>
        <v>180</v>
      </c>
      <c r="H571" s="7" t="s">
        <v>0</v>
      </c>
      <c r="I571" s="7" cm="1">
        <f t="array" ref="I571">_xlfn.IFS(H571="25-50%",230,H571="Top 25 %",260,H571="50-75%",200,H571="Last 25%",170,H571="Retire",150)</f>
        <v>170</v>
      </c>
      <c r="J571" s="15">
        <f t="shared" si="17"/>
        <v>30600</v>
      </c>
    </row>
    <row r="572" spans="1:10" x14ac:dyDescent="0.3">
      <c r="A572" s="7" t="s">
        <v>624</v>
      </c>
      <c r="B572" s="7" t="str">
        <f>_xlfn.XLOOKUP(A572,'Vendor code- SKU mapping'!$B$1:$B$806,'Vendor code- SKU mapping'!$A$1:$A$806)</f>
        <v>AAma</v>
      </c>
      <c r="C572" s="7">
        <f>VLOOKUP(B572,'Vendor -MOQ- Lead time'!$A$2:$B$45,2,0)</f>
        <v>45</v>
      </c>
      <c r="D572" s="13">
        <f>ROUND(IF('Task 2'!G572&lt;0,ABS('Task 2'!G572),0),0)</f>
        <v>0</v>
      </c>
      <c r="E572" s="7">
        <f>ROUND('Task 2'!D572*'Task 3'!C572,0)</f>
        <v>17</v>
      </c>
      <c r="F572" s="7">
        <f>VLOOKUP(B572,'Vendor -MOQ- Lead time'!$A$2:$C$45,3,0)</f>
        <v>270</v>
      </c>
      <c r="G572" s="7">
        <f t="shared" si="16"/>
        <v>270</v>
      </c>
      <c r="H572" s="7" t="s">
        <v>0</v>
      </c>
      <c r="I572" s="7" cm="1">
        <f t="array" ref="I572">_xlfn.IFS(H572="25-50%",230,H572="Top 25 %",260,H572="50-75%",200,H572="Last 25%",170,H572="Retire",150)</f>
        <v>170</v>
      </c>
      <c r="J572" s="15">
        <f t="shared" si="17"/>
        <v>45900</v>
      </c>
    </row>
    <row r="573" spans="1:10" x14ac:dyDescent="0.3">
      <c r="A573" s="7" t="s">
        <v>625</v>
      </c>
      <c r="B573" s="7" t="str">
        <f>_xlfn.XLOOKUP(A573,'Vendor code- SKU mapping'!$B$1:$B$806,'Vendor code- SKU mapping'!$A$1:$A$806)</f>
        <v>OMah</v>
      </c>
      <c r="C573" s="7">
        <f>VLOOKUP(B573,'Vendor -MOQ- Lead time'!$A$2:$B$45,2,0)</f>
        <v>45</v>
      </c>
      <c r="D573" s="13">
        <f>ROUND(IF('Task 2'!G573&lt;0,ABS('Task 2'!G573),0),0)</f>
        <v>0</v>
      </c>
      <c r="E573" s="7">
        <f>ROUND('Task 2'!D573*'Task 3'!C573,0)</f>
        <v>17</v>
      </c>
      <c r="F573" s="7">
        <f>VLOOKUP(B573,'Vendor -MOQ- Lead time'!$A$2:$C$45,3,0)</f>
        <v>270</v>
      </c>
      <c r="G573" s="7">
        <f t="shared" si="16"/>
        <v>270</v>
      </c>
      <c r="H573" s="7" t="s">
        <v>0</v>
      </c>
      <c r="I573" s="7" cm="1">
        <f t="array" ref="I573">_xlfn.IFS(H573="25-50%",230,H573="Top 25 %",260,H573="50-75%",200,H573="Last 25%",170,H573="Retire",150)</f>
        <v>170</v>
      </c>
      <c r="J573" s="15">
        <f t="shared" si="17"/>
        <v>45900</v>
      </c>
    </row>
    <row r="574" spans="1:10" x14ac:dyDescent="0.3">
      <c r="A574" s="7" t="s">
        <v>626</v>
      </c>
      <c r="B574" s="7" t="str">
        <f>_xlfn.XLOOKUP(A574,'Vendor code- SKU mapping'!$B$1:$B$806,'Vendor code- SKU mapping'!$A$1:$A$806)</f>
        <v>EDaz</v>
      </c>
      <c r="C574" s="7">
        <f>VLOOKUP(B574,'Vendor -MOQ- Lead time'!$A$2:$B$45,2,0)</f>
        <v>30</v>
      </c>
      <c r="D574" s="13">
        <f>ROUND(IF('Task 2'!G574&lt;0,ABS('Task 2'!G574),0),0)</f>
        <v>0</v>
      </c>
      <c r="E574" s="7">
        <f>ROUND('Task 2'!D574*'Task 3'!C574,0)</f>
        <v>10</v>
      </c>
      <c r="F574" s="7">
        <f>VLOOKUP(B574,'Vendor -MOQ- Lead time'!$A$2:$C$45,3,0)</f>
        <v>180</v>
      </c>
      <c r="G574" s="7">
        <f t="shared" si="16"/>
        <v>180</v>
      </c>
      <c r="H574" s="7" t="s">
        <v>0</v>
      </c>
      <c r="I574" s="7" cm="1">
        <f t="array" ref="I574">_xlfn.IFS(H574="25-50%",230,H574="Top 25 %",260,H574="50-75%",200,H574="Last 25%",170,H574="Retire",150)</f>
        <v>170</v>
      </c>
      <c r="J574" s="15">
        <f t="shared" si="17"/>
        <v>30600</v>
      </c>
    </row>
    <row r="575" spans="1:10" x14ac:dyDescent="0.3">
      <c r="A575" s="7" t="s">
        <v>627</v>
      </c>
      <c r="B575" s="7" t="str">
        <f>_xlfn.XLOOKUP(A575,'Vendor code- SKU mapping'!$B$1:$B$806,'Vendor code- SKU mapping'!$A$1:$A$806)</f>
        <v>AAFC</v>
      </c>
      <c r="C575" s="7">
        <f>VLOOKUP(B575,'Vendor -MOQ- Lead time'!$A$2:$B$45,2,0)</f>
        <v>45</v>
      </c>
      <c r="D575" s="13">
        <f>ROUND(IF('Task 2'!G575&lt;0,ABS('Task 2'!G575),0),0)</f>
        <v>0</v>
      </c>
      <c r="E575" s="7">
        <f>ROUND('Task 2'!D575*'Task 3'!C575,0)</f>
        <v>56</v>
      </c>
      <c r="F575" s="7">
        <f>VLOOKUP(B575,'Vendor -MOQ- Lead time'!$A$2:$C$45,3,0)</f>
        <v>270</v>
      </c>
      <c r="G575" s="7">
        <f t="shared" si="16"/>
        <v>270</v>
      </c>
      <c r="H575" s="7" t="s">
        <v>0</v>
      </c>
      <c r="I575" s="7" cm="1">
        <f t="array" ref="I575">_xlfn.IFS(H575="25-50%",230,H575="Top 25 %",260,H575="50-75%",200,H575="Last 25%",170,H575="Retire",150)</f>
        <v>170</v>
      </c>
      <c r="J575" s="15">
        <f t="shared" si="17"/>
        <v>45900</v>
      </c>
    </row>
    <row r="576" spans="1:10" x14ac:dyDescent="0.3">
      <c r="A576" s="7" t="s">
        <v>628</v>
      </c>
      <c r="B576" s="7" t="str">
        <f>_xlfn.XLOOKUP(A576,'Vendor code- SKU mapping'!$B$1:$B$806,'Vendor code- SKU mapping'!$A$1:$A$806)</f>
        <v>ISte</v>
      </c>
      <c r="C576" s="7">
        <f>VLOOKUP(B576,'Vendor -MOQ- Lead time'!$A$2:$B$45,2,0)</f>
        <v>45</v>
      </c>
      <c r="D576" s="13">
        <f>ROUND(IF('Task 2'!G576&lt;0,ABS('Task 2'!G576),0),0)</f>
        <v>0</v>
      </c>
      <c r="E576" s="7">
        <f>ROUND('Task 2'!D576*'Task 3'!C576,0)</f>
        <v>12</v>
      </c>
      <c r="F576" s="7">
        <f>VLOOKUP(B576,'Vendor -MOQ- Lead time'!$A$2:$C$45,3,0)</f>
        <v>270</v>
      </c>
      <c r="G576" s="7">
        <f t="shared" si="16"/>
        <v>270</v>
      </c>
      <c r="H576" s="7" t="s">
        <v>0</v>
      </c>
      <c r="I576" s="7" cm="1">
        <f t="array" ref="I576">_xlfn.IFS(H576="25-50%",230,H576="Top 25 %",260,H576="50-75%",200,H576="Last 25%",170,H576="Retire",150)</f>
        <v>170</v>
      </c>
      <c r="J576" s="15">
        <f t="shared" si="17"/>
        <v>45900</v>
      </c>
    </row>
    <row r="577" spans="1:10" x14ac:dyDescent="0.3">
      <c r="A577" s="7" t="s">
        <v>629</v>
      </c>
      <c r="B577" s="7" t="str">
        <f>_xlfn.XLOOKUP(A577,'Vendor code- SKU mapping'!$B$1:$B$806,'Vendor code- SKU mapping'!$A$1:$A$806)</f>
        <v>OKri</v>
      </c>
      <c r="C577" s="7">
        <f>VLOOKUP(B577,'Vendor -MOQ- Lead time'!$A$2:$B$45,2,0)</f>
        <v>45</v>
      </c>
      <c r="D577" s="13">
        <f>ROUND(IF('Task 2'!G577&lt;0,ABS('Task 2'!G577),0),0)</f>
        <v>0</v>
      </c>
      <c r="E577" s="7">
        <f>ROUND('Task 2'!D577*'Task 3'!C577,0)</f>
        <v>17</v>
      </c>
      <c r="F577" s="7">
        <f>VLOOKUP(B577,'Vendor -MOQ- Lead time'!$A$2:$C$45,3,0)</f>
        <v>270</v>
      </c>
      <c r="G577" s="7">
        <f t="shared" si="16"/>
        <v>270</v>
      </c>
      <c r="H577" s="7" t="s">
        <v>0</v>
      </c>
      <c r="I577" s="7" cm="1">
        <f t="array" ref="I577">_xlfn.IFS(H577="25-50%",230,H577="Top 25 %",260,H577="50-75%",200,H577="Last 25%",170,H577="Retire",150)</f>
        <v>170</v>
      </c>
      <c r="J577" s="15">
        <f t="shared" si="17"/>
        <v>45900</v>
      </c>
    </row>
    <row r="578" spans="1:10" x14ac:dyDescent="0.3">
      <c r="A578" s="7" t="s">
        <v>630</v>
      </c>
      <c r="B578" s="7" t="str">
        <f>_xlfn.XLOOKUP(A578,'Vendor code- SKU mapping'!$B$1:$B$806,'Vendor code- SKU mapping'!$A$1:$A$806)</f>
        <v>ORed</v>
      </c>
      <c r="C578" s="7">
        <f>VLOOKUP(B578,'Vendor -MOQ- Lead time'!$A$2:$B$45,2,0)</f>
        <v>30</v>
      </c>
      <c r="D578" s="13">
        <f>ROUND(IF('Task 2'!G578&lt;0,ABS('Task 2'!G578),0),0)</f>
        <v>0</v>
      </c>
      <c r="E578" s="7">
        <f>ROUND('Task 2'!D578*'Task 3'!C578,0)</f>
        <v>7</v>
      </c>
      <c r="F578" s="7">
        <f>VLOOKUP(B578,'Vendor -MOQ- Lead time'!$A$2:$C$45,3,0)</f>
        <v>180</v>
      </c>
      <c r="G578" s="7">
        <f t="shared" si="16"/>
        <v>180</v>
      </c>
      <c r="H578" s="7" t="s">
        <v>0</v>
      </c>
      <c r="I578" s="7" cm="1">
        <f t="array" ref="I578">_xlfn.IFS(H578="25-50%",230,H578="Top 25 %",260,H578="50-75%",200,H578="Last 25%",170,H578="Retire",150)</f>
        <v>170</v>
      </c>
      <c r="J578" s="15">
        <f t="shared" si="17"/>
        <v>30600</v>
      </c>
    </row>
    <row r="579" spans="1:10" x14ac:dyDescent="0.3">
      <c r="A579" s="7" t="s">
        <v>631</v>
      </c>
      <c r="B579" s="7" t="str">
        <f>_xlfn.XLOOKUP(A579,'Vendor code- SKU mapping'!$B$1:$B$806,'Vendor code- SKU mapping'!$A$1:$A$806)</f>
        <v>IVS</v>
      </c>
      <c r="C579" s="7">
        <f>VLOOKUP(B579,'Vendor -MOQ- Lead time'!$A$2:$B$45,2,0)</f>
        <v>30</v>
      </c>
      <c r="D579" s="13">
        <f>ROUND(IF('Task 2'!G579&lt;0,ABS('Task 2'!G579),0),0)</f>
        <v>0</v>
      </c>
      <c r="E579" s="7">
        <f>ROUND('Task 2'!D579*'Task 3'!C579,0)</f>
        <v>8</v>
      </c>
      <c r="F579" s="7">
        <f>VLOOKUP(B579,'Vendor -MOQ- Lead time'!$A$2:$C$45,3,0)</f>
        <v>180</v>
      </c>
      <c r="G579" s="7">
        <f t="shared" ref="G579:G642" si="18">CEILING(D579+E579,F579)</f>
        <v>180</v>
      </c>
      <c r="H579" s="7" t="s">
        <v>0</v>
      </c>
      <c r="I579" s="7" cm="1">
        <f t="array" ref="I579">_xlfn.IFS(H579="25-50%",230,H579="Top 25 %",260,H579="50-75%",200,H579="Last 25%",170,H579="Retire",150)</f>
        <v>170</v>
      </c>
      <c r="J579" s="15">
        <f t="shared" ref="J579:J642" si="19">G579*I579</f>
        <v>30600</v>
      </c>
    </row>
    <row r="580" spans="1:10" x14ac:dyDescent="0.3">
      <c r="A580" s="7" t="s">
        <v>632</v>
      </c>
      <c r="B580" s="7" t="str">
        <f>_xlfn.XLOOKUP(A580,'Vendor code- SKU mapping'!$B$1:$B$806,'Vendor code- SKU mapping'!$A$1:$A$806)</f>
        <v>ISte</v>
      </c>
      <c r="C580" s="7">
        <f>VLOOKUP(B580,'Vendor -MOQ- Lead time'!$A$2:$B$45,2,0)</f>
        <v>45</v>
      </c>
      <c r="D580" s="13">
        <f>ROUND(IF('Task 2'!G580&lt;0,ABS('Task 2'!G580),0),0)</f>
        <v>0</v>
      </c>
      <c r="E580" s="7">
        <f>ROUND('Task 2'!D580*'Task 3'!C580,0)</f>
        <v>6</v>
      </c>
      <c r="F580" s="7">
        <f>VLOOKUP(B580,'Vendor -MOQ- Lead time'!$A$2:$C$45,3,0)</f>
        <v>270</v>
      </c>
      <c r="G580" s="7">
        <f t="shared" si="18"/>
        <v>270</v>
      </c>
      <c r="H580" s="7" t="s">
        <v>0</v>
      </c>
      <c r="I580" s="7" cm="1">
        <f t="array" ref="I580">_xlfn.IFS(H580="25-50%",230,H580="Top 25 %",260,H580="50-75%",200,H580="Last 25%",170,H580="Retire",150)</f>
        <v>170</v>
      </c>
      <c r="J580" s="15">
        <f t="shared" si="19"/>
        <v>45900</v>
      </c>
    </row>
    <row r="581" spans="1:10" x14ac:dyDescent="0.3">
      <c r="A581" s="7" t="s">
        <v>633</v>
      </c>
      <c r="B581" s="7" t="str">
        <f>_xlfn.XLOOKUP(A581,'Vendor code- SKU mapping'!$B$1:$B$806,'Vendor code- SKU mapping'!$A$1:$A$806)</f>
        <v>IStu</v>
      </c>
      <c r="C581" s="7">
        <f>VLOOKUP(B581,'Vendor -MOQ- Lead time'!$A$2:$B$45,2,0)</f>
        <v>30</v>
      </c>
      <c r="D581" s="13">
        <f>ROUND(IF('Task 2'!G581&lt;0,ABS('Task 2'!G581),0),0)</f>
        <v>0</v>
      </c>
      <c r="E581" s="7">
        <f>ROUND('Task 2'!D581*'Task 3'!C581,0)</f>
        <v>3</v>
      </c>
      <c r="F581" s="7">
        <f>VLOOKUP(B581,'Vendor -MOQ- Lead time'!$A$2:$C$45,3,0)</f>
        <v>180</v>
      </c>
      <c r="G581" s="7">
        <f t="shared" si="18"/>
        <v>180</v>
      </c>
      <c r="H581" s="7" t="s">
        <v>0</v>
      </c>
      <c r="I581" s="7" cm="1">
        <f t="array" ref="I581">_xlfn.IFS(H581="25-50%",230,H581="Top 25 %",260,H581="50-75%",200,H581="Last 25%",170,H581="Retire",150)</f>
        <v>170</v>
      </c>
      <c r="J581" s="15">
        <f t="shared" si="19"/>
        <v>30600</v>
      </c>
    </row>
    <row r="582" spans="1:10" x14ac:dyDescent="0.3">
      <c r="A582" s="7" t="s">
        <v>634</v>
      </c>
      <c r="B582" s="7" t="str">
        <f>_xlfn.XLOOKUP(A582,'Vendor code- SKU mapping'!$B$1:$B$806,'Vendor code- SKU mapping'!$A$1:$A$806)</f>
        <v>ORav</v>
      </c>
      <c r="C582" s="7">
        <f>VLOOKUP(B582,'Vendor -MOQ- Lead time'!$A$2:$B$45,2,0)</f>
        <v>30</v>
      </c>
      <c r="D582" s="13">
        <f>ROUND(IF('Task 2'!G582&lt;0,ABS('Task 2'!G582),0),0)</f>
        <v>0</v>
      </c>
      <c r="E582" s="7">
        <f>ROUND('Task 2'!D582*'Task 3'!C582,0)</f>
        <v>3</v>
      </c>
      <c r="F582" s="7">
        <f>VLOOKUP(B582,'Vendor -MOQ- Lead time'!$A$2:$C$45,3,0)</f>
        <v>180</v>
      </c>
      <c r="G582" s="7">
        <f t="shared" si="18"/>
        <v>180</v>
      </c>
      <c r="H582" s="7" t="s">
        <v>0</v>
      </c>
      <c r="I582" s="7" cm="1">
        <f t="array" ref="I582">_xlfn.IFS(H582="25-50%",230,H582="Top 25 %",260,H582="50-75%",200,H582="Last 25%",170,H582="Retire",150)</f>
        <v>170</v>
      </c>
      <c r="J582" s="15">
        <f t="shared" si="19"/>
        <v>30600</v>
      </c>
    </row>
    <row r="583" spans="1:10" x14ac:dyDescent="0.3">
      <c r="A583" s="7" t="s">
        <v>635</v>
      </c>
      <c r="B583" s="7" t="str">
        <f>_xlfn.XLOOKUP(A583,'Vendor code- SKU mapping'!$B$1:$B$806,'Vendor code- SKU mapping'!$A$1:$A$806)</f>
        <v>ISte</v>
      </c>
      <c r="C583" s="7">
        <f>VLOOKUP(B583,'Vendor -MOQ- Lead time'!$A$2:$B$45,2,0)</f>
        <v>45</v>
      </c>
      <c r="D583" s="13">
        <f>ROUND(IF('Task 2'!G583&lt;0,ABS('Task 2'!G583),0),0)</f>
        <v>0</v>
      </c>
      <c r="E583" s="7">
        <f>ROUND('Task 2'!D583*'Task 3'!C583,0)</f>
        <v>3</v>
      </c>
      <c r="F583" s="7">
        <f>VLOOKUP(B583,'Vendor -MOQ- Lead time'!$A$2:$C$45,3,0)</f>
        <v>270</v>
      </c>
      <c r="G583" s="7">
        <f t="shared" si="18"/>
        <v>270</v>
      </c>
      <c r="H583" s="7" t="s">
        <v>0</v>
      </c>
      <c r="I583" s="7" cm="1">
        <f t="array" ref="I583">_xlfn.IFS(H583="25-50%",230,H583="Top 25 %",260,H583="50-75%",200,H583="Last 25%",170,H583="Retire",150)</f>
        <v>170</v>
      </c>
      <c r="J583" s="15">
        <f t="shared" si="19"/>
        <v>45900</v>
      </c>
    </row>
    <row r="584" spans="1:10" x14ac:dyDescent="0.3">
      <c r="A584" s="7" t="s">
        <v>636</v>
      </c>
      <c r="B584" s="7" t="str">
        <f>_xlfn.XLOOKUP(A584,'Vendor code- SKU mapping'!$B$1:$B$806,'Vendor code- SKU mapping'!$A$1:$A$806)</f>
        <v>ISte</v>
      </c>
      <c r="C584" s="7">
        <f>VLOOKUP(B584,'Vendor -MOQ- Lead time'!$A$2:$B$45,2,0)</f>
        <v>45</v>
      </c>
      <c r="D584" s="13">
        <f>ROUND(IF('Task 2'!G584&lt;0,ABS('Task 2'!G584),0),0)</f>
        <v>0</v>
      </c>
      <c r="E584" s="7">
        <f>ROUND('Task 2'!D584*'Task 3'!C584,0)</f>
        <v>3</v>
      </c>
      <c r="F584" s="7">
        <f>VLOOKUP(B584,'Vendor -MOQ- Lead time'!$A$2:$C$45,3,0)</f>
        <v>270</v>
      </c>
      <c r="G584" s="7">
        <f t="shared" si="18"/>
        <v>270</v>
      </c>
      <c r="H584" s="7" t="s">
        <v>0</v>
      </c>
      <c r="I584" s="7" cm="1">
        <f t="array" ref="I584">_xlfn.IFS(H584="25-50%",230,H584="Top 25 %",260,H584="50-75%",200,H584="Last 25%",170,H584="Retire",150)</f>
        <v>170</v>
      </c>
      <c r="J584" s="15">
        <f t="shared" si="19"/>
        <v>45900</v>
      </c>
    </row>
    <row r="585" spans="1:10" x14ac:dyDescent="0.3">
      <c r="A585" s="7" t="s">
        <v>637</v>
      </c>
      <c r="B585" s="7" t="str">
        <f>_xlfn.XLOOKUP(A585,'Vendor code- SKU mapping'!$B$1:$B$806,'Vendor code- SKU mapping'!$A$1:$A$806)</f>
        <v>OSha</v>
      </c>
      <c r="C585" s="7">
        <f>VLOOKUP(B585,'Vendor -MOQ- Lead time'!$A$2:$B$45,2,0)</f>
        <v>45</v>
      </c>
      <c r="D585" s="13">
        <f>ROUND(IF('Task 2'!G585&lt;0,ABS('Task 2'!G585),0),0)</f>
        <v>0</v>
      </c>
      <c r="E585" s="7">
        <f>ROUND('Task 2'!D585*'Task 3'!C585,0)</f>
        <v>20</v>
      </c>
      <c r="F585" s="7">
        <f>VLOOKUP(B585,'Vendor -MOQ- Lead time'!$A$2:$C$45,3,0)</f>
        <v>270</v>
      </c>
      <c r="G585" s="7">
        <f t="shared" si="18"/>
        <v>270</v>
      </c>
      <c r="H585" s="7" t="s">
        <v>0</v>
      </c>
      <c r="I585" s="7" cm="1">
        <f t="array" ref="I585">_xlfn.IFS(H585="25-50%",230,H585="Top 25 %",260,H585="50-75%",200,H585="Last 25%",170,H585="Retire",150)</f>
        <v>170</v>
      </c>
      <c r="J585" s="15">
        <f t="shared" si="19"/>
        <v>45900</v>
      </c>
    </row>
    <row r="586" spans="1:10" x14ac:dyDescent="0.3">
      <c r="A586" s="7" t="s">
        <v>638</v>
      </c>
      <c r="B586" s="7" t="str">
        <f>_xlfn.XLOOKUP(A586,'Vendor code- SKU mapping'!$B$1:$B$806,'Vendor code- SKU mapping'!$A$1:$A$806)</f>
        <v>EBes</v>
      </c>
      <c r="C586" s="7">
        <f>VLOOKUP(B586,'Vendor -MOQ- Lead time'!$A$2:$B$45,2,0)</f>
        <v>45</v>
      </c>
      <c r="D586" s="13">
        <f>ROUND(IF('Task 2'!G586&lt;0,ABS('Task 2'!G586),0),0)</f>
        <v>0</v>
      </c>
      <c r="E586" s="7">
        <f>ROUND('Task 2'!D586*'Task 3'!C586,0)</f>
        <v>14</v>
      </c>
      <c r="F586" s="7">
        <f>VLOOKUP(B586,'Vendor -MOQ- Lead time'!$A$2:$C$45,3,0)</f>
        <v>270</v>
      </c>
      <c r="G586" s="7">
        <f t="shared" si="18"/>
        <v>270</v>
      </c>
      <c r="H586" s="7" t="s">
        <v>0</v>
      </c>
      <c r="I586" s="7" cm="1">
        <f t="array" ref="I586">_xlfn.IFS(H586="25-50%",230,H586="Top 25 %",260,H586="50-75%",200,H586="Last 25%",170,H586="Retire",150)</f>
        <v>170</v>
      </c>
      <c r="J586" s="15">
        <f t="shared" si="19"/>
        <v>45900</v>
      </c>
    </row>
    <row r="587" spans="1:10" x14ac:dyDescent="0.3">
      <c r="A587" s="7" t="s">
        <v>639</v>
      </c>
      <c r="B587" s="7" t="str">
        <f>_xlfn.XLOOKUP(A587,'Vendor code- SKU mapping'!$B$1:$B$806,'Vendor code- SKU mapping'!$A$1:$A$806)</f>
        <v>OMug</v>
      </c>
      <c r="C587" s="7">
        <f>VLOOKUP(B587,'Vendor -MOQ- Lead time'!$A$2:$B$45,2,0)</f>
        <v>45</v>
      </c>
      <c r="D587" s="13">
        <f>ROUND(IF('Task 2'!G587&lt;0,ABS('Task 2'!G587),0),0)</f>
        <v>0</v>
      </c>
      <c r="E587" s="7">
        <f>ROUND('Task 2'!D587*'Task 3'!C587,0)</f>
        <v>3</v>
      </c>
      <c r="F587" s="7">
        <f>VLOOKUP(B587,'Vendor -MOQ- Lead time'!$A$2:$C$45,3,0)</f>
        <v>270</v>
      </c>
      <c r="G587" s="7">
        <f t="shared" si="18"/>
        <v>270</v>
      </c>
      <c r="H587" s="7" t="s">
        <v>0</v>
      </c>
      <c r="I587" s="7" cm="1">
        <f t="array" ref="I587">_xlfn.IFS(H587="25-50%",230,H587="Top 25 %",260,H587="50-75%",200,H587="Last 25%",170,H587="Retire",150)</f>
        <v>170</v>
      </c>
      <c r="J587" s="15">
        <f t="shared" si="19"/>
        <v>45900</v>
      </c>
    </row>
    <row r="588" spans="1:10" x14ac:dyDescent="0.3">
      <c r="A588" s="7" t="s">
        <v>640</v>
      </c>
      <c r="B588" s="7" t="str">
        <f>_xlfn.XLOOKUP(A588,'Vendor code- SKU mapping'!$B$1:$B$806,'Vendor code- SKU mapping'!$A$1:$A$806)</f>
        <v>ISte</v>
      </c>
      <c r="C588" s="7">
        <f>VLOOKUP(B588,'Vendor -MOQ- Lead time'!$A$2:$B$45,2,0)</f>
        <v>45</v>
      </c>
      <c r="D588" s="13">
        <f>ROUND(IF('Task 2'!G588&lt;0,ABS('Task 2'!G588),0),0)</f>
        <v>0</v>
      </c>
      <c r="E588" s="7">
        <f>ROUND('Task 2'!D588*'Task 3'!C588,0)</f>
        <v>6</v>
      </c>
      <c r="F588" s="7">
        <f>VLOOKUP(B588,'Vendor -MOQ- Lead time'!$A$2:$C$45,3,0)</f>
        <v>270</v>
      </c>
      <c r="G588" s="7">
        <f t="shared" si="18"/>
        <v>270</v>
      </c>
      <c r="H588" s="7" t="s">
        <v>0</v>
      </c>
      <c r="I588" s="7" cm="1">
        <f t="array" ref="I588">_xlfn.IFS(H588="25-50%",230,H588="Top 25 %",260,H588="50-75%",200,H588="Last 25%",170,H588="Retire",150)</f>
        <v>170</v>
      </c>
      <c r="J588" s="15">
        <f t="shared" si="19"/>
        <v>45900</v>
      </c>
    </row>
    <row r="589" spans="1:10" x14ac:dyDescent="0.3">
      <c r="A589" s="7" t="s">
        <v>641</v>
      </c>
      <c r="B589" s="7" t="str">
        <f>_xlfn.XLOOKUP(A589,'Vendor code- SKU mapping'!$B$1:$B$806,'Vendor code- SKU mapping'!$A$1:$A$806)</f>
        <v>ISte</v>
      </c>
      <c r="C589" s="7">
        <f>VLOOKUP(B589,'Vendor -MOQ- Lead time'!$A$2:$B$45,2,0)</f>
        <v>45</v>
      </c>
      <c r="D589" s="13">
        <f>ROUND(IF('Task 2'!G589&lt;0,ABS('Task 2'!G589),0),0)</f>
        <v>0</v>
      </c>
      <c r="E589" s="7">
        <f>ROUND('Task 2'!D589*'Task 3'!C589,0)</f>
        <v>2</v>
      </c>
      <c r="F589" s="7">
        <f>VLOOKUP(B589,'Vendor -MOQ- Lead time'!$A$2:$C$45,3,0)</f>
        <v>270</v>
      </c>
      <c r="G589" s="7">
        <f t="shared" si="18"/>
        <v>270</v>
      </c>
      <c r="H589" s="7" t="s">
        <v>0</v>
      </c>
      <c r="I589" s="7" cm="1">
        <f t="array" ref="I589">_xlfn.IFS(H589="25-50%",230,H589="Top 25 %",260,H589="50-75%",200,H589="Last 25%",170,H589="Retire",150)</f>
        <v>170</v>
      </c>
      <c r="J589" s="15">
        <f t="shared" si="19"/>
        <v>45900</v>
      </c>
    </row>
    <row r="590" spans="1:10" x14ac:dyDescent="0.3">
      <c r="A590" s="7" t="s">
        <v>642</v>
      </c>
      <c r="B590" s="7" t="str">
        <f>_xlfn.XLOOKUP(A590,'Vendor code- SKU mapping'!$B$1:$B$806,'Vendor code- SKU mapping'!$A$1:$A$806)</f>
        <v>ISte</v>
      </c>
      <c r="C590" s="7">
        <f>VLOOKUP(B590,'Vendor -MOQ- Lead time'!$A$2:$B$45,2,0)</f>
        <v>45</v>
      </c>
      <c r="D590" s="13">
        <f>ROUND(IF('Task 2'!G590&lt;0,ABS('Task 2'!G590),0),0)</f>
        <v>0</v>
      </c>
      <c r="E590" s="7">
        <f>ROUND('Task 2'!D590*'Task 3'!C590,0)</f>
        <v>9</v>
      </c>
      <c r="F590" s="7">
        <f>VLOOKUP(B590,'Vendor -MOQ- Lead time'!$A$2:$C$45,3,0)</f>
        <v>270</v>
      </c>
      <c r="G590" s="7">
        <f t="shared" si="18"/>
        <v>270</v>
      </c>
      <c r="H590" s="7" t="s">
        <v>0</v>
      </c>
      <c r="I590" s="7" cm="1">
        <f t="array" ref="I590">_xlfn.IFS(H590="25-50%",230,H590="Top 25 %",260,H590="50-75%",200,H590="Last 25%",170,H590="Retire",150)</f>
        <v>170</v>
      </c>
      <c r="J590" s="15">
        <f t="shared" si="19"/>
        <v>45900</v>
      </c>
    </row>
    <row r="591" spans="1:10" x14ac:dyDescent="0.3">
      <c r="A591" s="7" t="s">
        <v>643</v>
      </c>
      <c r="B591" s="7" t="str">
        <f>_xlfn.XLOOKUP(A591,'Vendor code- SKU mapping'!$B$1:$B$806,'Vendor code- SKU mapping'!$A$1:$A$806)</f>
        <v>EEnh</v>
      </c>
      <c r="C591" s="7">
        <f>VLOOKUP(B591,'Vendor -MOQ- Lead time'!$A$2:$B$45,2,0)</f>
        <v>60</v>
      </c>
      <c r="D591" s="13">
        <f>ROUND(IF('Task 2'!G591&lt;0,ABS('Task 2'!G591),0),0)</f>
        <v>0</v>
      </c>
      <c r="E591" s="7">
        <f>ROUND('Task 2'!D591*'Task 3'!C591,0)</f>
        <v>2</v>
      </c>
      <c r="F591" s="7">
        <f>VLOOKUP(B591,'Vendor -MOQ- Lead time'!$A$2:$C$45,3,0)</f>
        <v>720</v>
      </c>
      <c r="G591" s="7">
        <f t="shared" si="18"/>
        <v>720</v>
      </c>
      <c r="H591" s="7" t="s">
        <v>0</v>
      </c>
      <c r="I591" s="7" cm="1">
        <f t="array" ref="I591">_xlfn.IFS(H591="25-50%",230,H591="Top 25 %",260,H591="50-75%",200,H591="Last 25%",170,H591="Retire",150)</f>
        <v>170</v>
      </c>
      <c r="J591" s="15">
        <f t="shared" si="19"/>
        <v>122400</v>
      </c>
    </row>
    <row r="592" spans="1:10" x14ac:dyDescent="0.3">
      <c r="A592" s="7" t="s">
        <v>644</v>
      </c>
      <c r="B592" s="7" t="str">
        <f>_xlfn.XLOOKUP(A592,'Vendor code- SKU mapping'!$B$1:$B$806,'Vendor code- SKU mapping'!$A$1:$A$806)</f>
        <v>OSha</v>
      </c>
      <c r="C592" s="7">
        <f>VLOOKUP(B592,'Vendor -MOQ- Lead time'!$A$2:$B$45,2,0)</f>
        <v>45</v>
      </c>
      <c r="D592" s="13">
        <f>ROUND(IF('Task 2'!G592&lt;0,ABS('Task 2'!G592),0),0)</f>
        <v>0</v>
      </c>
      <c r="E592" s="7">
        <f>ROUND('Task 2'!D592*'Task 3'!C592,0)</f>
        <v>6</v>
      </c>
      <c r="F592" s="7">
        <f>VLOOKUP(B592,'Vendor -MOQ- Lead time'!$A$2:$C$45,3,0)</f>
        <v>270</v>
      </c>
      <c r="G592" s="7">
        <f t="shared" si="18"/>
        <v>270</v>
      </c>
      <c r="H592" s="7" t="s">
        <v>0</v>
      </c>
      <c r="I592" s="7" cm="1">
        <f t="array" ref="I592">_xlfn.IFS(H592="25-50%",230,H592="Top 25 %",260,H592="50-75%",200,H592="Last 25%",170,H592="Retire",150)</f>
        <v>170</v>
      </c>
      <c r="J592" s="15">
        <f t="shared" si="19"/>
        <v>45900</v>
      </c>
    </row>
    <row r="593" spans="1:10" x14ac:dyDescent="0.3">
      <c r="A593" s="7" t="s">
        <v>645</v>
      </c>
      <c r="B593" s="7" t="str">
        <f>_xlfn.XLOOKUP(A593,'Vendor code- SKU mapping'!$B$1:$B$806,'Vendor code- SKU mapping'!$A$1:$A$806)</f>
        <v>IWal</v>
      </c>
      <c r="C593" s="7">
        <f>VLOOKUP(B593,'Vendor -MOQ- Lead time'!$A$2:$B$45,2,0)</f>
        <v>45</v>
      </c>
      <c r="D593" s="13">
        <f>ROUND(IF('Task 2'!G593&lt;0,ABS('Task 2'!G593),0),0)</f>
        <v>0</v>
      </c>
      <c r="E593" s="7">
        <f>ROUND('Task 2'!D593*'Task 3'!C593,0)</f>
        <v>3</v>
      </c>
      <c r="F593" s="7">
        <f>VLOOKUP(B593,'Vendor -MOQ- Lead time'!$A$2:$C$45,3,0)</f>
        <v>270</v>
      </c>
      <c r="G593" s="7">
        <f t="shared" si="18"/>
        <v>270</v>
      </c>
      <c r="H593" s="7" t="s">
        <v>0</v>
      </c>
      <c r="I593" s="7" cm="1">
        <f t="array" ref="I593">_xlfn.IFS(H593="25-50%",230,H593="Top 25 %",260,H593="50-75%",200,H593="Last 25%",170,H593="Retire",150)</f>
        <v>170</v>
      </c>
      <c r="J593" s="15">
        <f t="shared" si="19"/>
        <v>45900</v>
      </c>
    </row>
    <row r="594" spans="1:10" x14ac:dyDescent="0.3">
      <c r="A594" s="7" t="s">
        <v>646</v>
      </c>
      <c r="B594" s="7" t="str">
        <f>_xlfn.XLOOKUP(A594,'Vendor code- SKU mapping'!$B$1:$B$806,'Vendor code- SKU mapping'!$A$1:$A$806)</f>
        <v>IWal</v>
      </c>
      <c r="C594" s="7">
        <f>VLOOKUP(B594,'Vendor -MOQ- Lead time'!$A$2:$B$45,2,0)</f>
        <v>45</v>
      </c>
      <c r="D594" s="13">
        <f>ROUND(IF('Task 2'!G594&lt;0,ABS('Task 2'!G594),0),0)</f>
        <v>0</v>
      </c>
      <c r="E594" s="7">
        <f>ROUND('Task 2'!D594*'Task 3'!C594,0)</f>
        <v>2</v>
      </c>
      <c r="F594" s="7">
        <f>VLOOKUP(B594,'Vendor -MOQ- Lead time'!$A$2:$C$45,3,0)</f>
        <v>270</v>
      </c>
      <c r="G594" s="7">
        <f t="shared" si="18"/>
        <v>270</v>
      </c>
      <c r="H594" s="7" t="s">
        <v>0</v>
      </c>
      <c r="I594" s="7" cm="1">
        <f t="array" ref="I594">_xlfn.IFS(H594="25-50%",230,H594="Top 25 %",260,H594="50-75%",200,H594="Last 25%",170,H594="Retire",150)</f>
        <v>170</v>
      </c>
      <c r="J594" s="15">
        <f t="shared" si="19"/>
        <v>45900</v>
      </c>
    </row>
    <row r="595" spans="1:10" x14ac:dyDescent="0.3">
      <c r="A595" s="7" t="s">
        <v>647</v>
      </c>
      <c r="B595" s="7" t="str">
        <f>_xlfn.XLOOKUP(A595,'Vendor code- SKU mapping'!$B$1:$B$806,'Vendor code- SKU mapping'!$A$1:$A$806)</f>
        <v>IWal</v>
      </c>
      <c r="C595" s="7">
        <f>VLOOKUP(B595,'Vendor -MOQ- Lead time'!$A$2:$B$45,2,0)</f>
        <v>45</v>
      </c>
      <c r="D595" s="13">
        <f>ROUND(IF('Task 2'!G595&lt;0,ABS('Task 2'!G595),0),0)</f>
        <v>0</v>
      </c>
      <c r="E595" s="7">
        <f>ROUND('Task 2'!D595*'Task 3'!C595,0)</f>
        <v>2</v>
      </c>
      <c r="F595" s="7">
        <f>VLOOKUP(B595,'Vendor -MOQ- Lead time'!$A$2:$C$45,3,0)</f>
        <v>270</v>
      </c>
      <c r="G595" s="7">
        <f t="shared" si="18"/>
        <v>270</v>
      </c>
      <c r="H595" s="7" t="s">
        <v>0</v>
      </c>
      <c r="I595" s="7" cm="1">
        <f t="array" ref="I595">_xlfn.IFS(H595="25-50%",230,H595="Top 25 %",260,H595="50-75%",200,H595="Last 25%",170,H595="Retire",150)</f>
        <v>170</v>
      </c>
      <c r="J595" s="15">
        <f t="shared" si="19"/>
        <v>45900</v>
      </c>
    </row>
    <row r="596" spans="1:10" x14ac:dyDescent="0.3">
      <c r="A596" s="7" t="s">
        <v>648</v>
      </c>
      <c r="B596" s="7" t="str">
        <f>_xlfn.XLOOKUP(A596,'Vendor code- SKU mapping'!$B$1:$B$806,'Vendor code- SKU mapping'!$A$1:$A$806)</f>
        <v>EBes</v>
      </c>
      <c r="C596" s="7">
        <f>VLOOKUP(B596,'Vendor -MOQ- Lead time'!$A$2:$B$45,2,0)</f>
        <v>45</v>
      </c>
      <c r="D596" s="13">
        <f>ROUND(IF('Task 2'!G596&lt;0,ABS('Task 2'!G596),0),0)</f>
        <v>0</v>
      </c>
      <c r="E596" s="7">
        <f>ROUND('Task 2'!D596*'Task 3'!C596,0)</f>
        <v>2</v>
      </c>
      <c r="F596" s="7">
        <f>VLOOKUP(B596,'Vendor -MOQ- Lead time'!$A$2:$C$45,3,0)</f>
        <v>270</v>
      </c>
      <c r="G596" s="7">
        <f t="shared" si="18"/>
        <v>270</v>
      </c>
      <c r="H596" s="7" t="s">
        <v>0</v>
      </c>
      <c r="I596" s="7" cm="1">
        <f t="array" ref="I596">_xlfn.IFS(H596="25-50%",230,H596="Top 25 %",260,H596="50-75%",200,H596="Last 25%",170,H596="Retire",150)</f>
        <v>170</v>
      </c>
      <c r="J596" s="15">
        <f t="shared" si="19"/>
        <v>45900</v>
      </c>
    </row>
    <row r="597" spans="1:10" x14ac:dyDescent="0.3">
      <c r="A597" s="7" t="s">
        <v>649</v>
      </c>
      <c r="B597" s="7" t="str">
        <f>_xlfn.XLOOKUP(A597,'Vendor code- SKU mapping'!$B$1:$B$806,'Vendor code- SKU mapping'!$A$1:$A$806)</f>
        <v>ISte</v>
      </c>
      <c r="C597" s="7">
        <f>VLOOKUP(B597,'Vendor -MOQ- Lead time'!$A$2:$B$45,2,0)</f>
        <v>45</v>
      </c>
      <c r="D597" s="13">
        <f>ROUND(IF('Task 2'!G597&lt;0,ABS('Task 2'!G597),0),0)</f>
        <v>0</v>
      </c>
      <c r="E597" s="7">
        <f>ROUND('Task 2'!D597*'Task 3'!C597,0)</f>
        <v>2</v>
      </c>
      <c r="F597" s="7">
        <f>VLOOKUP(B597,'Vendor -MOQ- Lead time'!$A$2:$C$45,3,0)</f>
        <v>270</v>
      </c>
      <c r="G597" s="7">
        <f t="shared" si="18"/>
        <v>270</v>
      </c>
      <c r="H597" s="7" t="s">
        <v>0</v>
      </c>
      <c r="I597" s="7" cm="1">
        <f t="array" ref="I597">_xlfn.IFS(H597="25-50%",230,H597="Top 25 %",260,H597="50-75%",200,H597="Last 25%",170,H597="Retire",150)</f>
        <v>170</v>
      </c>
      <c r="J597" s="15">
        <f t="shared" si="19"/>
        <v>45900</v>
      </c>
    </row>
    <row r="598" spans="1:10" x14ac:dyDescent="0.3">
      <c r="A598" s="7" t="s">
        <v>650</v>
      </c>
      <c r="B598" s="7" t="str">
        <f>_xlfn.XLOOKUP(A598,'Vendor code- SKU mapping'!$B$1:$B$806,'Vendor code- SKU mapping'!$A$1:$A$806)</f>
        <v>IVS</v>
      </c>
      <c r="C598" s="7">
        <f>VLOOKUP(B598,'Vendor -MOQ- Lead time'!$A$2:$B$45,2,0)</f>
        <v>30</v>
      </c>
      <c r="D598" s="13">
        <f>ROUND(IF('Task 2'!G598&lt;0,ABS('Task 2'!G598),0),0)</f>
        <v>0</v>
      </c>
      <c r="E598" s="7">
        <f>ROUND('Task 2'!D598*'Task 3'!C598,0)</f>
        <v>1</v>
      </c>
      <c r="F598" s="7">
        <f>VLOOKUP(B598,'Vendor -MOQ- Lead time'!$A$2:$C$45,3,0)</f>
        <v>180</v>
      </c>
      <c r="G598" s="7">
        <f t="shared" si="18"/>
        <v>180</v>
      </c>
      <c r="H598" s="7" t="s">
        <v>0</v>
      </c>
      <c r="I598" s="7" cm="1">
        <f t="array" ref="I598">_xlfn.IFS(H598="25-50%",230,H598="Top 25 %",260,H598="50-75%",200,H598="Last 25%",170,H598="Retire",150)</f>
        <v>170</v>
      </c>
      <c r="J598" s="15">
        <f t="shared" si="19"/>
        <v>30600</v>
      </c>
    </row>
    <row r="599" spans="1:10" x14ac:dyDescent="0.3">
      <c r="A599" s="7" t="s">
        <v>651</v>
      </c>
      <c r="B599" s="7" t="str">
        <f>_xlfn.XLOOKUP(A599,'Vendor code- SKU mapping'!$B$1:$B$806,'Vendor code- SKU mapping'!$A$1:$A$806)</f>
        <v>ORav</v>
      </c>
      <c r="C599" s="7">
        <f>VLOOKUP(B599,'Vendor -MOQ- Lead time'!$A$2:$B$45,2,0)</f>
        <v>30</v>
      </c>
      <c r="D599" s="13">
        <f>ROUND(IF('Task 2'!G599&lt;0,ABS('Task 2'!G599),0),0)</f>
        <v>0</v>
      </c>
      <c r="E599" s="7">
        <f>ROUND('Task 2'!D599*'Task 3'!C599,0)</f>
        <v>9</v>
      </c>
      <c r="F599" s="7">
        <f>VLOOKUP(B599,'Vendor -MOQ- Lead time'!$A$2:$C$45,3,0)</f>
        <v>180</v>
      </c>
      <c r="G599" s="7">
        <f t="shared" si="18"/>
        <v>180</v>
      </c>
      <c r="H599" s="7" t="s">
        <v>3</v>
      </c>
      <c r="I599" s="7" cm="1">
        <f t="array" ref="I599">_xlfn.IFS(H599="25-50%",230,H599="Top 25 %",260,H599="50-75%",200,H599="Last 25%",170,H599="Retire",150)</f>
        <v>150</v>
      </c>
      <c r="J599" s="15">
        <f t="shared" si="19"/>
        <v>27000</v>
      </c>
    </row>
    <row r="600" spans="1:10" x14ac:dyDescent="0.3">
      <c r="A600" s="7" t="s">
        <v>652</v>
      </c>
      <c r="B600" s="7" t="str">
        <f>_xlfn.XLOOKUP(A600,'Vendor code- SKU mapping'!$B$1:$B$806,'Vendor code- SKU mapping'!$A$1:$A$806)</f>
        <v>AARH</v>
      </c>
      <c r="C600" s="7">
        <f>VLOOKUP(B600,'Vendor -MOQ- Lead time'!$A$2:$B$45,2,0)</f>
        <v>90</v>
      </c>
      <c r="D600" s="13">
        <f>ROUND(IF('Task 2'!G600&lt;0,ABS('Task 2'!G600),0),0)</f>
        <v>5</v>
      </c>
      <c r="E600" s="7">
        <f>ROUND('Task 2'!D600*'Task 3'!C600,0)</f>
        <v>33</v>
      </c>
      <c r="F600" s="7">
        <f>VLOOKUP(B600,'Vendor -MOQ- Lead time'!$A$2:$C$45,3,0)</f>
        <v>1080</v>
      </c>
      <c r="G600" s="7">
        <f t="shared" si="18"/>
        <v>1080</v>
      </c>
      <c r="H600" s="7" t="s">
        <v>2</v>
      </c>
      <c r="I600" s="7" cm="1">
        <f t="array" ref="I600">_xlfn.IFS(H600="25-50%",230,H600="Top 25 %",260,H600="50-75%",200,H600="Last 25%",170,H600="Retire",150)</f>
        <v>230</v>
      </c>
      <c r="J600" s="15">
        <f t="shared" si="19"/>
        <v>248400</v>
      </c>
    </row>
    <row r="601" spans="1:10" x14ac:dyDescent="0.3">
      <c r="A601" s="7" t="s">
        <v>653</v>
      </c>
      <c r="B601" s="7" t="str">
        <f>_xlfn.XLOOKUP(A601,'Vendor code- SKU mapping'!$B$1:$B$806,'Vendor code- SKU mapping'!$A$1:$A$806)</f>
        <v>OSha</v>
      </c>
      <c r="C601" s="7">
        <f>VLOOKUP(B601,'Vendor -MOQ- Lead time'!$A$2:$B$45,2,0)</f>
        <v>45</v>
      </c>
      <c r="D601" s="13">
        <f>ROUND(IF('Task 2'!G601&lt;0,ABS('Task 2'!G601),0),0)</f>
        <v>0</v>
      </c>
      <c r="E601" s="7">
        <f>ROUND('Task 2'!D601*'Task 3'!C601,0)</f>
        <v>20</v>
      </c>
      <c r="F601" s="7">
        <f>VLOOKUP(B601,'Vendor -MOQ- Lead time'!$A$2:$C$45,3,0)</f>
        <v>270</v>
      </c>
      <c r="G601" s="7">
        <f t="shared" si="18"/>
        <v>270</v>
      </c>
      <c r="H601" s="7" t="s">
        <v>2</v>
      </c>
      <c r="I601" s="7" cm="1">
        <f t="array" ref="I601">_xlfn.IFS(H601="25-50%",230,H601="Top 25 %",260,H601="50-75%",200,H601="Last 25%",170,H601="Retire",150)</f>
        <v>230</v>
      </c>
      <c r="J601" s="15">
        <f t="shared" si="19"/>
        <v>62100</v>
      </c>
    </row>
    <row r="602" spans="1:10" x14ac:dyDescent="0.3">
      <c r="A602" s="7" t="s">
        <v>654</v>
      </c>
      <c r="B602" s="7" t="str">
        <f>_xlfn.XLOOKUP(A602,'Vendor code- SKU mapping'!$B$1:$B$806,'Vendor code- SKU mapping'!$A$1:$A$806)</f>
        <v>ISte</v>
      </c>
      <c r="C602" s="7">
        <f>VLOOKUP(B602,'Vendor -MOQ- Lead time'!$A$2:$B$45,2,0)</f>
        <v>45</v>
      </c>
      <c r="D602" s="13">
        <f>ROUND(IF('Task 2'!G602&lt;0,ABS('Task 2'!G602),0),0)</f>
        <v>0</v>
      </c>
      <c r="E602" s="7">
        <f>ROUND('Task 2'!D602*'Task 3'!C602,0)</f>
        <v>0</v>
      </c>
      <c r="F602" s="7">
        <f>VLOOKUP(B602,'Vendor -MOQ- Lead time'!$A$2:$C$45,3,0)</f>
        <v>270</v>
      </c>
      <c r="G602" s="7">
        <f t="shared" si="18"/>
        <v>0</v>
      </c>
      <c r="H602" s="7" t="s">
        <v>1</v>
      </c>
      <c r="I602" s="7" cm="1">
        <f t="array" ref="I602">_xlfn.IFS(H602="25-50%",230,H602="Top 25 %",260,H602="50-75%",200,H602="Last 25%",170,H602="Retire",150)</f>
        <v>200</v>
      </c>
      <c r="J602" s="15">
        <f t="shared" si="19"/>
        <v>0</v>
      </c>
    </row>
    <row r="603" spans="1:10" x14ac:dyDescent="0.3">
      <c r="A603" s="7" t="s">
        <v>655</v>
      </c>
      <c r="B603" s="7" t="str">
        <f>_xlfn.XLOOKUP(A603,'Vendor code- SKU mapping'!$B$1:$B$806,'Vendor code- SKU mapping'!$A$1:$A$806)</f>
        <v>ISte</v>
      </c>
      <c r="C603" s="7">
        <f>VLOOKUP(B603,'Vendor -MOQ- Lead time'!$A$2:$B$45,2,0)</f>
        <v>45</v>
      </c>
      <c r="D603" s="13">
        <f>ROUND(IF('Task 2'!G603&lt;0,ABS('Task 2'!G603),0),0)</f>
        <v>0</v>
      </c>
      <c r="E603" s="7">
        <f>ROUND('Task 2'!D603*'Task 3'!C603,0)</f>
        <v>27</v>
      </c>
      <c r="F603" s="7">
        <f>VLOOKUP(B603,'Vendor -MOQ- Lead time'!$A$2:$C$45,3,0)</f>
        <v>270</v>
      </c>
      <c r="G603" s="7">
        <f t="shared" si="18"/>
        <v>270</v>
      </c>
      <c r="H603" s="7" t="s">
        <v>0</v>
      </c>
      <c r="I603" s="7" cm="1">
        <f t="array" ref="I603">_xlfn.IFS(H603="25-50%",230,H603="Top 25 %",260,H603="50-75%",200,H603="Last 25%",170,H603="Retire",150)</f>
        <v>170</v>
      </c>
      <c r="J603" s="15">
        <f t="shared" si="19"/>
        <v>45900</v>
      </c>
    </row>
    <row r="604" spans="1:10" x14ac:dyDescent="0.3">
      <c r="A604" s="7" t="s">
        <v>656</v>
      </c>
      <c r="B604" s="7" t="str">
        <f>_xlfn.XLOOKUP(A604,'Vendor code- SKU mapping'!$B$1:$B$806,'Vendor code- SKU mapping'!$A$1:$A$806)</f>
        <v>AAre</v>
      </c>
      <c r="C604" s="7">
        <f>VLOOKUP(B604,'Vendor -MOQ- Lead time'!$A$2:$B$45,2,0)</f>
        <v>45</v>
      </c>
      <c r="D604" s="13">
        <f>ROUND(IF('Task 2'!G604&lt;0,ABS('Task 2'!G604),0),0)</f>
        <v>0</v>
      </c>
      <c r="E604" s="7">
        <f>ROUND('Task 2'!D604*'Task 3'!C604,0)</f>
        <v>21</v>
      </c>
      <c r="F604" s="7">
        <f>VLOOKUP(B604,'Vendor -MOQ- Lead time'!$A$2:$C$45,3,0)</f>
        <v>270</v>
      </c>
      <c r="G604" s="7">
        <f t="shared" si="18"/>
        <v>270</v>
      </c>
      <c r="H604" s="7" t="s">
        <v>0</v>
      </c>
      <c r="I604" s="7" cm="1">
        <f t="array" ref="I604">_xlfn.IFS(H604="25-50%",230,H604="Top 25 %",260,H604="50-75%",200,H604="Last 25%",170,H604="Retire",150)</f>
        <v>170</v>
      </c>
      <c r="J604" s="15">
        <f t="shared" si="19"/>
        <v>45900</v>
      </c>
    </row>
    <row r="605" spans="1:10" x14ac:dyDescent="0.3">
      <c r="A605" s="7" t="s">
        <v>657</v>
      </c>
      <c r="B605" s="7" t="str">
        <f>_xlfn.XLOOKUP(A605,'Vendor code- SKU mapping'!$B$1:$B$806,'Vendor code- SKU mapping'!$A$1:$A$806)</f>
        <v>ISte</v>
      </c>
      <c r="C605" s="7">
        <f>VLOOKUP(B605,'Vendor -MOQ- Lead time'!$A$2:$B$45,2,0)</f>
        <v>45</v>
      </c>
      <c r="D605" s="13">
        <f>ROUND(IF('Task 2'!G605&lt;0,ABS('Task 2'!G605),0),0)</f>
        <v>0</v>
      </c>
      <c r="E605" s="7">
        <f>ROUND('Task 2'!D605*'Task 3'!C605,0)</f>
        <v>17</v>
      </c>
      <c r="F605" s="7">
        <f>VLOOKUP(B605,'Vendor -MOQ- Lead time'!$A$2:$C$45,3,0)</f>
        <v>270</v>
      </c>
      <c r="G605" s="7">
        <f t="shared" si="18"/>
        <v>270</v>
      </c>
      <c r="H605" s="7" t="s">
        <v>0</v>
      </c>
      <c r="I605" s="7" cm="1">
        <f t="array" ref="I605">_xlfn.IFS(H605="25-50%",230,H605="Top 25 %",260,H605="50-75%",200,H605="Last 25%",170,H605="Retire",150)</f>
        <v>170</v>
      </c>
      <c r="J605" s="15">
        <f t="shared" si="19"/>
        <v>45900</v>
      </c>
    </row>
    <row r="606" spans="1:10" x14ac:dyDescent="0.3">
      <c r="A606" s="7" t="s">
        <v>658</v>
      </c>
      <c r="B606" s="7" t="str">
        <f>_xlfn.XLOOKUP(A606,'Vendor code- SKU mapping'!$B$1:$B$806,'Vendor code- SKU mapping'!$A$1:$A$806)</f>
        <v>ISV</v>
      </c>
      <c r="C606" s="7">
        <f>VLOOKUP(B606,'Vendor -MOQ- Lead time'!$A$2:$B$45,2,0)</f>
        <v>45</v>
      </c>
      <c r="D606" s="13">
        <f>ROUND(IF('Task 2'!G606&lt;0,ABS('Task 2'!G606),0),0)</f>
        <v>0</v>
      </c>
      <c r="E606" s="7">
        <f>ROUND('Task 2'!D606*'Task 3'!C606,0)</f>
        <v>12</v>
      </c>
      <c r="F606" s="7">
        <f>VLOOKUP(B606,'Vendor -MOQ- Lead time'!$A$2:$C$45,3,0)</f>
        <v>270</v>
      </c>
      <c r="G606" s="7">
        <f t="shared" si="18"/>
        <v>270</v>
      </c>
      <c r="H606" s="7" t="s">
        <v>0</v>
      </c>
      <c r="I606" s="7" cm="1">
        <f t="array" ref="I606">_xlfn.IFS(H606="25-50%",230,H606="Top 25 %",260,H606="50-75%",200,H606="Last 25%",170,H606="Retire",150)</f>
        <v>170</v>
      </c>
      <c r="J606" s="15">
        <f t="shared" si="19"/>
        <v>45900</v>
      </c>
    </row>
    <row r="607" spans="1:10" x14ac:dyDescent="0.3">
      <c r="A607" s="7" t="s">
        <v>659</v>
      </c>
      <c r="B607" s="7" t="str">
        <f>_xlfn.XLOOKUP(A607,'Vendor code- SKU mapping'!$B$1:$B$806,'Vendor code- SKU mapping'!$A$1:$A$806)</f>
        <v>OKri</v>
      </c>
      <c r="C607" s="7">
        <f>VLOOKUP(B607,'Vendor -MOQ- Lead time'!$A$2:$B$45,2,0)</f>
        <v>45</v>
      </c>
      <c r="D607" s="13">
        <f>ROUND(IF('Task 2'!G607&lt;0,ABS('Task 2'!G607),0),0)</f>
        <v>0</v>
      </c>
      <c r="E607" s="7">
        <f>ROUND('Task 2'!D607*'Task 3'!C607,0)</f>
        <v>17</v>
      </c>
      <c r="F607" s="7">
        <f>VLOOKUP(B607,'Vendor -MOQ- Lead time'!$A$2:$C$45,3,0)</f>
        <v>270</v>
      </c>
      <c r="G607" s="7">
        <f t="shared" si="18"/>
        <v>270</v>
      </c>
      <c r="H607" s="7" t="s">
        <v>0</v>
      </c>
      <c r="I607" s="7" cm="1">
        <f t="array" ref="I607">_xlfn.IFS(H607="25-50%",230,H607="Top 25 %",260,H607="50-75%",200,H607="Last 25%",170,H607="Retire",150)</f>
        <v>170</v>
      </c>
      <c r="J607" s="15">
        <f t="shared" si="19"/>
        <v>45900</v>
      </c>
    </row>
    <row r="608" spans="1:10" x14ac:dyDescent="0.3">
      <c r="A608" s="7" t="s">
        <v>660</v>
      </c>
      <c r="B608" s="7" t="str">
        <f>_xlfn.XLOOKUP(A608,'Vendor code- SKU mapping'!$B$1:$B$806,'Vendor code- SKU mapping'!$A$1:$A$806)</f>
        <v>OKri</v>
      </c>
      <c r="C608" s="7">
        <f>VLOOKUP(B608,'Vendor -MOQ- Lead time'!$A$2:$B$45,2,0)</f>
        <v>45</v>
      </c>
      <c r="D608" s="13">
        <f>ROUND(IF('Task 2'!G608&lt;0,ABS('Task 2'!G608),0),0)</f>
        <v>0</v>
      </c>
      <c r="E608" s="7">
        <f>ROUND('Task 2'!D608*'Task 3'!C608,0)</f>
        <v>5</v>
      </c>
      <c r="F608" s="7">
        <f>VLOOKUP(B608,'Vendor -MOQ- Lead time'!$A$2:$C$45,3,0)</f>
        <v>270</v>
      </c>
      <c r="G608" s="7">
        <f t="shared" si="18"/>
        <v>270</v>
      </c>
      <c r="H608" s="7" t="s">
        <v>0</v>
      </c>
      <c r="I608" s="7" cm="1">
        <f t="array" ref="I608">_xlfn.IFS(H608="25-50%",230,H608="Top 25 %",260,H608="50-75%",200,H608="Last 25%",170,H608="Retire",150)</f>
        <v>170</v>
      </c>
      <c r="J608" s="15">
        <f t="shared" si="19"/>
        <v>45900</v>
      </c>
    </row>
    <row r="609" spans="1:10" x14ac:dyDescent="0.3">
      <c r="A609" s="7" t="s">
        <v>661</v>
      </c>
      <c r="B609" s="7" t="str">
        <f>_xlfn.XLOOKUP(A609,'Vendor code- SKU mapping'!$B$1:$B$806,'Vendor code- SKU mapping'!$A$1:$A$806)</f>
        <v>ISte</v>
      </c>
      <c r="C609" s="7">
        <f>VLOOKUP(B609,'Vendor -MOQ- Lead time'!$A$2:$B$45,2,0)</f>
        <v>45</v>
      </c>
      <c r="D609" s="13">
        <f>ROUND(IF('Task 2'!G609&lt;0,ABS('Task 2'!G609),0),0)</f>
        <v>0</v>
      </c>
      <c r="E609" s="7">
        <f>ROUND('Task 2'!D609*'Task 3'!C609,0)</f>
        <v>5</v>
      </c>
      <c r="F609" s="7">
        <f>VLOOKUP(B609,'Vendor -MOQ- Lead time'!$A$2:$C$45,3,0)</f>
        <v>270</v>
      </c>
      <c r="G609" s="7">
        <f t="shared" si="18"/>
        <v>270</v>
      </c>
      <c r="H609" s="7" t="s">
        <v>0</v>
      </c>
      <c r="I609" s="7" cm="1">
        <f t="array" ref="I609">_xlfn.IFS(H609="25-50%",230,H609="Top 25 %",260,H609="50-75%",200,H609="Last 25%",170,H609="Retire",150)</f>
        <v>170</v>
      </c>
      <c r="J609" s="15">
        <f t="shared" si="19"/>
        <v>45900</v>
      </c>
    </row>
    <row r="610" spans="1:10" x14ac:dyDescent="0.3">
      <c r="A610" s="7" t="s">
        <v>662</v>
      </c>
      <c r="B610" s="7" t="str">
        <f>_xlfn.XLOOKUP(A610,'Vendor code- SKU mapping'!$B$1:$B$806,'Vendor code- SKU mapping'!$A$1:$A$806)</f>
        <v>ISte</v>
      </c>
      <c r="C610" s="7">
        <f>VLOOKUP(B610,'Vendor -MOQ- Lead time'!$A$2:$B$45,2,0)</f>
        <v>45</v>
      </c>
      <c r="D610" s="13">
        <f>ROUND(IF('Task 2'!G610&lt;0,ABS('Task 2'!G610),0),0)</f>
        <v>3</v>
      </c>
      <c r="E610" s="7">
        <f>ROUND('Task 2'!D610*'Task 3'!C610,0)</f>
        <v>5</v>
      </c>
      <c r="F610" s="7">
        <f>VLOOKUP(B610,'Vendor -MOQ- Lead time'!$A$2:$C$45,3,0)</f>
        <v>270</v>
      </c>
      <c r="G610" s="7">
        <f t="shared" si="18"/>
        <v>270</v>
      </c>
      <c r="H610" s="7" t="s">
        <v>0</v>
      </c>
      <c r="I610" s="7" cm="1">
        <f t="array" ref="I610">_xlfn.IFS(H610="25-50%",230,H610="Top 25 %",260,H610="50-75%",200,H610="Last 25%",170,H610="Retire",150)</f>
        <v>170</v>
      </c>
      <c r="J610" s="15">
        <f t="shared" si="19"/>
        <v>45900</v>
      </c>
    </row>
    <row r="611" spans="1:10" x14ac:dyDescent="0.3">
      <c r="A611" s="7" t="s">
        <v>663</v>
      </c>
      <c r="B611" s="7" t="str">
        <f>_xlfn.XLOOKUP(A611,'Vendor code- SKU mapping'!$B$1:$B$806,'Vendor code- SKU mapping'!$A$1:$A$806)</f>
        <v>ISte</v>
      </c>
      <c r="C611" s="7">
        <f>VLOOKUP(B611,'Vendor -MOQ- Lead time'!$A$2:$B$45,2,0)</f>
        <v>45</v>
      </c>
      <c r="D611" s="13">
        <f>ROUND(IF('Task 2'!G611&lt;0,ABS('Task 2'!G611),0),0)</f>
        <v>0</v>
      </c>
      <c r="E611" s="7">
        <f>ROUND('Task 2'!D611*'Task 3'!C611,0)</f>
        <v>3</v>
      </c>
      <c r="F611" s="7">
        <f>VLOOKUP(B611,'Vendor -MOQ- Lead time'!$A$2:$C$45,3,0)</f>
        <v>270</v>
      </c>
      <c r="G611" s="7">
        <f t="shared" si="18"/>
        <v>270</v>
      </c>
      <c r="H611" s="7" t="s">
        <v>0</v>
      </c>
      <c r="I611" s="7" cm="1">
        <f t="array" ref="I611">_xlfn.IFS(H611="25-50%",230,H611="Top 25 %",260,H611="50-75%",200,H611="Last 25%",170,H611="Retire",150)</f>
        <v>170</v>
      </c>
      <c r="J611" s="15">
        <f t="shared" si="19"/>
        <v>45900</v>
      </c>
    </row>
    <row r="612" spans="1:10" x14ac:dyDescent="0.3">
      <c r="A612" s="7" t="s">
        <v>664</v>
      </c>
      <c r="B612" s="7" t="str">
        <f>_xlfn.XLOOKUP(A612,'Vendor code- SKU mapping'!$B$1:$B$806,'Vendor code- SKU mapping'!$A$1:$A$806)</f>
        <v>IWal</v>
      </c>
      <c r="C612" s="7">
        <f>VLOOKUP(B612,'Vendor -MOQ- Lead time'!$A$2:$B$45,2,0)</f>
        <v>45</v>
      </c>
      <c r="D612" s="13">
        <f>ROUND(IF('Task 2'!G612&lt;0,ABS('Task 2'!G612),0),0)</f>
        <v>0</v>
      </c>
      <c r="E612" s="7">
        <f>ROUND('Task 2'!D612*'Task 3'!C612,0)</f>
        <v>3</v>
      </c>
      <c r="F612" s="7">
        <f>VLOOKUP(B612,'Vendor -MOQ- Lead time'!$A$2:$C$45,3,0)</f>
        <v>270</v>
      </c>
      <c r="G612" s="7">
        <f t="shared" si="18"/>
        <v>270</v>
      </c>
      <c r="H612" s="7" t="s">
        <v>0</v>
      </c>
      <c r="I612" s="7" cm="1">
        <f t="array" ref="I612">_xlfn.IFS(H612="25-50%",230,H612="Top 25 %",260,H612="50-75%",200,H612="Last 25%",170,H612="Retire",150)</f>
        <v>170</v>
      </c>
      <c r="J612" s="15">
        <f t="shared" si="19"/>
        <v>45900</v>
      </c>
    </row>
    <row r="613" spans="1:10" x14ac:dyDescent="0.3">
      <c r="A613" s="7" t="s">
        <v>665</v>
      </c>
      <c r="B613" s="7" t="str">
        <f>_xlfn.XLOOKUP(A613,'Vendor code- SKU mapping'!$B$1:$B$806,'Vendor code- SKU mapping'!$A$1:$A$806)</f>
        <v>AAma</v>
      </c>
      <c r="C613" s="7">
        <f>VLOOKUP(B613,'Vendor -MOQ- Lead time'!$A$2:$B$45,2,0)</f>
        <v>45</v>
      </c>
      <c r="D613" s="13">
        <f>ROUND(IF('Task 2'!G613&lt;0,ABS('Task 2'!G613),0),0)</f>
        <v>0</v>
      </c>
      <c r="E613" s="7">
        <f>ROUND('Task 2'!D613*'Task 3'!C613,0)</f>
        <v>5</v>
      </c>
      <c r="F613" s="7">
        <f>VLOOKUP(B613,'Vendor -MOQ- Lead time'!$A$2:$C$45,3,0)</f>
        <v>270</v>
      </c>
      <c r="G613" s="7">
        <f t="shared" si="18"/>
        <v>270</v>
      </c>
      <c r="H613" s="7" t="s">
        <v>0</v>
      </c>
      <c r="I613" s="7" cm="1">
        <f t="array" ref="I613">_xlfn.IFS(H613="25-50%",230,H613="Top 25 %",260,H613="50-75%",200,H613="Last 25%",170,H613="Retire",150)</f>
        <v>170</v>
      </c>
      <c r="J613" s="15">
        <f t="shared" si="19"/>
        <v>45900</v>
      </c>
    </row>
    <row r="614" spans="1:10" x14ac:dyDescent="0.3">
      <c r="A614" s="7" t="s">
        <v>666</v>
      </c>
      <c r="B614" s="7" t="str">
        <f>_xlfn.XLOOKUP(A614,'Vendor code- SKU mapping'!$B$1:$B$806,'Vendor code- SKU mapping'!$A$1:$A$806)</f>
        <v>ISte</v>
      </c>
      <c r="C614" s="7">
        <f>VLOOKUP(B614,'Vendor -MOQ- Lead time'!$A$2:$B$45,2,0)</f>
        <v>45</v>
      </c>
      <c r="D614" s="13">
        <f>ROUND(IF('Task 2'!G614&lt;0,ABS('Task 2'!G614),0),0)</f>
        <v>0</v>
      </c>
      <c r="E614" s="7">
        <f>ROUND('Task 2'!D614*'Task 3'!C614,0)</f>
        <v>6</v>
      </c>
      <c r="F614" s="7">
        <f>VLOOKUP(B614,'Vendor -MOQ- Lead time'!$A$2:$C$45,3,0)</f>
        <v>270</v>
      </c>
      <c r="G614" s="7">
        <f t="shared" si="18"/>
        <v>270</v>
      </c>
      <c r="H614" s="7" t="s">
        <v>0</v>
      </c>
      <c r="I614" s="7" cm="1">
        <f t="array" ref="I614">_xlfn.IFS(H614="25-50%",230,H614="Top 25 %",260,H614="50-75%",200,H614="Last 25%",170,H614="Retire",150)</f>
        <v>170</v>
      </c>
      <c r="J614" s="15">
        <f t="shared" si="19"/>
        <v>45900</v>
      </c>
    </row>
    <row r="615" spans="1:10" x14ac:dyDescent="0.3">
      <c r="A615" s="7" t="s">
        <v>667</v>
      </c>
      <c r="B615" s="7" t="str">
        <f>_xlfn.XLOOKUP(A615,'Vendor code- SKU mapping'!$B$1:$B$806,'Vendor code- SKU mapping'!$A$1:$A$806)</f>
        <v>ISte</v>
      </c>
      <c r="C615" s="7">
        <f>VLOOKUP(B615,'Vendor -MOQ- Lead time'!$A$2:$B$45,2,0)</f>
        <v>45</v>
      </c>
      <c r="D615" s="13">
        <f>ROUND(IF('Task 2'!G615&lt;0,ABS('Task 2'!G615),0),0)</f>
        <v>0</v>
      </c>
      <c r="E615" s="7">
        <f>ROUND('Task 2'!D615*'Task 3'!C615,0)</f>
        <v>2</v>
      </c>
      <c r="F615" s="7">
        <f>VLOOKUP(B615,'Vendor -MOQ- Lead time'!$A$2:$C$45,3,0)</f>
        <v>270</v>
      </c>
      <c r="G615" s="7">
        <f t="shared" si="18"/>
        <v>270</v>
      </c>
      <c r="H615" s="7" t="s">
        <v>0</v>
      </c>
      <c r="I615" s="7" cm="1">
        <f t="array" ref="I615">_xlfn.IFS(H615="25-50%",230,H615="Top 25 %",260,H615="50-75%",200,H615="Last 25%",170,H615="Retire",150)</f>
        <v>170</v>
      </c>
      <c r="J615" s="15">
        <f t="shared" si="19"/>
        <v>45900</v>
      </c>
    </row>
    <row r="616" spans="1:10" x14ac:dyDescent="0.3">
      <c r="A616" s="7" t="s">
        <v>668</v>
      </c>
      <c r="B616" s="7" t="str">
        <f>_xlfn.XLOOKUP(A616,'Vendor code- SKU mapping'!$B$1:$B$806,'Vendor code- SKU mapping'!$A$1:$A$806)</f>
        <v>OSha</v>
      </c>
      <c r="C616" s="7">
        <f>VLOOKUP(B616,'Vendor -MOQ- Lead time'!$A$2:$B$45,2,0)</f>
        <v>45</v>
      </c>
      <c r="D616" s="13">
        <f>ROUND(IF('Task 2'!G616&lt;0,ABS('Task 2'!G616),0),0)</f>
        <v>0</v>
      </c>
      <c r="E616" s="7">
        <f>ROUND('Task 2'!D616*'Task 3'!C616,0)</f>
        <v>3</v>
      </c>
      <c r="F616" s="7">
        <f>VLOOKUP(B616,'Vendor -MOQ- Lead time'!$A$2:$C$45,3,0)</f>
        <v>270</v>
      </c>
      <c r="G616" s="7">
        <f t="shared" si="18"/>
        <v>270</v>
      </c>
      <c r="H616" s="7" t="s">
        <v>0</v>
      </c>
      <c r="I616" s="7" cm="1">
        <f t="array" ref="I616">_xlfn.IFS(H616="25-50%",230,H616="Top 25 %",260,H616="50-75%",200,H616="Last 25%",170,H616="Retire",150)</f>
        <v>170</v>
      </c>
      <c r="J616" s="15">
        <f t="shared" si="19"/>
        <v>45900</v>
      </c>
    </row>
    <row r="617" spans="1:10" x14ac:dyDescent="0.3">
      <c r="A617" s="7" t="s">
        <v>669</v>
      </c>
      <c r="B617" s="7" t="str">
        <f>_xlfn.XLOOKUP(A617,'Vendor code- SKU mapping'!$B$1:$B$806,'Vendor code- SKU mapping'!$A$1:$A$806)</f>
        <v>OKri</v>
      </c>
      <c r="C617" s="7">
        <f>VLOOKUP(B617,'Vendor -MOQ- Lead time'!$A$2:$B$45,2,0)</f>
        <v>45</v>
      </c>
      <c r="D617" s="13">
        <f>ROUND(IF('Task 2'!G617&lt;0,ABS('Task 2'!G617),0),0)</f>
        <v>0</v>
      </c>
      <c r="E617" s="7">
        <f>ROUND('Task 2'!D617*'Task 3'!C617,0)</f>
        <v>2</v>
      </c>
      <c r="F617" s="7">
        <f>VLOOKUP(B617,'Vendor -MOQ- Lead time'!$A$2:$C$45,3,0)</f>
        <v>270</v>
      </c>
      <c r="G617" s="7">
        <f t="shared" si="18"/>
        <v>270</v>
      </c>
      <c r="H617" s="7" t="s">
        <v>0</v>
      </c>
      <c r="I617" s="7" cm="1">
        <f t="array" ref="I617">_xlfn.IFS(H617="25-50%",230,H617="Top 25 %",260,H617="50-75%",200,H617="Last 25%",170,H617="Retire",150)</f>
        <v>170</v>
      </c>
      <c r="J617" s="15">
        <f t="shared" si="19"/>
        <v>45900</v>
      </c>
    </row>
    <row r="618" spans="1:10" x14ac:dyDescent="0.3">
      <c r="A618" s="7" t="s">
        <v>670</v>
      </c>
      <c r="B618" s="7" t="str">
        <f>_xlfn.XLOOKUP(A618,'Vendor code- SKU mapping'!$B$1:$B$806,'Vendor code- SKU mapping'!$A$1:$A$806)</f>
        <v>OMah</v>
      </c>
      <c r="C618" s="7">
        <f>VLOOKUP(B618,'Vendor -MOQ- Lead time'!$A$2:$B$45,2,0)</f>
        <v>45</v>
      </c>
      <c r="D618" s="13">
        <f>ROUND(IF('Task 2'!G618&lt;0,ABS('Task 2'!G618),0),0)</f>
        <v>0</v>
      </c>
      <c r="E618" s="7">
        <f>ROUND('Task 2'!D618*'Task 3'!C618,0)</f>
        <v>5</v>
      </c>
      <c r="F618" s="7">
        <f>VLOOKUP(B618,'Vendor -MOQ- Lead time'!$A$2:$C$45,3,0)</f>
        <v>270</v>
      </c>
      <c r="G618" s="7">
        <f t="shared" si="18"/>
        <v>270</v>
      </c>
      <c r="H618" s="7" t="s">
        <v>0</v>
      </c>
      <c r="I618" s="7" cm="1">
        <f t="array" ref="I618">_xlfn.IFS(H618="25-50%",230,H618="Top 25 %",260,H618="50-75%",200,H618="Last 25%",170,H618="Retire",150)</f>
        <v>170</v>
      </c>
      <c r="J618" s="15">
        <f t="shared" si="19"/>
        <v>45900</v>
      </c>
    </row>
    <row r="619" spans="1:10" x14ac:dyDescent="0.3">
      <c r="A619" s="7" t="s">
        <v>671</v>
      </c>
      <c r="B619" s="7" t="str">
        <f>_xlfn.XLOOKUP(A619,'Vendor code- SKU mapping'!$B$1:$B$806,'Vendor code- SKU mapping'!$A$1:$A$806)</f>
        <v>ISte</v>
      </c>
      <c r="C619" s="7">
        <f>VLOOKUP(B619,'Vendor -MOQ- Lead time'!$A$2:$B$45,2,0)</f>
        <v>45</v>
      </c>
      <c r="D619" s="13">
        <f>ROUND(IF('Task 2'!G619&lt;0,ABS('Task 2'!G619),0),0)</f>
        <v>0</v>
      </c>
      <c r="E619" s="7">
        <f>ROUND('Task 2'!D619*'Task 3'!C619,0)</f>
        <v>3</v>
      </c>
      <c r="F619" s="7">
        <f>VLOOKUP(B619,'Vendor -MOQ- Lead time'!$A$2:$C$45,3,0)</f>
        <v>270</v>
      </c>
      <c r="G619" s="7">
        <f t="shared" si="18"/>
        <v>270</v>
      </c>
      <c r="H619" s="7" t="s">
        <v>0</v>
      </c>
      <c r="I619" s="7" cm="1">
        <f t="array" ref="I619">_xlfn.IFS(H619="25-50%",230,H619="Top 25 %",260,H619="50-75%",200,H619="Last 25%",170,H619="Retire",150)</f>
        <v>170</v>
      </c>
      <c r="J619" s="15">
        <f t="shared" si="19"/>
        <v>45900</v>
      </c>
    </row>
    <row r="620" spans="1:10" x14ac:dyDescent="0.3">
      <c r="A620" s="7" t="s">
        <v>672</v>
      </c>
      <c r="B620" s="7" t="str">
        <f>_xlfn.XLOOKUP(A620,'Vendor code- SKU mapping'!$B$1:$B$806,'Vendor code- SKU mapping'!$A$1:$A$806)</f>
        <v>ISte</v>
      </c>
      <c r="C620" s="7">
        <f>VLOOKUP(B620,'Vendor -MOQ- Lead time'!$A$2:$B$45,2,0)</f>
        <v>45</v>
      </c>
      <c r="D620" s="13">
        <f>ROUND(IF('Task 2'!G620&lt;0,ABS('Task 2'!G620),0),0)</f>
        <v>0</v>
      </c>
      <c r="E620" s="7">
        <f>ROUND('Task 2'!D620*'Task 3'!C620,0)</f>
        <v>8</v>
      </c>
      <c r="F620" s="7">
        <f>VLOOKUP(B620,'Vendor -MOQ- Lead time'!$A$2:$C$45,3,0)</f>
        <v>270</v>
      </c>
      <c r="G620" s="7">
        <f t="shared" si="18"/>
        <v>270</v>
      </c>
      <c r="H620" s="7" t="s">
        <v>0</v>
      </c>
      <c r="I620" s="7" cm="1">
        <f t="array" ref="I620">_xlfn.IFS(H620="25-50%",230,H620="Top 25 %",260,H620="50-75%",200,H620="Last 25%",170,H620="Retire",150)</f>
        <v>170</v>
      </c>
      <c r="J620" s="15">
        <f t="shared" si="19"/>
        <v>45900</v>
      </c>
    </row>
    <row r="621" spans="1:10" x14ac:dyDescent="0.3">
      <c r="A621" s="7" t="s">
        <v>673</v>
      </c>
      <c r="B621" s="7" t="str">
        <f>_xlfn.XLOOKUP(A621,'Vendor code- SKU mapping'!$B$1:$B$806,'Vendor code- SKU mapping'!$A$1:$A$806)</f>
        <v>ISte</v>
      </c>
      <c r="C621" s="7">
        <f>VLOOKUP(B621,'Vendor -MOQ- Lead time'!$A$2:$B$45,2,0)</f>
        <v>45</v>
      </c>
      <c r="D621" s="13">
        <f>ROUND(IF('Task 2'!G621&lt;0,ABS('Task 2'!G621),0),0)</f>
        <v>0</v>
      </c>
      <c r="E621" s="7">
        <f>ROUND('Task 2'!D621*'Task 3'!C621,0)</f>
        <v>2</v>
      </c>
      <c r="F621" s="7">
        <f>VLOOKUP(B621,'Vendor -MOQ- Lead time'!$A$2:$C$45,3,0)</f>
        <v>270</v>
      </c>
      <c r="G621" s="7">
        <f t="shared" si="18"/>
        <v>270</v>
      </c>
      <c r="H621" s="7" t="s">
        <v>0</v>
      </c>
      <c r="I621" s="7" cm="1">
        <f t="array" ref="I621">_xlfn.IFS(H621="25-50%",230,H621="Top 25 %",260,H621="50-75%",200,H621="Last 25%",170,H621="Retire",150)</f>
        <v>170</v>
      </c>
      <c r="J621" s="15">
        <f t="shared" si="19"/>
        <v>45900</v>
      </c>
    </row>
    <row r="622" spans="1:10" x14ac:dyDescent="0.3">
      <c r="A622" s="7" t="s">
        <v>674</v>
      </c>
      <c r="B622" s="7" t="str">
        <f>_xlfn.XLOOKUP(A622,'Vendor code- SKU mapping'!$B$1:$B$806,'Vendor code- SKU mapping'!$A$1:$A$806)</f>
        <v>OMD</v>
      </c>
      <c r="C622" s="7">
        <f>VLOOKUP(B622,'Vendor -MOQ- Lead time'!$A$2:$B$45,2,0)</f>
        <v>30</v>
      </c>
      <c r="D622" s="13">
        <f>ROUND(IF('Task 2'!G622&lt;0,ABS('Task 2'!G622),0),0)</f>
        <v>0</v>
      </c>
      <c r="E622" s="7">
        <f>ROUND('Task 2'!D622*'Task 3'!C622,0)</f>
        <v>2</v>
      </c>
      <c r="F622" s="7">
        <f>VLOOKUP(B622,'Vendor -MOQ- Lead time'!$A$2:$C$45,3,0)</f>
        <v>180</v>
      </c>
      <c r="G622" s="7">
        <f t="shared" si="18"/>
        <v>180</v>
      </c>
      <c r="H622" s="7" t="s">
        <v>0</v>
      </c>
      <c r="I622" s="7" cm="1">
        <f t="array" ref="I622">_xlfn.IFS(H622="25-50%",230,H622="Top 25 %",260,H622="50-75%",200,H622="Last 25%",170,H622="Retire",150)</f>
        <v>170</v>
      </c>
      <c r="J622" s="15">
        <f t="shared" si="19"/>
        <v>30600</v>
      </c>
    </row>
    <row r="623" spans="1:10" x14ac:dyDescent="0.3">
      <c r="A623" s="7" t="s">
        <v>675</v>
      </c>
      <c r="B623" s="7" t="str">
        <f>_xlfn.XLOOKUP(A623,'Vendor code- SKU mapping'!$B$1:$B$806,'Vendor code- SKU mapping'!$A$1:$A$806)</f>
        <v>EFai</v>
      </c>
      <c r="C623" s="7">
        <f>VLOOKUP(B623,'Vendor -MOQ- Lead time'!$A$2:$B$45,2,0)</f>
        <v>60</v>
      </c>
      <c r="D623" s="13">
        <f>ROUND(IF('Task 2'!G623&lt;0,ABS('Task 2'!G623),0),0)</f>
        <v>0</v>
      </c>
      <c r="E623" s="7">
        <f>ROUND('Task 2'!D623*'Task 3'!C623,0)</f>
        <v>28</v>
      </c>
      <c r="F623" s="7">
        <f>VLOOKUP(B623,'Vendor -MOQ- Lead time'!$A$2:$C$45,3,0)</f>
        <v>1080</v>
      </c>
      <c r="G623" s="7">
        <f t="shared" si="18"/>
        <v>1080</v>
      </c>
      <c r="H623" s="7" t="s">
        <v>0</v>
      </c>
      <c r="I623" s="7" cm="1">
        <f t="array" ref="I623">_xlfn.IFS(H623="25-50%",230,H623="Top 25 %",260,H623="50-75%",200,H623="Last 25%",170,H623="Retire",150)</f>
        <v>170</v>
      </c>
      <c r="J623" s="15">
        <f t="shared" si="19"/>
        <v>183600</v>
      </c>
    </row>
    <row r="624" spans="1:10" x14ac:dyDescent="0.3">
      <c r="A624" s="7" t="s">
        <v>676</v>
      </c>
      <c r="B624" s="7" t="str">
        <f>_xlfn.XLOOKUP(A624,'Vendor code- SKU mapping'!$B$1:$B$806,'Vendor code- SKU mapping'!$A$1:$A$806)</f>
        <v>ISte</v>
      </c>
      <c r="C624" s="7">
        <f>VLOOKUP(B624,'Vendor -MOQ- Lead time'!$A$2:$B$45,2,0)</f>
        <v>45</v>
      </c>
      <c r="D624" s="13">
        <f>ROUND(IF('Task 2'!G624&lt;0,ABS('Task 2'!G624),0),0)</f>
        <v>0</v>
      </c>
      <c r="E624" s="7">
        <f>ROUND('Task 2'!D624*'Task 3'!C624,0)</f>
        <v>3</v>
      </c>
      <c r="F624" s="7">
        <f>VLOOKUP(B624,'Vendor -MOQ- Lead time'!$A$2:$C$45,3,0)</f>
        <v>270</v>
      </c>
      <c r="G624" s="7">
        <f t="shared" si="18"/>
        <v>270</v>
      </c>
      <c r="H624" s="7" t="s">
        <v>0</v>
      </c>
      <c r="I624" s="7" cm="1">
        <f t="array" ref="I624">_xlfn.IFS(H624="25-50%",230,H624="Top 25 %",260,H624="50-75%",200,H624="Last 25%",170,H624="Retire",150)</f>
        <v>170</v>
      </c>
      <c r="J624" s="15">
        <f t="shared" si="19"/>
        <v>45900</v>
      </c>
    </row>
    <row r="625" spans="1:10" x14ac:dyDescent="0.3">
      <c r="A625" s="7" t="s">
        <v>677</v>
      </c>
      <c r="B625" s="7" t="str">
        <f>_xlfn.XLOOKUP(A625,'Vendor code- SKU mapping'!$B$1:$B$806,'Vendor code- SKU mapping'!$A$1:$A$806)</f>
        <v>OSha</v>
      </c>
      <c r="C625" s="7">
        <f>VLOOKUP(B625,'Vendor -MOQ- Lead time'!$A$2:$B$45,2,0)</f>
        <v>45</v>
      </c>
      <c r="D625" s="13">
        <f>ROUND(IF('Task 2'!G625&lt;0,ABS('Task 2'!G625),0),0)</f>
        <v>0</v>
      </c>
      <c r="E625" s="7">
        <f>ROUND('Task 2'!D625*'Task 3'!C625,0)</f>
        <v>5</v>
      </c>
      <c r="F625" s="7">
        <f>VLOOKUP(B625,'Vendor -MOQ- Lead time'!$A$2:$C$45,3,0)</f>
        <v>270</v>
      </c>
      <c r="G625" s="7">
        <f t="shared" si="18"/>
        <v>270</v>
      </c>
      <c r="H625" s="7" t="s">
        <v>0</v>
      </c>
      <c r="I625" s="7" cm="1">
        <f t="array" ref="I625">_xlfn.IFS(H625="25-50%",230,H625="Top 25 %",260,H625="50-75%",200,H625="Last 25%",170,H625="Retire",150)</f>
        <v>170</v>
      </c>
      <c r="J625" s="15">
        <f t="shared" si="19"/>
        <v>45900</v>
      </c>
    </row>
    <row r="626" spans="1:10" x14ac:dyDescent="0.3">
      <c r="A626" s="7" t="s">
        <v>678</v>
      </c>
      <c r="B626" s="7" t="str">
        <f>_xlfn.XLOOKUP(A626,'Vendor code- SKU mapping'!$B$1:$B$806,'Vendor code- SKU mapping'!$A$1:$A$806)</f>
        <v>AAFC</v>
      </c>
      <c r="C626" s="7">
        <f>VLOOKUP(B626,'Vendor -MOQ- Lead time'!$A$2:$B$45,2,0)</f>
        <v>45</v>
      </c>
      <c r="D626" s="13">
        <f>ROUND(IF('Task 2'!G626&lt;0,ABS('Task 2'!G626),0),0)</f>
        <v>0</v>
      </c>
      <c r="E626" s="7">
        <f>ROUND('Task 2'!D626*'Task 3'!C626,0)</f>
        <v>2</v>
      </c>
      <c r="F626" s="7">
        <f>VLOOKUP(B626,'Vendor -MOQ- Lead time'!$A$2:$C$45,3,0)</f>
        <v>270</v>
      </c>
      <c r="G626" s="7">
        <f t="shared" si="18"/>
        <v>270</v>
      </c>
      <c r="H626" s="7" t="s">
        <v>0</v>
      </c>
      <c r="I626" s="7" cm="1">
        <f t="array" ref="I626">_xlfn.IFS(H626="25-50%",230,H626="Top 25 %",260,H626="50-75%",200,H626="Last 25%",170,H626="Retire",150)</f>
        <v>170</v>
      </c>
      <c r="J626" s="15">
        <f t="shared" si="19"/>
        <v>45900</v>
      </c>
    </row>
    <row r="627" spans="1:10" x14ac:dyDescent="0.3">
      <c r="A627" s="7" t="s">
        <v>679</v>
      </c>
      <c r="B627" s="7" t="str">
        <f>_xlfn.XLOOKUP(A627,'Vendor code- SKU mapping'!$B$1:$B$806,'Vendor code- SKU mapping'!$A$1:$A$806)</f>
        <v>IWal</v>
      </c>
      <c r="C627" s="7">
        <f>VLOOKUP(B627,'Vendor -MOQ- Lead time'!$A$2:$B$45,2,0)</f>
        <v>45</v>
      </c>
      <c r="D627" s="13">
        <f>ROUND(IF('Task 2'!G627&lt;0,ABS('Task 2'!G627),0),0)</f>
        <v>0</v>
      </c>
      <c r="E627" s="7">
        <f>ROUND('Task 2'!D627*'Task 3'!C627,0)</f>
        <v>3</v>
      </c>
      <c r="F627" s="7">
        <f>VLOOKUP(B627,'Vendor -MOQ- Lead time'!$A$2:$C$45,3,0)</f>
        <v>270</v>
      </c>
      <c r="G627" s="7">
        <f t="shared" si="18"/>
        <v>270</v>
      </c>
      <c r="H627" s="7" t="s">
        <v>0</v>
      </c>
      <c r="I627" s="7" cm="1">
        <f t="array" ref="I627">_xlfn.IFS(H627="25-50%",230,H627="Top 25 %",260,H627="50-75%",200,H627="Last 25%",170,H627="Retire",150)</f>
        <v>170</v>
      </c>
      <c r="J627" s="15">
        <f t="shared" si="19"/>
        <v>45900</v>
      </c>
    </row>
    <row r="628" spans="1:10" x14ac:dyDescent="0.3">
      <c r="A628" s="7" t="s">
        <v>680</v>
      </c>
      <c r="B628" s="7" t="str">
        <f>_xlfn.XLOOKUP(A628,'Vendor code- SKU mapping'!$B$1:$B$806,'Vendor code- SKU mapping'!$A$1:$A$806)</f>
        <v>IVS</v>
      </c>
      <c r="C628" s="7">
        <f>VLOOKUP(B628,'Vendor -MOQ- Lead time'!$A$2:$B$45,2,0)</f>
        <v>30</v>
      </c>
      <c r="D628" s="13">
        <f>ROUND(IF('Task 2'!G628&lt;0,ABS('Task 2'!G628),0),0)</f>
        <v>0</v>
      </c>
      <c r="E628" s="7">
        <f>ROUND('Task 2'!D628*'Task 3'!C628,0)</f>
        <v>2</v>
      </c>
      <c r="F628" s="7">
        <f>VLOOKUP(B628,'Vendor -MOQ- Lead time'!$A$2:$C$45,3,0)</f>
        <v>180</v>
      </c>
      <c r="G628" s="7">
        <f t="shared" si="18"/>
        <v>180</v>
      </c>
      <c r="H628" s="7" t="s">
        <v>0</v>
      </c>
      <c r="I628" s="7" cm="1">
        <f t="array" ref="I628">_xlfn.IFS(H628="25-50%",230,H628="Top 25 %",260,H628="50-75%",200,H628="Last 25%",170,H628="Retire",150)</f>
        <v>170</v>
      </c>
      <c r="J628" s="15">
        <f t="shared" si="19"/>
        <v>30600</v>
      </c>
    </row>
    <row r="629" spans="1:10" x14ac:dyDescent="0.3">
      <c r="A629" s="7" t="s">
        <v>681</v>
      </c>
      <c r="B629" s="7" t="str">
        <f>_xlfn.XLOOKUP(A629,'Vendor code- SKU mapping'!$B$1:$B$806,'Vendor code- SKU mapping'!$A$1:$A$806)</f>
        <v>ISte</v>
      </c>
      <c r="C629" s="7">
        <f>VLOOKUP(B629,'Vendor -MOQ- Lead time'!$A$2:$B$45,2,0)</f>
        <v>45</v>
      </c>
      <c r="D629" s="13">
        <f>ROUND(IF('Task 2'!G629&lt;0,ABS('Task 2'!G629),0),0)</f>
        <v>0</v>
      </c>
      <c r="E629" s="7">
        <f>ROUND('Task 2'!D629*'Task 3'!C629,0)</f>
        <v>5</v>
      </c>
      <c r="F629" s="7">
        <f>VLOOKUP(B629,'Vendor -MOQ- Lead time'!$A$2:$C$45,3,0)</f>
        <v>270</v>
      </c>
      <c r="G629" s="7">
        <f t="shared" si="18"/>
        <v>270</v>
      </c>
      <c r="H629" s="7" t="s">
        <v>0</v>
      </c>
      <c r="I629" s="7" cm="1">
        <f t="array" ref="I629">_xlfn.IFS(H629="25-50%",230,H629="Top 25 %",260,H629="50-75%",200,H629="Last 25%",170,H629="Retire",150)</f>
        <v>170</v>
      </c>
      <c r="J629" s="15">
        <f t="shared" si="19"/>
        <v>45900</v>
      </c>
    </row>
    <row r="630" spans="1:10" x14ac:dyDescent="0.3">
      <c r="A630" s="7" t="s">
        <v>682</v>
      </c>
      <c r="B630" s="7" t="str">
        <f>_xlfn.XLOOKUP(A630,'Vendor code- SKU mapping'!$B$1:$B$806,'Vendor code- SKU mapping'!$A$1:$A$806)</f>
        <v>ISte</v>
      </c>
      <c r="C630" s="7">
        <f>VLOOKUP(B630,'Vendor -MOQ- Lead time'!$A$2:$B$45,2,0)</f>
        <v>45</v>
      </c>
      <c r="D630" s="13">
        <f>ROUND(IF('Task 2'!G630&lt;0,ABS('Task 2'!G630),0),0)</f>
        <v>0</v>
      </c>
      <c r="E630" s="7">
        <f>ROUND('Task 2'!D630*'Task 3'!C630,0)</f>
        <v>3</v>
      </c>
      <c r="F630" s="7">
        <f>VLOOKUP(B630,'Vendor -MOQ- Lead time'!$A$2:$C$45,3,0)</f>
        <v>270</v>
      </c>
      <c r="G630" s="7">
        <f t="shared" si="18"/>
        <v>270</v>
      </c>
      <c r="H630" s="7" t="s">
        <v>0</v>
      </c>
      <c r="I630" s="7" cm="1">
        <f t="array" ref="I630">_xlfn.IFS(H630="25-50%",230,H630="Top 25 %",260,H630="50-75%",200,H630="Last 25%",170,H630="Retire",150)</f>
        <v>170</v>
      </c>
      <c r="J630" s="15">
        <f t="shared" si="19"/>
        <v>45900</v>
      </c>
    </row>
    <row r="631" spans="1:10" x14ac:dyDescent="0.3">
      <c r="A631" s="7" t="s">
        <v>683</v>
      </c>
      <c r="B631" s="7" t="str">
        <f>_xlfn.XLOOKUP(A631,'Vendor code- SKU mapping'!$B$1:$B$806,'Vendor code- SKU mapping'!$A$1:$A$806)</f>
        <v>EGV</v>
      </c>
      <c r="C631" s="7">
        <f>VLOOKUP(B631,'Vendor -MOQ- Lead time'!$A$2:$B$45,2,0)</f>
        <v>45</v>
      </c>
      <c r="D631" s="13">
        <f>ROUND(IF('Task 2'!G631&lt;0,ABS('Task 2'!G631),0),0)</f>
        <v>0</v>
      </c>
      <c r="E631" s="7">
        <f>ROUND('Task 2'!D631*'Task 3'!C631,0)</f>
        <v>6</v>
      </c>
      <c r="F631" s="7">
        <f>VLOOKUP(B631,'Vendor -MOQ- Lead time'!$A$2:$C$45,3,0)</f>
        <v>270</v>
      </c>
      <c r="G631" s="7">
        <f t="shared" si="18"/>
        <v>270</v>
      </c>
      <c r="H631" s="7" t="s">
        <v>0</v>
      </c>
      <c r="I631" s="7" cm="1">
        <f t="array" ref="I631">_xlfn.IFS(H631="25-50%",230,H631="Top 25 %",260,H631="50-75%",200,H631="Last 25%",170,H631="Retire",150)</f>
        <v>170</v>
      </c>
      <c r="J631" s="15">
        <f t="shared" si="19"/>
        <v>45900</v>
      </c>
    </row>
    <row r="632" spans="1:10" x14ac:dyDescent="0.3">
      <c r="A632" s="7" t="s">
        <v>684</v>
      </c>
      <c r="B632" s="7" t="str">
        <f>_xlfn.XLOOKUP(A632,'Vendor code- SKU mapping'!$B$1:$B$806,'Vendor code- SKU mapping'!$A$1:$A$806)</f>
        <v>AAma</v>
      </c>
      <c r="C632" s="7">
        <f>VLOOKUP(B632,'Vendor -MOQ- Lead time'!$A$2:$B$45,2,0)</f>
        <v>45</v>
      </c>
      <c r="D632" s="13">
        <f>ROUND(IF('Task 2'!G632&lt;0,ABS('Task 2'!G632),0),0)</f>
        <v>0</v>
      </c>
      <c r="E632" s="7">
        <f>ROUND('Task 2'!D632*'Task 3'!C632,0)</f>
        <v>6</v>
      </c>
      <c r="F632" s="7">
        <f>VLOOKUP(B632,'Vendor -MOQ- Lead time'!$A$2:$C$45,3,0)</f>
        <v>270</v>
      </c>
      <c r="G632" s="7">
        <f t="shared" si="18"/>
        <v>270</v>
      </c>
      <c r="H632" s="7" t="s">
        <v>0</v>
      </c>
      <c r="I632" s="7" cm="1">
        <f t="array" ref="I632">_xlfn.IFS(H632="25-50%",230,H632="Top 25 %",260,H632="50-75%",200,H632="Last 25%",170,H632="Retire",150)</f>
        <v>170</v>
      </c>
      <c r="J632" s="15">
        <f t="shared" si="19"/>
        <v>45900</v>
      </c>
    </row>
    <row r="633" spans="1:10" x14ac:dyDescent="0.3">
      <c r="A633" s="7" t="s">
        <v>685</v>
      </c>
      <c r="B633" s="7" t="str">
        <f>_xlfn.XLOOKUP(A633,'Vendor code- SKU mapping'!$B$1:$B$806,'Vendor code- SKU mapping'!$A$1:$A$806)</f>
        <v>OSAI</v>
      </c>
      <c r="C633" s="7">
        <f>VLOOKUP(B633,'Vendor -MOQ- Lead time'!$A$2:$B$45,2,0)</f>
        <v>30</v>
      </c>
      <c r="D633" s="13">
        <f>ROUND(IF('Task 2'!G633&lt;0,ABS('Task 2'!G633),0),0)</f>
        <v>0</v>
      </c>
      <c r="E633" s="7">
        <f>ROUND('Task 2'!D633*'Task 3'!C633,0)</f>
        <v>5</v>
      </c>
      <c r="F633" s="7">
        <f>VLOOKUP(B633,'Vendor -MOQ- Lead time'!$A$2:$C$45,3,0)</f>
        <v>180</v>
      </c>
      <c r="G633" s="7">
        <f t="shared" si="18"/>
        <v>180</v>
      </c>
      <c r="H633" s="7" t="s">
        <v>0</v>
      </c>
      <c r="I633" s="7" cm="1">
        <f t="array" ref="I633">_xlfn.IFS(H633="25-50%",230,H633="Top 25 %",260,H633="50-75%",200,H633="Last 25%",170,H633="Retire",150)</f>
        <v>170</v>
      </c>
      <c r="J633" s="15">
        <f t="shared" si="19"/>
        <v>30600</v>
      </c>
    </row>
    <row r="634" spans="1:10" x14ac:dyDescent="0.3">
      <c r="A634" s="7" t="s">
        <v>686</v>
      </c>
      <c r="B634" s="7" t="str">
        <f>_xlfn.XLOOKUP(A634,'Vendor code- SKU mapping'!$B$1:$B$806,'Vendor code- SKU mapping'!$A$1:$A$806)</f>
        <v>IUni</v>
      </c>
      <c r="C634" s="7">
        <f>VLOOKUP(B634,'Vendor -MOQ- Lead time'!$A$2:$B$45,2,0)</f>
        <v>90</v>
      </c>
      <c r="D634" s="13">
        <f>ROUND(IF('Task 2'!G634&lt;0,ABS('Task 2'!G634),0),0)</f>
        <v>0</v>
      </c>
      <c r="E634" s="7">
        <f>ROUND('Task 2'!D634*'Task 3'!C634,0)</f>
        <v>0</v>
      </c>
      <c r="F634" s="7">
        <f>VLOOKUP(B634,'Vendor -MOQ- Lead time'!$A$2:$C$45,3,0)</f>
        <v>1440</v>
      </c>
      <c r="G634" s="7">
        <f t="shared" si="18"/>
        <v>0</v>
      </c>
      <c r="H634" s="7" t="s">
        <v>0</v>
      </c>
      <c r="I634" s="7" cm="1">
        <f t="array" ref="I634">_xlfn.IFS(H634="25-50%",230,H634="Top 25 %",260,H634="50-75%",200,H634="Last 25%",170,H634="Retire",150)</f>
        <v>170</v>
      </c>
      <c r="J634" s="15">
        <f t="shared" si="19"/>
        <v>0</v>
      </c>
    </row>
    <row r="635" spans="1:10" x14ac:dyDescent="0.3">
      <c r="A635" s="7" t="s">
        <v>687</v>
      </c>
      <c r="B635" s="7" t="str">
        <f>_xlfn.XLOOKUP(A635,'Vendor code- SKU mapping'!$B$1:$B$806,'Vendor code- SKU mapping'!$A$1:$A$806)</f>
        <v>IUni</v>
      </c>
      <c r="C635" s="7">
        <f>VLOOKUP(B635,'Vendor -MOQ- Lead time'!$A$2:$B$45,2,0)</f>
        <v>90</v>
      </c>
      <c r="D635" s="13">
        <f>ROUND(IF('Task 2'!G635&lt;0,ABS('Task 2'!G635),0),0)</f>
        <v>0</v>
      </c>
      <c r="E635" s="7">
        <f>ROUND('Task 2'!D635*'Task 3'!C635,0)</f>
        <v>0</v>
      </c>
      <c r="F635" s="7">
        <f>VLOOKUP(B635,'Vendor -MOQ- Lead time'!$A$2:$C$45,3,0)</f>
        <v>1440</v>
      </c>
      <c r="G635" s="7">
        <f t="shared" si="18"/>
        <v>0</v>
      </c>
      <c r="H635" s="7" t="s">
        <v>0</v>
      </c>
      <c r="I635" s="7" cm="1">
        <f t="array" ref="I635">_xlfn.IFS(H635="25-50%",230,H635="Top 25 %",260,H635="50-75%",200,H635="Last 25%",170,H635="Retire",150)</f>
        <v>170</v>
      </c>
      <c r="J635" s="15">
        <f t="shared" si="19"/>
        <v>0</v>
      </c>
    </row>
    <row r="636" spans="1:10" x14ac:dyDescent="0.3">
      <c r="A636" s="7" t="s">
        <v>688</v>
      </c>
      <c r="B636" s="7" t="str">
        <f>_xlfn.XLOOKUP(A636,'Vendor code- SKU mapping'!$B$1:$B$806,'Vendor code- SKU mapping'!$A$1:$A$806)</f>
        <v>ONex</v>
      </c>
      <c r="C636" s="7">
        <f>VLOOKUP(B636,'Vendor -MOQ- Lead time'!$A$2:$B$45,2,0)</f>
        <v>90</v>
      </c>
      <c r="D636" s="13">
        <f>ROUND(IF('Task 2'!G636&lt;0,ABS('Task 2'!G636),0),0)</f>
        <v>0</v>
      </c>
      <c r="E636" s="7">
        <f>ROUND('Task 2'!D636*'Task 3'!C636,0)</f>
        <v>0</v>
      </c>
      <c r="F636" s="7">
        <f>VLOOKUP(B636,'Vendor -MOQ- Lead time'!$A$2:$C$45,3,0)</f>
        <v>1440</v>
      </c>
      <c r="G636" s="7">
        <f t="shared" si="18"/>
        <v>0</v>
      </c>
      <c r="H636" s="7" t="s">
        <v>0</v>
      </c>
      <c r="I636" s="7" cm="1">
        <f t="array" ref="I636">_xlfn.IFS(H636="25-50%",230,H636="Top 25 %",260,H636="50-75%",200,H636="Last 25%",170,H636="Retire",150)</f>
        <v>170</v>
      </c>
      <c r="J636" s="15">
        <f t="shared" si="19"/>
        <v>0</v>
      </c>
    </row>
    <row r="637" spans="1:10" x14ac:dyDescent="0.3">
      <c r="A637" s="7" t="s">
        <v>689</v>
      </c>
      <c r="B637" s="7" t="str">
        <f>_xlfn.XLOOKUP(A637,'Vendor code- SKU mapping'!$B$1:$B$806,'Vendor code- SKU mapping'!$A$1:$A$806)</f>
        <v>IStu</v>
      </c>
      <c r="C637" s="7">
        <f>VLOOKUP(B637,'Vendor -MOQ- Lead time'!$A$2:$B$45,2,0)</f>
        <v>30</v>
      </c>
      <c r="D637" s="13">
        <f>ROUND(IF('Task 2'!G637&lt;0,ABS('Task 2'!G637),0),0)</f>
        <v>0</v>
      </c>
      <c r="E637" s="7">
        <f>ROUND('Task 2'!D637*'Task 3'!C637,0)</f>
        <v>0</v>
      </c>
      <c r="F637" s="7">
        <f>VLOOKUP(B637,'Vendor -MOQ- Lead time'!$A$2:$C$45,3,0)</f>
        <v>180</v>
      </c>
      <c r="G637" s="7">
        <f t="shared" si="18"/>
        <v>0</v>
      </c>
      <c r="H637" s="7" t="s">
        <v>0</v>
      </c>
      <c r="I637" s="7" cm="1">
        <f t="array" ref="I637">_xlfn.IFS(H637="25-50%",230,H637="Top 25 %",260,H637="50-75%",200,H637="Last 25%",170,H637="Retire",150)</f>
        <v>170</v>
      </c>
      <c r="J637" s="15">
        <f t="shared" si="19"/>
        <v>0</v>
      </c>
    </row>
    <row r="638" spans="1:10" x14ac:dyDescent="0.3">
      <c r="A638" s="7" t="s">
        <v>690</v>
      </c>
      <c r="B638" s="7" t="str">
        <f>_xlfn.XLOOKUP(A638,'Vendor code- SKU mapping'!$B$1:$B$806,'Vendor code- SKU mapping'!$A$1:$A$806)</f>
        <v>IStu</v>
      </c>
      <c r="C638" s="7">
        <f>VLOOKUP(B638,'Vendor -MOQ- Lead time'!$A$2:$B$45,2,0)</f>
        <v>30</v>
      </c>
      <c r="D638" s="13">
        <f>ROUND(IF('Task 2'!G638&lt;0,ABS('Task 2'!G638),0),0)</f>
        <v>0</v>
      </c>
      <c r="E638" s="7">
        <f>ROUND('Task 2'!D638*'Task 3'!C638,0)</f>
        <v>0</v>
      </c>
      <c r="F638" s="7">
        <f>VLOOKUP(B638,'Vendor -MOQ- Lead time'!$A$2:$C$45,3,0)</f>
        <v>180</v>
      </c>
      <c r="G638" s="7">
        <f t="shared" si="18"/>
        <v>0</v>
      </c>
      <c r="H638" s="7" t="s">
        <v>0</v>
      </c>
      <c r="I638" s="7" cm="1">
        <f t="array" ref="I638">_xlfn.IFS(H638="25-50%",230,H638="Top 25 %",260,H638="50-75%",200,H638="Last 25%",170,H638="Retire",150)</f>
        <v>170</v>
      </c>
      <c r="J638" s="15">
        <f t="shared" si="19"/>
        <v>0</v>
      </c>
    </row>
    <row r="639" spans="1:10" x14ac:dyDescent="0.3">
      <c r="A639" s="7" t="s">
        <v>691</v>
      </c>
      <c r="B639" s="7" t="str">
        <f>_xlfn.XLOOKUP(A639,'Vendor code- SKU mapping'!$B$1:$B$806,'Vendor code- SKU mapping'!$A$1:$A$806)</f>
        <v>IStu</v>
      </c>
      <c r="C639" s="7">
        <f>VLOOKUP(B639,'Vendor -MOQ- Lead time'!$A$2:$B$45,2,0)</f>
        <v>30</v>
      </c>
      <c r="D639" s="13">
        <f>ROUND(IF('Task 2'!G639&lt;0,ABS('Task 2'!G639),0),0)</f>
        <v>0</v>
      </c>
      <c r="E639" s="7">
        <f>ROUND('Task 2'!D639*'Task 3'!C639,0)</f>
        <v>0</v>
      </c>
      <c r="F639" s="7">
        <f>VLOOKUP(B639,'Vendor -MOQ- Lead time'!$A$2:$C$45,3,0)</f>
        <v>180</v>
      </c>
      <c r="G639" s="7">
        <f t="shared" si="18"/>
        <v>0</v>
      </c>
      <c r="H639" s="7" t="s">
        <v>0</v>
      </c>
      <c r="I639" s="7" cm="1">
        <f t="array" ref="I639">_xlfn.IFS(H639="25-50%",230,H639="Top 25 %",260,H639="50-75%",200,H639="Last 25%",170,H639="Retire",150)</f>
        <v>170</v>
      </c>
      <c r="J639" s="15">
        <f t="shared" si="19"/>
        <v>0</v>
      </c>
    </row>
    <row r="640" spans="1:10" x14ac:dyDescent="0.3">
      <c r="A640" s="7" t="s">
        <v>692</v>
      </c>
      <c r="B640" s="7" t="str">
        <f>_xlfn.XLOOKUP(A640,'Vendor code- SKU mapping'!$B$1:$B$806,'Vendor code- SKU mapping'!$A$1:$A$806)</f>
        <v>IStu</v>
      </c>
      <c r="C640" s="7">
        <f>VLOOKUP(B640,'Vendor -MOQ- Lead time'!$A$2:$B$45,2,0)</f>
        <v>30</v>
      </c>
      <c r="D640" s="13">
        <f>ROUND(IF('Task 2'!G640&lt;0,ABS('Task 2'!G640),0),0)</f>
        <v>0</v>
      </c>
      <c r="E640" s="7">
        <f>ROUND('Task 2'!D640*'Task 3'!C640,0)</f>
        <v>0</v>
      </c>
      <c r="F640" s="7">
        <f>VLOOKUP(B640,'Vendor -MOQ- Lead time'!$A$2:$C$45,3,0)</f>
        <v>180</v>
      </c>
      <c r="G640" s="7">
        <f t="shared" si="18"/>
        <v>0</v>
      </c>
      <c r="H640" s="7" t="s">
        <v>0</v>
      </c>
      <c r="I640" s="7" cm="1">
        <f t="array" ref="I640">_xlfn.IFS(H640="25-50%",230,H640="Top 25 %",260,H640="50-75%",200,H640="Last 25%",170,H640="Retire",150)</f>
        <v>170</v>
      </c>
      <c r="J640" s="15">
        <f t="shared" si="19"/>
        <v>0</v>
      </c>
    </row>
    <row r="641" spans="1:10" x14ac:dyDescent="0.3">
      <c r="A641" s="7" t="s">
        <v>693</v>
      </c>
      <c r="B641" s="7" t="str">
        <f>_xlfn.XLOOKUP(A641,'Vendor code- SKU mapping'!$B$1:$B$806,'Vendor code- SKU mapping'!$A$1:$A$806)</f>
        <v>IStu</v>
      </c>
      <c r="C641" s="7">
        <f>VLOOKUP(B641,'Vendor -MOQ- Lead time'!$A$2:$B$45,2,0)</f>
        <v>30</v>
      </c>
      <c r="D641" s="13">
        <f>ROUND(IF('Task 2'!G641&lt;0,ABS('Task 2'!G641),0),0)</f>
        <v>0</v>
      </c>
      <c r="E641" s="7">
        <f>ROUND('Task 2'!D641*'Task 3'!C641,0)</f>
        <v>0</v>
      </c>
      <c r="F641" s="7">
        <f>VLOOKUP(B641,'Vendor -MOQ- Lead time'!$A$2:$C$45,3,0)</f>
        <v>180</v>
      </c>
      <c r="G641" s="7">
        <f t="shared" si="18"/>
        <v>0</v>
      </c>
      <c r="H641" s="7" t="s">
        <v>0</v>
      </c>
      <c r="I641" s="7" cm="1">
        <f t="array" ref="I641">_xlfn.IFS(H641="25-50%",230,H641="Top 25 %",260,H641="50-75%",200,H641="Last 25%",170,H641="Retire",150)</f>
        <v>170</v>
      </c>
      <c r="J641" s="15">
        <f t="shared" si="19"/>
        <v>0</v>
      </c>
    </row>
    <row r="642" spans="1:10" x14ac:dyDescent="0.3">
      <c r="A642" s="7" t="s">
        <v>694</v>
      </c>
      <c r="B642" s="7" t="str">
        <f>_xlfn.XLOOKUP(A642,'Vendor code- SKU mapping'!$B$1:$B$806,'Vendor code- SKU mapping'!$A$1:$A$806)</f>
        <v>IStu</v>
      </c>
      <c r="C642" s="7">
        <f>VLOOKUP(B642,'Vendor -MOQ- Lead time'!$A$2:$B$45,2,0)</f>
        <v>30</v>
      </c>
      <c r="D642" s="13">
        <f>ROUND(IF('Task 2'!G642&lt;0,ABS('Task 2'!G642),0),0)</f>
        <v>0</v>
      </c>
      <c r="E642" s="7">
        <f>ROUND('Task 2'!D642*'Task 3'!C642,0)</f>
        <v>0</v>
      </c>
      <c r="F642" s="7">
        <f>VLOOKUP(B642,'Vendor -MOQ- Lead time'!$A$2:$C$45,3,0)</f>
        <v>180</v>
      </c>
      <c r="G642" s="7">
        <f t="shared" si="18"/>
        <v>0</v>
      </c>
      <c r="H642" s="7" t="s">
        <v>0</v>
      </c>
      <c r="I642" s="7" cm="1">
        <f t="array" ref="I642">_xlfn.IFS(H642="25-50%",230,H642="Top 25 %",260,H642="50-75%",200,H642="Last 25%",170,H642="Retire",150)</f>
        <v>170</v>
      </c>
      <c r="J642" s="15">
        <f t="shared" si="19"/>
        <v>0</v>
      </c>
    </row>
    <row r="643" spans="1:10" x14ac:dyDescent="0.3">
      <c r="A643" s="7" t="s">
        <v>695</v>
      </c>
      <c r="B643" s="7" t="str">
        <f>_xlfn.XLOOKUP(A643,'Vendor code- SKU mapping'!$B$1:$B$806,'Vendor code- SKU mapping'!$A$1:$A$806)</f>
        <v>IStu</v>
      </c>
      <c r="C643" s="7">
        <f>VLOOKUP(B643,'Vendor -MOQ- Lead time'!$A$2:$B$45,2,0)</f>
        <v>30</v>
      </c>
      <c r="D643" s="13">
        <f>ROUND(IF('Task 2'!G643&lt;0,ABS('Task 2'!G643),0),0)</f>
        <v>0</v>
      </c>
      <c r="E643" s="7">
        <f>ROUND('Task 2'!D643*'Task 3'!C643,0)</f>
        <v>0</v>
      </c>
      <c r="F643" s="7">
        <f>VLOOKUP(B643,'Vendor -MOQ- Lead time'!$A$2:$C$45,3,0)</f>
        <v>180</v>
      </c>
      <c r="G643" s="7">
        <f t="shared" ref="G643:G706" si="20">CEILING(D643+E643,F643)</f>
        <v>0</v>
      </c>
      <c r="H643" s="7" t="s">
        <v>0</v>
      </c>
      <c r="I643" s="7" cm="1">
        <f t="array" ref="I643">_xlfn.IFS(H643="25-50%",230,H643="Top 25 %",260,H643="50-75%",200,H643="Last 25%",170,H643="Retire",150)</f>
        <v>170</v>
      </c>
      <c r="J643" s="15">
        <f t="shared" ref="J643:J706" si="21">G643*I643</f>
        <v>0</v>
      </c>
    </row>
    <row r="644" spans="1:10" x14ac:dyDescent="0.3">
      <c r="A644" s="7" t="s">
        <v>696</v>
      </c>
      <c r="B644" s="7" t="str">
        <f>_xlfn.XLOOKUP(A644,'Vendor code- SKU mapping'!$B$1:$B$806,'Vendor code- SKU mapping'!$A$1:$A$806)</f>
        <v>IStu</v>
      </c>
      <c r="C644" s="7">
        <f>VLOOKUP(B644,'Vendor -MOQ- Lead time'!$A$2:$B$45,2,0)</f>
        <v>30</v>
      </c>
      <c r="D644" s="13">
        <f>ROUND(IF('Task 2'!G644&lt;0,ABS('Task 2'!G644),0),0)</f>
        <v>0</v>
      </c>
      <c r="E644" s="7">
        <f>ROUND('Task 2'!D644*'Task 3'!C644,0)</f>
        <v>0</v>
      </c>
      <c r="F644" s="7">
        <f>VLOOKUP(B644,'Vendor -MOQ- Lead time'!$A$2:$C$45,3,0)</f>
        <v>180</v>
      </c>
      <c r="G644" s="7">
        <f t="shared" si="20"/>
        <v>0</v>
      </c>
      <c r="H644" s="7" t="s">
        <v>0</v>
      </c>
      <c r="I644" s="7" cm="1">
        <f t="array" ref="I644">_xlfn.IFS(H644="25-50%",230,H644="Top 25 %",260,H644="50-75%",200,H644="Last 25%",170,H644="Retire",150)</f>
        <v>170</v>
      </c>
      <c r="J644" s="15">
        <f t="shared" si="21"/>
        <v>0</v>
      </c>
    </row>
    <row r="645" spans="1:10" x14ac:dyDescent="0.3">
      <c r="A645" s="7" t="s">
        <v>697</v>
      </c>
      <c r="B645" s="7" t="str">
        <f>_xlfn.XLOOKUP(A645,'Vendor code- SKU mapping'!$B$1:$B$806,'Vendor code- SKU mapping'!$A$1:$A$806)</f>
        <v>IStu</v>
      </c>
      <c r="C645" s="7">
        <f>VLOOKUP(B645,'Vendor -MOQ- Lead time'!$A$2:$B$45,2,0)</f>
        <v>30</v>
      </c>
      <c r="D645" s="13">
        <f>ROUND(IF('Task 2'!G645&lt;0,ABS('Task 2'!G645),0),0)</f>
        <v>0</v>
      </c>
      <c r="E645" s="7">
        <f>ROUND('Task 2'!D645*'Task 3'!C645,0)</f>
        <v>0</v>
      </c>
      <c r="F645" s="7">
        <f>VLOOKUP(B645,'Vendor -MOQ- Lead time'!$A$2:$C$45,3,0)</f>
        <v>180</v>
      </c>
      <c r="G645" s="7">
        <f t="shared" si="20"/>
        <v>0</v>
      </c>
      <c r="H645" s="7" t="s">
        <v>0</v>
      </c>
      <c r="I645" s="7" cm="1">
        <f t="array" ref="I645">_xlfn.IFS(H645="25-50%",230,H645="Top 25 %",260,H645="50-75%",200,H645="Last 25%",170,H645="Retire",150)</f>
        <v>170</v>
      </c>
      <c r="J645" s="15">
        <f t="shared" si="21"/>
        <v>0</v>
      </c>
    </row>
    <row r="646" spans="1:10" x14ac:dyDescent="0.3">
      <c r="A646" s="7" t="s">
        <v>698</v>
      </c>
      <c r="B646" s="7" t="str">
        <f>_xlfn.XLOOKUP(A646,'Vendor code- SKU mapping'!$B$1:$B$806,'Vendor code- SKU mapping'!$A$1:$A$806)</f>
        <v>IStu</v>
      </c>
      <c r="C646" s="7">
        <f>VLOOKUP(B646,'Vendor -MOQ- Lead time'!$A$2:$B$45,2,0)</f>
        <v>30</v>
      </c>
      <c r="D646" s="13">
        <f>ROUND(IF('Task 2'!G646&lt;0,ABS('Task 2'!G646),0),0)</f>
        <v>0</v>
      </c>
      <c r="E646" s="7">
        <f>ROUND('Task 2'!D646*'Task 3'!C646,0)</f>
        <v>1</v>
      </c>
      <c r="F646" s="7">
        <f>VLOOKUP(B646,'Vendor -MOQ- Lead time'!$A$2:$C$45,3,0)</f>
        <v>180</v>
      </c>
      <c r="G646" s="7">
        <f t="shared" si="20"/>
        <v>180</v>
      </c>
      <c r="H646" s="7" t="s">
        <v>0</v>
      </c>
      <c r="I646" s="7" cm="1">
        <f t="array" ref="I646">_xlfn.IFS(H646="25-50%",230,H646="Top 25 %",260,H646="50-75%",200,H646="Last 25%",170,H646="Retire",150)</f>
        <v>170</v>
      </c>
      <c r="J646" s="15">
        <f t="shared" si="21"/>
        <v>30600</v>
      </c>
    </row>
    <row r="647" spans="1:10" x14ac:dyDescent="0.3">
      <c r="A647" s="7" t="s">
        <v>699</v>
      </c>
      <c r="B647" s="7" t="str">
        <f>_xlfn.XLOOKUP(A647,'Vendor code- SKU mapping'!$B$1:$B$806,'Vendor code- SKU mapping'!$A$1:$A$806)</f>
        <v>IStu</v>
      </c>
      <c r="C647" s="7">
        <f>VLOOKUP(B647,'Vendor -MOQ- Lead time'!$A$2:$B$45,2,0)</f>
        <v>30</v>
      </c>
      <c r="D647" s="13">
        <f>ROUND(IF('Task 2'!G647&lt;0,ABS('Task 2'!G647),0),0)</f>
        <v>1</v>
      </c>
      <c r="E647" s="7">
        <f>ROUND('Task 2'!D647*'Task 3'!C647,0)</f>
        <v>1</v>
      </c>
      <c r="F647" s="7">
        <f>VLOOKUP(B647,'Vendor -MOQ- Lead time'!$A$2:$C$45,3,0)</f>
        <v>180</v>
      </c>
      <c r="G647" s="7">
        <f t="shared" si="20"/>
        <v>180</v>
      </c>
      <c r="H647" s="7" t="s">
        <v>0</v>
      </c>
      <c r="I647" s="7" cm="1">
        <f t="array" ref="I647">_xlfn.IFS(H647="25-50%",230,H647="Top 25 %",260,H647="50-75%",200,H647="Last 25%",170,H647="Retire",150)</f>
        <v>170</v>
      </c>
      <c r="J647" s="15">
        <f t="shared" si="21"/>
        <v>30600</v>
      </c>
    </row>
    <row r="648" spans="1:10" x14ac:dyDescent="0.3">
      <c r="A648" s="7" t="s">
        <v>700</v>
      </c>
      <c r="B648" s="7" t="str">
        <f>_xlfn.XLOOKUP(A648,'Vendor code- SKU mapping'!$B$1:$B$806,'Vendor code- SKU mapping'!$A$1:$A$806)</f>
        <v>IStu</v>
      </c>
      <c r="C648" s="7">
        <f>VLOOKUP(B648,'Vendor -MOQ- Lead time'!$A$2:$B$45,2,0)</f>
        <v>30</v>
      </c>
      <c r="D648" s="13">
        <f>ROUND(IF('Task 2'!G648&lt;0,ABS('Task 2'!G648),0),0)</f>
        <v>0</v>
      </c>
      <c r="E648" s="7">
        <f>ROUND('Task 2'!D648*'Task 3'!C648,0)</f>
        <v>0</v>
      </c>
      <c r="F648" s="7">
        <f>VLOOKUP(B648,'Vendor -MOQ- Lead time'!$A$2:$C$45,3,0)</f>
        <v>180</v>
      </c>
      <c r="G648" s="7">
        <f t="shared" si="20"/>
        <v>0</v>
      </c>
      <c r="H648" s="7" t="s">
        <v>0</v>
      </c>
      <c r="I648" s="7" cm="1">
        <f t="array" ref="I648">_xlfn.IFS(H648="25-50%",230,H648="Top 25 %",260,H648="50-75%",200,H648="Last 25%",170,H648="Retire",150)</f>
        <v>170</v>
      </c>
      <c r="J648" s="15">
        <f t="shared" si="21"/>
        <v>0</v>
      </c>
    </row>
    <row r="649" spans="1:10" x14ac:dyDescent="0.3">
      <c r="A649" s="7" t="s">
        <v>701</v>
      </c>
      <c r="B649" s="7" t="str">
        <f>_xlfn.XLOOKUP(A649,'Vendor code- SKU mapping'!$B$1:$B$806,'Vendor code- SKU mapping'!$A$1:$A$806)</f>
        <v>IStu</v>
      </c>
      <c r="C649" s="7">
        <f>VLOOKUP(B649,'Vendor -MOQ- Lead time'!$A$2:$B$45,2,0)</f>
        <v>30</v>
      </c>
      <c r="D649" s="13">
        <f>ROUND(IF('Task 2'!G649&lt;0,ABS('Task 2'!G649),0),0)</f>
        <v>0</v>
      </c>
      <c r="E649" s="7">
        <f>ROUND('Task 2'!D649*'Task 3'!C649,0)</f>
        <v>0</v>
      </c>
      <c r="F649" s="7">
        <f>VLOOKUP(B649,'Vendor -MOQ- Lead time'!$A$2:$C$45,3,0)</f>
        <v>180</v>
      </c>
      <c r="G649" s="7">
        <f t="shared" si="20"/>
        <v>0</v>
      </c>
      <c r="H649" s="7" t="s">
        <v>0</v>
      </c>
      <c r="I649" s="7" cm="1">
        <f t="array" ref="I649">_xlfn.IFS(H649="25-50%",230,H649="Top 25 %",260,H649="50-75%",200,H649="Last 25%",170,H649="Retire",150)</f>
        <v>170</v>
      </c>
      <c r="J649" s="15">
        <f t="shared" si="21"/>
        <v>0</v>
      </c>
    </row>
    <row r="650" spans="1:10" x14ac:dyDescent="0.3">
      <c r="A650" s="7" t="s">
        <v>702</v>
      </c>
      <c r="B650" s="7" t="str">
        <f>_xlfn.XLOOKUP(A650,'Vendor code- SKU mapping'!$B$1:$B$806,'Vendor code- SKU mapping'!$A$1:$A$806)</f>
        <v>IStu</v>
      </c>
      <c r="C650" s="7">
        <f>VLOOKUP(B650,'Vendor -MOQ- Lead time'!$A$2:$B$45,2,0)</f>
        <v>30</v>
      </c>
      <c r="D650" s="13">
        <f>ROUND(IF('Task 2'!G650&lt;0,ABS('Task 2'!G650),0),0)</f>
        <v>0</v>
      </c>
      <c r="E650" s="7">
        <f>ROUND('Task 2'!D650*'Task 3'!C650,0)</f>
        <v>0</v>
      </c>
      <c r="F650" s="7">
        <f>VLOOKUP(B650,'Vendor -MOQ- Lead time'!$A$2:$C$45,3,0)</f>
        <v>180</v>
      </c>
      <c r="G650" s="7">
        <f t="shared" si="20"/>
        <v>0</v>
      </c>
      <c r="H650" s="7" t="s">
        <v>0</v>
      </c>
      <c r="I650" s="7" cm="1">
        <f t="array" ref="I650">_xlfn.IFS(H650="25-50%",230,H650="Top 25 %",260,H650="50-75%",200,H650="Last 25%",170,H650="Retire",150)</f>
        <v>170</v>
      </c>
      <c r="J650" s="15">
        <f t="shared" si="21"/>
        <v>0</v>
      </c>
    </row>
    <row r="651" spans="1:10" x14ac:dyDescent="0.3">
      <c r="A651" s="7" t="s">
        <v>703</v>
      </c>
      <c r="B651" s="7" t="str">
        <f>_xlfn.XLOOKUP(A651,'Vendor code- SKU mapping'!$B$1:$B$806,'Vendor code- SKU mapping'!$A$1:$A$806)</f>
        <v>ISte</v>
      </c>
      <c r="C651" s="7">
        <f>VLOOKUP(B651,'Vendor -MOQ- Lead time'!$A$2:$B$45,2,0)</f>
        <v>45</v>
      </c>
      <c r="D651" s="13">
        <f>ROUND(IF('Task 2'!G651&lt;0,ABS('Task 2'!G651),0),0)</f>
        <v>0</v>
      </c>
      <c r="E651" s="7">
        <f>ROUND('Task 2'!D651*'Task 3'!C651,0)</f>
        <v>2</v>
      </c>
      <c r="F651" s="7">
        <f>VLOOKUP(B651,'Vendor -MOQ- Lead time'!$A$2:$C$45,3,0)</f>
        <v>270</v>
      </c>
      <c r="G651" s="7">
        <f t="shared" si="20"/>
        <v>270</v>
      </c>
      <c r="H651" s="7" t="s">
        <v>0</v>
      </c>
      <c r="I651" s="7" cm="1">
        <f t="array" ref="I651">_xlfn.IFS(H651="25-50%",230,H651="Top 25 %",260,H651="50-75%",200,H651="Last 25%",170,H651="Retire",150)</f>
        <v>170</v>
      </c>
      <c r="J651" s="15">
        <f t="shared" si="21"/>
        <v>45900</v>
      </c>
    </row>
    <row r="652" spans="1:10" x14ac:dyDescent="0.3">
      <c r="A652" s="7" t="s">
        <v>704</v>
      </c>
      <c r="B652" s="7" t="str">
        <f>_xlfn.XLOOKUP(A652,'Vendor code- SKU mapping'!$B$1:$B$806,'Vendor code- SKU mapping'!$A$1:$A$806)</f>
        <v>ISte</v>
      </c>
      <c r="C652" s="7">
        <f>VLOOKUP(B652,'Vendor -MOQ- Lead time'!$A$2:$B$45,2,0)</f>
        <v>45</v>
      </c>
      <c r="D652" s="13">
        <f>ROUND(IF('Task 2'!G652&lt;0,ABS('Task 2'!G652),0),0)</f>
        <v>0</v>
      </c>
      <c r="E652" s="7">
        <f>ROUND('Task 2'!D652*'Task 3'!C652,0)</f>
        <v>0</v>
      </c>
      <c r="F652" s="7">
        <f>VLOOKUP(B652,'Vendor -MOQ- Lead time'!$A$2:$C$45,3,0)</f>
        <v>270</v>
      </c>
      <c r="G652" s="7">
        <f t="shared" si="20"/>
        <v>0</v>
      </c>
      <c r="H652" s="7" t="s">
        <v>0</v>
      </c>
      <c r="I652" s="7" cm="1">
        <f t="array" ref="I652">_xlfn.IFS(H652="25-50%",230,H652="Top 25 %",260,H652="50-75%",200,H652="Last 25%",170,H652="Retire",150)</f>
        <v>170</v>
      </c>
      <c r="J652" s="15">
        <f t="shared" si="21"/>
        <v>0</v>
      </c>
    </row>
    <row r="653" spans="1:10" x14ac:dyDescent="0.3">
      <c r="A653" s="7" t="s">
        <v>705</v>
      </c>
      <c r="B653" s="7" t="str">
        <f>_xlfn.XLOOKUP(A653,'Vendor code- SKU mapping'!$B$1:$B$806,'Vendor code- SKU mapping'!$A$1:$A$806)</f>
        <v>ORoy</v>
      </c>
      <c r="C653" s="7">
        <f>VLOOKUP(B653,'Vendor -MOQ- Lead time'!$A$2:$B$45,2,0)</f>
        <v>45</v>
      </c>
      <c r="D653" s="13">
        <f>ROUND(IF('Task 2'!G653&lt;0,ABS('Task 2'!G653),0),0)</f>
        <v>0</v>
      </c>
      <c r="E653" s="7">
        <f>ROUND('Task 2'!D653*'Task 3'!C653,0)</f>
        <v>0</v>
      </c>
      <c r="F653" s="7">
        <f>VLOOKUP(B653,'Vendor -MOQ- Lead time'!$A$2:$C$45,3,0)</f>
        <v>270</v>
      </c>
      <c r="G653" s="7">
        <f t="shared" si="20"/>
        <v>0</v>
      </c>
      <c r="H653" s="7" t="s">
        <v>0</v>
      </c>
      <c r="I653" s="7" cm="1">
        <f t="array" ref="I653">_xlfn.IFS(H653="25-50%",230,H653="Top 25 %",260,H653="50-75%",200,H653="Last 25%",170,H653="Retire",150)</f>
        <v>170</v>
      </c>
      <c r="J653" s="15">
        <f t="shared" si="21"/>
        <v>0</v>
      </c>
    </row>
    <row r="654" spans="1:10" x14ac:dyDescent="0.3">
      <c r="A654" s="7" t="s">
        <v>706</v>
      </c>
      <c r="B654" s="7" t="str">
        <f>_xlfn.XLOOKUP(A654,'Vendor code- SKU mapping'!$B$1:$B$806,'Vendor code- SKU mapping'!$A$1:$A$806)</f>
        <v>EIta</v>
      </c>
      <c r="C654" s="7">
        <f>VLOOKUP(B654,'Vendor -MOQ- Lead time'!$A$2:$B$45,2,0)</f>
        <v>60</v>
      </c>
      <c r="D654" s="13">
        <f>ROUND(IF('Task 2'!G654&lt;0,ABS('Task 2'!G654),0),0)</f>
        <v>0</v>
      </c>
      <c r="E654" s="7">
        <f>ROUND('Task 2'!D654*'Task 3'!C654,0)</f>
        <v>0</v>
      </c>
      <c r="F654" s="7">
        <f>VLOOKUP(B654,'Vendor -MOQ- Lead time'!$A$2:$C$45,3,0)</f>
        <v>1080</v>
      </c>
      <c r="G654" s="7">
        <f t="shared" si="20"/>
        <v>0</v>
      </c>
      <c r="H654" s="7" t="s">
        <v>0</v>
      </c>
      <c r="I654" s="7" cm="1">
        <f t="array" ref="I654">_xlfn.IFS(H654="25-50%",230,H654="Top 25 %",260,H654="50-75%",200,H654="Last 25%",170,H654="Retire",150)</f>
        <v>170</v>
      </c>
      <c r="J654" s="15">
        <f t="shared" si="21"/>
        <v>0</v>
      </c>
    </row>
    <row r="655" spans="1:10" x14ac:dyDescent="0.3">
      <c r="A655" s="7" t="s">
        <v>707</v>
      </c>
      <c r="B655" s="7" t="str">
        <f>_xlfn.XLOOKUP(A655,'Vendor code- SKU mapping'!$B$1:$B$806,'Vendor code- SKU mapping'!$A$1:$A$806)</f>
        <v>OMah</v>
      </c>
      <c r="C655" s="7">
        <f>VLOOKUP(B655,'Vendor -MOQ- Lead time'!$A$2:$B$45,2,0)</f>
        <v>45</v>
      </c>
      <c r="D655" s="13">
        <f>ROUND(IF('Task 2'!G655&lt;0,ABS('Task 2'!G655),0),0)</f>
        <v>0</v>
      </c>
      <c r="E655" s="7">
        <f>ROUND('Task 2'!D655*'Task 3'!C655,0)</f>
        <v>0</v>
      </c>
      <c r="F655" s="7">
        <f>VLOOKUP(B655,'Vendor -MOQ- Lead time'!$A$2:$C$45,3,0)</f>
        <v>270</v>
      </c>
      <c r="G655" s="7">
        <f t="shared" si="20"/>
        <v>0</v>
      </c>
      <c r="H655" s="7" t="s">
        <v>0</v>
      </c>
      <c r="I655" s="7" cm="1">
        <f t="array" ref="I655">_xlfn.IFS(H655="25-50%",230,H655="Top 25 %",260,H655="50-75%",200,H655="Last 25%",170,H655="Retire",150)</f>
        <v>170</v>
      </c>
      <c r="J655" s="15">
        <f t="shared" si="21"/>
        <v>0</v>
      </c>
    </row>
    <row r="656" spans="1:10" x14ac:dyDescent="0.3">
      <c r="A656" s="7" t="s">
        <v>708</v>
      </c>
      <c r="B656" s="7" t="str">
        <f>_xlfn.XLOOKUP(A656,'Vendor code- SKU mapping'!$B$1:$B$806,'Vendor code- SKU mapping'!$A$1:$A$806)</f>
        <v>OMah</v>
      </c>
      <c r="C656" s="7">
        <f>VLOOKUP(B656,'Vendor -MOQ- Lead time'!$A$2:$B$45,2,0)</f>
        <v>45</v>
      </c>
      <c r="D656" s="13">
        <f>ROUND(IF('Task 2'!G656&lt;0,ABS('Task 2'!G656),0),0)</f>
        <v>0</v>
      </c>
      <c r="E656" s="7">
        <f>ROUND('Task 2'!D656*'Task 3'!C656,0)</f>
        <v>0</v>
      </c>
      <c r="F656" s="7">
        <f>VLOOKUP(B656,'Vendor -MOQ- Lead time'!$A$2:$C$45,3,0)</f>
        <v>270</v>
      </c>
      <c r="G656" s="7">
        <f t="shared" si="20"/>
        <v>0</v>
      </c>
      <c r="H656" s="7" t="s">
        <v>0</v>
      </c>
      <c r="I656" s="7" cm="1">
        <f t="array" ref="I656">_xlfn.IFS(H656="25-50%",230,H656="Top 25 %",260,H656="50-75%",200,H656="Last 25%",170,H656="Retire",150)</f>
        <v>170</v>
      </c>
      <c r="J656" s="15">
        <f t="shared" si="21"/>
        <v>0</v>
      </c>
    </row>
    <row r="657" spans="1:10" x14ac:dyDescent="0.3">
      <c r="A657" s="7" t="s">
        <v>709</v>
      </c>
      <c r="B657" s="7" t="str">
        <f>_xlfn.XLOOKUP(A657,'Vendor code- SKU mapping'!$B$1:$B$806,'Vendor code- SKU mapping'!$A$1:$A$806)</f>
        <v>OMah</v>
      </c>
      <c r="C657" s="7">
        <f>VLOOKUP(B657,'Vendor -MOQ- Lead time'!$A$2:$B$45,2,0)</f>
        <v>45</v>
      </c>
      <c r="D657" s="13">
        <f>ROUND(IF('Task 2'!G657&lt;0,ABS('Task 2'!G657),0),0)</f>
        <v>0</v>
      </c>
      <c r="E657" s="7">
        <f>ROUND('Task 2'!D657*'Task 3'!C657,0)</f>
        <v>0</v>
      </c>
      <c r="F657" s="7">
        <f>VLOOKUP(B657,'Vendor -MOQ- Lead time'!$A$2:$C$45,3,0)</f>
        <v>270</v>
      </c>
      <c r="G657" s="7">
        <f t="shared" si="20"/>
        <v>0</v>
      </c>
      <c r="H657" s="7" t="s">
        <v>0</v>
      </c>
      <c r="I657" s="7" cm="1">
        <f t="array" ref="I657">_xlfn.IFS(H657="25-50%",230,H657="Top 25 %",260,H657="50-75%",200,H657="Last 25%",170,H657="Retire",150)</f>
        <v>170</v>
      </c>
      <c r="J657" s="15">
        <f t="shared" si="21"/>
        <v>0</v>
      </c>
    </row>
    <row r="658" spans="1:10" x14ac:dyDescent="0.3">
      <c r="A658" s="7" t="s">
        <v>710</v>
      </c>
      <c r="B658" s="7" t="str">
        <f>_xlfn.XLOOKUP(A658,'Vendor code- SKU mapping'!$B$1:$B$806,'Vendor code- SKU mapping'!$A$1:$A$806)</f>
        <v>ISte</v>
      </c>
      <c r="C658" s="7">
        <f>VLOOKUP(B658,'Vendor -MOQ- Lead time'!$A$2:$B$45,2,0)</f>
        <v>45</v>
      </c>
      <c r="D658" s="13">
        <f>ROUND(IF('Task 2'!G658&lt;0,ABS('Task 2'!G658),0),0)</f>
        <v>0</v>
      </c>
      <c r="E658" s="7">
        <f>ROUND('Task 2'!D658*'Task 3'!C658,0)</f>
        <v>0</v>
      </c>
      <c r="F658" s="7">
        <f>VLOOKUP(B658,'Vendor -MOQ- Lead time'!$A$2:$C$45,3,0)</f>
        <v>270</v>
      </c>
      <c r="G658" s="7">
        <f t="shared" si="20"/>
        <v>0</v>
      </c>
      <c r="H658" s="7" t="s">
        <v>0</v>
      </c>
      <c r="I658" s="7" cm="1">
        <f t="array" ref="I658">_xlfn.IFS(H658="25-50%",230,H658="Top 25 %",260,H658="50-75%",200,H658="Last 25%",170,H658="Retire",150)</f>
        <v>170</v>
      </c>
      <c r="J658" s="15">
        <f t="shared" si="21"/>
        <v>0</v>
      </c>
    </row>
    <row r="659" spans="1:10" x14ac:dyDescent="0.3">
      <c r="A659" s="7" t="s">
        <v>711</v>
      </c>
      <c r="B659" s="7" t="str">
        <f>_xlfn.XLOOKUP(A659,'Vendor code- SKU mapping'!$B$1:$B$806,'Vendor code- SKU mapping'!$A$1:$A$806)</f>
        <v>ISte</v>
      </c>
      <c r="C659" s="7">
        <f>VLOOKUP(B659,'Vendor -MOQ- Lead time'!$A$2:$B$45,2,0)</f>
        <v>45</v>
      </c>
      <c r="D659" s="13">
        <f>ROUND(IF('Task 2'!G659&lt;0,ABS('Task 2'!G659),0),0)</f>
        <v>0</v>
      </c>
      <c r="E659" s="7">
        <f>ROUND('Task 2'!D659*'Task 3'!C659,0)</f>
        <v>0</v>
      </c>
      <c r="F659" s="7">
        <f>VLOOKUP(B659,'Vendor -MOQ- Lead time'!$A$2:$C$45,3,0)</f>
        <v>270</v>
      </c>
      <c r="G659" s="7">
        <f t="shared" si="20"/>
        <v>0</v>
      </c>
      <c r="H659" s="7" t="s">
        <v>0</v>
      </c>
      <c r="I659" s="7" cm="1">
        <f t="array" ref="I659">_xlfn.IFS(H659="25-50%",230,H659="Top 25 %",260,H659="50-75%",200,H659="Last 25%",170,H659="Retire",150)</f>
        <v>170</v>
      </c>
      <c r="J659" s="15">
        <f t="shared" si="21"/>
        <v>0</v>
      </c>
    </row>
    <row r="660" spans="1:10" x14ac:dyDescent="0.3">
      <c r="A660" s="7" t="s">
        <v>712</v>
      </c>
      <c r="B660" s="7" t="str">
        <f>_xlfn.XLOOKUP(A660,'Vendor code- SKU mapping'!$B$1:$B$806,'Vendor code- SKU mapping'!$A$1:$A$806)</f>
        <v>ISte</v>
      </c>
      <c r="C660" s="7">
        <f>VLOOKUP(B660,'Vendor -MOQ- Lead time'!$A$2:$B$45,2,0)</f>
        <v>45</v>
      </c>
      <c r="D660" s="13">
        <f>ROUND(IF('Task 2'!G660&lt;0,ABS('Task 2'!G660),0),0)</f>
        <v>0</v>
      </c>
      <c r="E660" s="7">
        <f>ROUND('Task 2'!D660*'Task 3'!C660,0)</f>
        <v>0</v>
      </c>
      <c r="F660" s="7">
        <f>VLOOKUP(B660,'Vendor -MOQ- Lead time'!$A$2:$C$45,3,0)</f>
        <v>270</v>
      </c>
      <c r="G660" s="7">
        <f t="shared" si="20"/>
        <v>0</v>
      </c>
      <c r="H660" s="7" t="s">
        <v>0</v>
      </c>
      <c r="I660" s="7" cm="1">
        <f t="array" ref="I660">_xlfn.IFS(H660="25-50%",230,H660="Top 25 %",260,H660="50-75%",200,H660="Last 25%",170,H660="Retire",150)</f>
        <v>170</v>
      </c>
      <c r="J660" s="15">
        <f t="shared" si="21"/>
        <v>0</v>
      </c>
    </row>
    <row r="661" spans="1:10" x14ac:dyDescent="0.3">
      <c r="A661" s="7" t="s">
        <v>713</v>
      </c>
      <c r="B661" s="7" t="str">
        <f>_xlfn.XLOOKUP(A661,'Vendor code- SKU mapping'!$B$1:$B$806,'Vendor code- SKU mapping'!$A$1:$A$806)</f>
        <v>ISte</v>
      </c>
      <c r="C661" s="7">
        <f>VLOOKUP(B661,'Vendor -MOQ- Lead time'!$A$2:$B$45,2,0)</f>
        <v>45</v>
      </c>
      <c r="D661" s="13">
        <f>ROUND(IF('Task 2'!G661&lt;0,ABS('Task 2'!G661),0),0)</f>
        <v>0</v>
      </c>
      <c r="E661" s="7">
        <f>ROUND('Task 2'!D661*'Task 3'!C661,0)</f>
        <v>0</v>
      </c>
      <c r="F661" s="7">
        <f>VLOOKUP(B661,'Vendor -MOQ- Lead time'!$A$2:$C$45,3,0)</f>
        <v>270</v>
      </c>
      <c r="G661" s="7">
        <f t="shared" si="20"/>
        <v>0</v>
      </c>
      <c r="H661" s="7" t="s">
        <v>0</v>
      </c>
      <c r="I661" s="7" cm="1">
        <f t="array" ref="I661">_xlfn.IFS(H661="25-50%",230,H661="Top 25 %",260,H661="50-75%",200,H661="Last 25%",170,H661="Retire",150)</f>
        <v>170</v>
      </c>
      <c r="J661" s="15">
        <f t="shared" si="21"/>
        <v>0</v>
      </c>
    </row>
    <row r="662" spans="1:10" x14ac:dyDescent="0.3">
      <c r="A662" s="7" t="s">
        <v>714</v>
      </c>
      <c r="B662" s="7" t="str">
        <f>_xlfn.XLOOKUP(A662,'Vendor code- SKU mapping'!$B$1:$B$806,'Vendor code- SKU mapping'!$A$1:$A$806)</f>
        <v>ISte</v>
      </c>
      <c r="C662" s="7">
        <f>VLOOKUP(B662,'Vendor -MOQ- Lead time'!$A$2:$B$45,2,0)</f>
        <v>45</v>
      </c>
      <c r="D662" s="13">
        <f>ROUND(IF('Task 2'!G662&lt;0,ABS('Task 2'!G662),0),0)</f>
        <v>0</v>
      </c>
      <c r="E662" s="7">
        <f>ROUND('Task 2'!D662*'Task 3'!C662,0)</f>
        <v>0</v>
      </c>
      <c r="F662" s="7">
        <f>VLOOKUP(B662,'Vendor -MOQ- Lead time'!$A$2:$C$45,3,0)</f>
        <v>270</v>
      </c>
      <c r="G662" s="7">
        <f t="shared" si="20"/>
        <v>0</v>
      </c>
      <c r="H662" s="7" t="s">
        <v>0</v>
      </c>
      <c r="I662" s="7" cm="1">
        <f t="array" ref="I662">_xlfn.IFS(H662="25-50%",230,H662="Top 25 %",260,H662="50-75%",200,H662="Last 25%",170,H662="Retire",150)</f>
        <v>170</v>
      </c>
      <c r="J662" s="15">
        <f t="shared" si="21"/>
        <v>0</v>
      </c>
    </row>
    <row r="663" spans="1:10" x14ac:dyDescent="0.3">
      <c r="A663" s="7" t="s">
        <v>715</v>
      </c>
      <c r="B663" s="7" t="str">
        <f>_xlfn.XLOOKUP(A663,'Vendor code- SKU mapping'!$B$1:$B$806,'Vendor code- SKU mapping'!$A$1:$A$806)</f>
        <v>AAdi</v>
      </c>
      <c r="C663" s="7">
        <f>VLOOKUP(B663,'Vendor -MOQ- Lead time'!$A$2:$B$45,2,0)</f>
        <v>45</v>
      </c>
      <c r="D663" s="13">
        <f>ROUND(IF('Task 2'!G663&lt;0,ABS('Task 2'!G663),0),0)</f>
        <v>0</v>
      </c>
      <c r="E663" s="7">
        <f>ROUND('Task 2'!D663*'Task 3'!C663,0)</f>
        <v>2</v>
      </c>
      <c r="F663" s="7">
        <f>VLOOKUP(B663,'Vendor -MOQ- Lead time'!$A$2:$C$45,3,0)</f>
        <v>270</v>
      </c>
      <c r="G663" s="7">
        <f t="shared" si="20"/>
        <v>270</v>
      </c>
      <c r="H663" s="7" t="s">
        <v>0</v>
      </c>
      <c r="I663" s="7" cm="1">
        <f t="array" ref="I663">_xlfn.IFS(H663="25-50%",230,H663="Top 25 %",260,H663="50-75%",200,H663="Last 25%",170,H663="Retire",150)</f>
        <v>170</v>
      </c>
      <c r="J663" s="15">
        <f t="shared" si="21"/>
        <v>45900</v>
      </c>
    </row>
    <row r="664" spans="1:10" x14ac:dyDescent="0.3">
      <c r="A664" s="7" t="s">
        <v>716</v>
      </c>
      <c r="B664" s="7" t="str">
        <f>_xlfn.XLOOKUP(A664,'Vendor code- SKU mapping'!$B$1:$B$806,'Vendor code- SKU mapping'!$A$1:$A$806)</f>
        <v>OSha</v>
      </c>
      <c r="C664" s="7">
        <f>VLOOKUP(B664,'Vendor -MOQ- Lead time'!$A$2:$B$45,2,0)</f>
        <v>45</v>
      </c>
      <c r="D664" s="13">
        <f>ROUND(IF('Task 2'!G664&lt;0,ABS('Task 2'!G664),0),0)</f>
        <v>0</v>
      </c>
      <c r="E664" s="7">
        <f>ROUND('Task 2'!D664*'Task 3'!C664,0)</f>
        <v>0</v>
      </c>
      <c r="F664" s="7">
        <f>VLOOKUP(B664,'Vendor -MOQ- Lead time'!$A$2:$C$45,3,0)</f>
        <v>270</v>
      </c>
      <c r="G664" s="7">
        <f t="shared" si="20"/>
        <v>0</v>
      </c>
      <c r="H664" s="7" t="s">
        <v>0</v>
      </c>
      <c r="I664" s="7" cm="1">
        <f t="array" ref="I664">_xlfn.IFS(H664="25-50%",230,H664="Top 25 %",260,H664="50-75%",200,H664="Last 25%",170,H664="Retire",150)</f>
        <v>170</v>
      </c>
      <c r="J664" s="15">
        <f t="shared" si="21"/>
        <v>0</v>
      </c>
    </row>
    <row r="665" spans="1:10" x14ac:dyDescent="0.3">
      <c r="A665" s="7" t="s">
        <v>717</v>
      </c>
      <c r="B665" s="7" t="str">
        <f>_xlfn.XLOOKUP(A665,'Vendor code- SKU mapping'!$B$1:$B$806,'Vendor code- SKU mapping'!$A$1:$A$806)</f>
        <v>OSha</v>
      </c>
      <c r="C665" s="7">
        <f>VLOOKUP(B665,'Vendor -MOQ- Lead time'!$A$2:$B$45,2,0)</f>
        <v>45</v>
      </c>
      <c r="D665" s="13">
        <f>ROUND(IF('Task 2'!G665&lt;0,ABS('Task 2'!G665),0),0)</f>
        <v>0</v>
      </c>
      <c r="E665" s="7">
        <f>ROUND('Task 2'!D665*'Task 3'!C665,0)</f>
        <v>0</v>
      </c>
      <c r="F665" s="7">
        <f>VLOOKUP(B665,'Vendor -MOQ- Lead time'!$A$2:$C$45,3,0)</f>
        <v>270</v>
      </c>
      <c r="G665" s="7">
        <f t="shared" si="20"/>
        <v>0</v>
      </c>
      <c r="H665" s="7" t="s">
        <v>0</v>
      </c>
      <c r="I665" s="7" cm="1">
        <f t="array" ref="I665">_xlfn.IFS(H665="25-50%",230,H665="Top 25 %",260,H665="50-75%",200,H665="Last 25%",170,H665="Retire",150)</f>
        <v>170</v>
      </c>
      <c r="J665" s="15">
        <f t="shared" si="21"/>
        <v>0</v>
      </c>
    </row>
    <row r="666" spans="1:10" x14ac:dyDescent="0.3">
      <c r="A666" s="7" t="s">
        <v>718</v>
      </c>
      <c r="B666" s="7" t="str">
        <f>_xlfn.XLOOKUP(A666,'Vendor code- SKU mapping'!$B$1:$B$806,'Vendor code- SKU mapping'!$A$1:$A$806)</f>
        <v>OKri</v>
      </c>
      <c r="C666" s="7">
        <f>VLOOKUP(B666,'Vendor -MOQ- Lead time'!$A$2:$B$45,2,0)</f>
        <v>45</v>
      </c>
      <c r="D666" s="13">
        <f>ROUND(IF('Task 2'!G666&lt;0,ABS('Task 2'!G666),0),0)</f>
        <v>0</v>
      </c>
      <c r="E666" s="7">
        <f>ROUND('Task 2'!D666*'Task 3'!C666,0)</f>
        <v>0</v>
      </c>
      <c r="F666" s="7">
        <f>VLOOKUP(B666,'Vendor -MOQ- Lead time'!$A$2:$C$45,3,0)</f>
        <v>270</v>
      </c>
      <c r="G666" s="7">
        <f t="shared" si="20"/>
        <v>0</v>
      </c>
      <c r="H666" s="7" t="s">
        <v>0</v>
      </c>
      <c r="I666" s="7" cm="1">
        <f t="array" ref="I666">_xlfn.IFS(H666="25-50%",230,H666="Top 25 %",260,H666="50-75%",200,H666="Last 25%",170,H666="Retire",150)</f>
        <v>170</v>
      </c>
      <c r="J666" s="15">
        <f t="shared" si="21"/>
        <v>0</v>
      </c>
    </row>
    <row r="667" spans="1:10" x14ac:dyDescent="0.3">
      <c r="A667" s="7" t="s">
        <v>719</v>
      </c>
      <c r="B667" s="7" t="str">
        <f>_xlfn.XLOOKUP(A667,'Vendor code- SKU mapping'!$B$1:$B$806,'Vendor code- SKU mapping'!$A$1:$A$806)</f>
        <v>OKri</v>
      </c>
      <c r="C667" s="7">
        <f>VLOOKUP(B667,'Vendor -MOQ- Lead time'!$A$2:$B$45,2,0)</f>
        <v>45</v>
      </c>
      <c r="D667" s="13">
        <f>ROUND(IF('Task 2'!G667&lt;0,ABS('Task 2'!G667),0),0)</f>
        <v>0</v>
      </c>
      <c r="E667" s="7">
        <f>ROUND('Task 2'!D667*'Task 3'!C667,0)</f>
        <v>0</v>
      </c>
      <c r="F667" s="7">
        <f>VLOOKUP(B667,'Vendor -MOQ- Lead time'!$A$2:$C$45,3,0)</f>
        <v>270</v>
      </c>
      <c r="G667" s="7">
        <f t="shared" si="20"/>
        <v>0</v>
      </c>
      <c r="H667" s="7" t="s">
        <v>0</v>
      </c>
      <c r="I667" s="7" cm="1">
        <f t="array" ref="I667">_xlfn.IFS(H667="25-50%",230,H667="Top 25 %",260,H667="50-75%",200,H667="Last 25%",170,H667="Retire",150)</f>
        <v>170</v>
      </c>
      <c r="J667" s="15">
        <f t="shared" si="21"/>
        <v>0</v>
      </c>
    </row>
    <row r="668" spans="1:10" x14ac:dyDescent="0.3">
      <c r="A668" s="7" t="s">
        <v>720</v>
      </c>
      <c r="B668" s="7" t="str">
        <f>_xlfn.XLOOKUP(A668,'Vendor code- SKU mapping'!$B$1:$B$806,'Vendor code- SKU mapping'!$A$1:$A$806)</f>
        <v>OKri</v>
      </c>
      <c r="C668" s="7">
        <f>VLOOKUP(B668,'Vendor -MOQ- Lead time'!$A$2:$B$45,2,0)</f>
        <v>45</v>
      </c>
      <c r="D668" s="13">
        <f>ROUND(IF('Task 2'!G668&lt;0,ABS('Task 2'!G668),0),0)</f>
        <v>0</v>
      </c>
      <c r="E668" s="7">
        <f>ROUND('Task 2'!D668*'Task 3'!C668,0)</f>
        <v>0</v>
      </c>
      <c r="F668" s="7">
        <f>VLOOKUP(B668,'Vendor -MOQ- Lead time'!$A$2:$C$45,3,0)</f>
        <v>270</v>
      </c>
      <c r="G668" s="7">
        <f t="shared" si="20"/>
        <v>0</v>
      </c>
      <c r="H668" s="7" t="s">
        <v>0</v>
      </c>
      <c r="I668" s="7" cm="1">
        <f t="array" ref="I668">_xlfn.IFS(H668="25-50%",230,H668="Top 25 %",260,H668="50-75%",200,H668="Last 25%",170,H668="Retire",150)</f>
        <v>170</v>
      </c>
      <c r="J668" s="15">
        <f t="shared" si="21"/>
        <v>0</v>
      </c>
    </row>
    <row r="669" spans="1:10" x14ac:dyDescent="0.3">
      <c r="A669" s="7" t="s">
        <v>721</v>
      </c>
      <c r="B669" s="7" t="str">
        <f>_xlfn.XLOOKUP(A669,'Vendor code- SKU mapping'!$B$1:$B$806,'Vendor code- SKU mapping'!$A$1:$A$806)</f>
        <v>OKri</v>
      </c>
      <c r="C669" s="7">
        <f>VLOOKUP(B669,'Vendor -MOQ- Lead time'!$A$2:$B$45,2,0)</f>
        <v>45</v>
      </c>
      <c r="D669" s="13">
        <f>ROUND(IF('Task 2'!G669&lt;0,ABS('Task 2'!G669),0),0)</f>
        <v>0</v>
      </c>
      <c r="E669" s="7">
        <f>ROUND('Task 2'!D669*'Task 3'!C669,0)</f>
        <v>0</v>
      </c>
      <c r="F669" s="7">
        <f>VLOOKUP(B669,'Vendor -MOQ- Lead time'!$A$2:$C$45,3,0)</f>
        <v>270</v>
      </c>
      <c r="G669" s="7">
        <f t="shared" si="20"/>
        <v>0</v>
      </c>
      <c r="H669" s="7" t="s">
        <v>0</v>
      </c>
      <c r="I669" s="7" cm="1">
        <f t="array" ref="I669">_xlfn.IFS(H669="25-50%",230,H669="Top 25 %",260,H669="50-75%",200,H669="Last 25%",170,H669="Retire",150)</f>
        <v>170</v>
      </c>
      <c r="J669" s="15">
        <f t="shared" si="21"/>
        <v>0</v>
      </c>
    </row>
    <row r="670" spans="1:10" x14ac:dyDescent="0.3">
      <c r="A670" s="7" t="s">
        <v>722</v>
      </c>
      <c r="B670" s="7" t="str">
        <f>_xlfn.XLOOKUP(A670,'Vendor code- SKU mapping'!$B$1:$B$806,'Vendor code- SKU mapping'!$A$1:$A$806)</f>
        <v>OKri</v>
      </c>
      <c r="C670" s="7">
        <f>VLOOKUP(B670,'Vendor -MOQ- Lead time'!$A$2:$B$45,2,0)</f>
        <v>45</v>
      </c>
      <c r="D670" s="13">
        <f>ROUND(IF('Task 2'!G670&lt;0,ABS('Task 2'!G670),0),0)</f>
        <v>0</v>
      </c>
      <c r="E670" s="7">
        <f>ROUND('Task 2'!D670*'Task 3'!C670,0)</f>
        <v>0</v>
      </c>
      <c r="F670" s="7">
        <f>VLOOKUP(B670,'Vendor -MOQ- Lead time'!$A$2:$C$45,3,0)</f>
        <v>270</v>
      </c>
      <c r="G670" s="7">
        <f t="shared" si="20"/>
        <v>0</v>
      </c>
      <c r="H670" s="7" t="s">
        <v>0</v>
      </c>
      <c r="I670" s="7" cm="1">
        <f t="array" ref="I670">_xlfn.IFS(H670="25-50%",230,H670="Top 25 %",260,H670="50-75%",200,H670="Last 25%",170,H670="Retire",150)</f>
        <v>170</v>
      </c>
      <c r="J670" s="15">
        <f t="shared" si="21"/>
        <v>0</v>
      </c>
    </row>
    <row r="671" spans="1:10" x14ac:dyDescent="0.3">
      <c r="A671" s="7" t="s">
        <v>723</v>
      </c>
      <c r="B671" s="7" t="str">
        <f>_xlfn.XLOOKUP(A671,'Vendor code- SKU mapping'!$B$1:$B$806,'Vendor code- SKU mapping'!$A$1:$A$806)</f>
        <v>OKri</v>
      </c>
      <c r="C671" s="7">
        <f>VLOOKUP(B671,'Vendor -MOQ- Lead time'!$A$2:$B$45,2,0)</f>
        <v>45</v>
      </c>
      <c r="D671" s="13">
        <f>ROUND(IF('Task 2'!G671&lt;0,ABS('Task 2'!G671),0),0)</f>
        <v>0</v>
      </c>
      <c r="E671" s="7">
        <f>ROUND('Task 2'!D671*'Task 3'!C671,0)</f>
        <v>0</v>
      </c>
      <c r="F671" s="7">
        <f>VLOOKUP(B671,'Vendor -MOQ- Lead time'!$A$2:$C$45,3,0)</f>
        <v>270</v>
      </c>
      <c r="G671" s="7">
        <f t="shared" si="20"/>
        <v>0</v>
      </c>
      <c r="H671" s="7" t="s">
        <v>0</v>
      </c>
      <c r="I671" s="7" cm="1">
        <f t="array" ref="I671">_xlfn.IFS(H671="25-50%",230,H671="Top 25 %",260,H671="50-75%",200,H671="Last 25%",170,H671="Retire",150)</f>
        <v>170</v>
      </c>
      <c r="J671" s="15">
        <f t="shared" si="21"/>
        <v>0</v>
      </c>
    </row>
    <row r="672" spans="1:10" x14ac:dyDescent="0.3">
      <c r="A672" s="7" t="s">
        <v>724</v>
      </c>
      <c r="B672" s="7" t="str">
        <f>_xlfn.XLOOKUP(A672,'Vendor code- SKU mapping'!$B$1:$B$806,'Vendor code- SKU mapping'!$A$1:$A$806)</f>
        <v>OKri</v>
      </c>
      <c r="C672" s="7">
        <f>VLOOKUP(B672,'Vendor -MOQ- Lead time'!$A$2:$B$45,2,0)</f>
        <v>45</v>
      </c>
      <c r="D672" s="13">
        <f>ROUND(IF('Task 2'!G672&lt;0,ABS('Task 2'!G672),0),0)</f>
        <v>0</v>
      </c>
      <c r="E672" s="7">
        <f>ROUND('Task 2'!D672*'Task 3'!C672,0)</f>
        <v>0</v>
      </c>
      <c r="F672" s="7">
        <f>VLOOKUP(B672,'Vendor -MOQ- Lead time'!$A$2:$C$45,3,0)</f>
        <v>270</v>
      </c>
      <c r="G672" s="7">
        <f t="shared" si="20"/>
        <v>0</v>
      </c>
      <c r="H672" s="7" t="s">
        <v>0</v>
      </c>
      <c r="I672" s="7" cm="1">
        <f t="array" ref="I672">_xlfn.IFS(H672="25-50%",230,H672="Top 25 %",260,H672="50-75%",200,H672="Last 25%",170,H672="Retire",150)</f>
        <v>170</v>
      </c>
      <c r="J672" s="15">
        <f t="shared" si="21"/>
        <v>0</v>
      </c>
    </row>
    <row r="673" spans="1:10" x14ac:dyDescent="0.3">
      <c r="A673" s="7" t="s">
        <v>725</v>
      </c>
      <c r="B673" s="7" t="str">
        <f>_xlfn.XLOOKUP(A673,'Vendor code- SKU mapping'!$B$1:$B$806,'Vendor code- SKU mapping'!$A$1:$A$806)</f>
        <v>OKri</v>
      </c>
      <c r="C673" s="7">
        <f>VLOOKUP(B673,'Vendor -MOQ- Lead time'!$A$2:$B$45,2,0)</f>
        <v>45</v>
      </c>
      <c r="D673" s="13">
        <f>ROUND(IF('Task 2'!G673&lt;0,ABS('Task 2'!G673),0),0)</f>
        <v>0</v>
      </c>
      <c r="E673" s="7">
        <f>ROUND('Task 2'!D673*'Task 3'!C673,0)</f>
        <v>0</v>
      </c>
      <c r="F673" s="7">
        <f>VLOOKUP(B673,'Vendor -MOQ- Lead time'!$A$2:$C$45,3,0)</f>
        <v>270</v>
      </c>
      <c r="G673" s="7">
        <f t="shared" si="20"/>
        <v>0</v>
      </c>
      <c r="H673" s="7" t="s">
        <v>0</v>
      </c>
      <c r="I673" s="7" cm="1">
        <f t="array" ref="I673">_xlfn.IFS(H673="25-50%",230,H673="Top 25 %",260,H673="50-75%",200,H673="Last 25%",170,H673="Retire",150)</f>
        <v>170</v>
      </c>
      <c r="J673" s="15">
        <f t="shared" si="21"/>
        <v>0</v>
      </c>
    </row>
    <row r="674" spans="1:10" x14ac:dyDescent="0.3">
      <c r="A674" s="7" t="s">
        <v>726</v>
      </c>
      <c r="B674" s="7" t="str">
        <f>_xlfn.XLOOKUP(A674,'Vendor code- SKU mapping'!$B$1:$B$806,'Vendor code- SKU mapping'!$A$1:$A$806)</f>
        <v>OKri</v>
      </c>
      <c r="C674" s="7">
        <f>VLOOKUP(B674,'Vendor -MOQ- Lead time'!$A$2:$B$45,2,0)</f>
        <v>45</v>
      </c>
      <c r="D674" s="13">
        <f>ROUND(IF('Task 2'!G674&lt;0,ABS('Task 2'!G674),0),0)</f>
        <v>0</v>
      </c>
      <c r="E674" s="7">
        <f>ROUND('Task 2'!D674*'Task 3'!C674,0)</f>
        <v>0</v>
      </c>
      <c r="F674" s="7">
        <f>VLOOKUP(B674,'Vendor -MOQ- Lead time'!$A$2:$C$45,3,0)</f>
        <v>270</v>
      </c>
      <c r="G674" s="7">
        <f t="shared" si="20"/>
        <v>0</v>
      </c>
      <c r="H674" s="7" t="s">
        <v>0</v>
      </c>
      <c r="I674" s="7" cm="1">
        <f t="array" ref="I674">_xlfn.IFS(H674="25-50%",230,H674="Top 25 %",260,H674="50-75%",200,H674="Last 25%",170,H674="Retire",150)</f>
        <v>170</v>
      </c>
      <c r="J674" s="15">
        <f t="shared" si="21"/>
        <v>0</v>
      </c>
    </row>
    <row r="675" spans="1:10" x14ac:dyDescent="0.3">
      <c r="A675" s="7" t="s">
        <v>727</v>
      </c>
      <c r="B675" s="7" t="str">
        <f>_xlfn.XLOOKUP(A675,'Vendor code- SKU mapping'!$B$1:$B$806,'Vendor code- SKU mapping'!$A$1:$A$806)</f>
        <v>OMah</v>
      </c>
      <c r="C675" s="7">
        <f>VLOOKUP(B675,'Vendor -MOQ- Lead time'!$A$2:$B$45,2,0)</f>
        <v>45</v>
      </c>
      <c r="D675" s="13">
        <f>ROUND(IF('Task 2'!G675&lt;0,ABS('Task 2'!G675),0),0)</f>
        <v>0</v>
      </c>
      <c r="E675" s="7">
        <f>ROUND('Task 2'!D675*'Task 3'!C675,0)</f>
        <v>5</v>
      </c>
      <c r="F675" s="7">
        <f>VLOOKUP(B675,'Vendor -MOQ- Lead time'!$A$2:$C$45,3,0)</f>
        <v>270</v>
      </c>
      <c r="G675" s="7">
        <f t="shared" si="20"/>
        <v>270</v>
      </c>
      <c r="H675" s="7" t="s">
        <v>0</v>
      </c>
      <c r="I675" s="7" cm="1">
        <f t="array" ref="I675">_xlfn.IFS(H675="25-50%",230,H675="Top 25 %",260,H675="50-75%",200,H675="Last 25%",170,H675="Retire",150)</f>
        <v>170</v>
      </c>
      <c r="J675" s="15">
        <f t="shared" si="21"/>
        <v>45900</v>
      </c>
    </row>
    <row r="676" spans="1:10" x14ac:dyDescent="0.3">
      <c r="A676" s="7" t="s">
        <v>728</v>
      </c>
      <c r="B676" s="7" t="str">
        <f>_xlfn.XLOOKUP(A676,'Vendor code- SKU mapping'!$B$1:$B$806,'Vendor code- SKU mapping'!$A$1:$A$806)</f>
        <v>ISte</v>
      </c>
      <c r="C676" s="7">
        <f>VLOOKUP(B676,'Vendor -MOQ- Lead time'!$A$2:$B$45,2,0)</f>
        <v>45</v>
      </c>
      <c r="D676" s="13">
        <f>ROUND(IF('Task 2'!G676&lt;0,ABS('Task 2'!G676),0),0)</f>
        <v>0</v>
      </c>
      <c r="E676" s="7">
        <f>ROUND('Task 2'!D676*'Task 3'!C676,0)</f>
        <v>2</v>
      </c>
      <c r="F676" s="7">
        <f>VLOOKUP(B676,'Vendor -MOQ- Lead time'!$A$2:$C$45,3,0)</f>
        <v>270</v>
      </c>
      <c r="G676" s="7">
        <f t="shared" si="20"/>
        <v>270</v>
      </c>
      <c r="H676" s="7" t="s">
        <v>0</v>
      </c>
      <c r="I676" s="7" cm="1">
        <f t="array" ref="I676">_xlfn.IFS(H676="25-50%",230,H676="Top 25 %",260,H676="50-75%",200,H676="Last 25%",170,H676="Retire",150)</f>
        <v>170</v>
      </c>
      <c r="J676" s="15">
        <f t="shared" si="21"/>
        <v>45900</v>
      </c>
    </row>
    <row r="677" spans="1:10" x14ac:dyDescent="0.3">
      <c r="A677" s="7" t="s">
        <v>729</v>
      </c>
      <c r="B677" s="7" t="str">
        <f>_xlfn.XLOOKUP(A677,'Vendor code- SKU mapping'!$B$1:$B$806,'Vendor code- SKU mapping'!$A$1:$A$806)</f>
        <v>ISte</v>
      </c>
      <c r="C677" s="7">
        <f>VLOOKUP(B677,'Vendor -MOQ- Lead time'!$A$2:$B$45,2,0)</f>
        <v>45</v>
      </c>
      <c r="D677" s="13">
        <f>ROUND(IF('Task 2'!G677&lt;0,ABS('Task 2'!G677),0),0)</f>
        <v>0</v>
      </c>
      <c r="E677" s="7">
        <f>ROUND('Task 2'!D677*'Task 3'!C677,0)</f>
        <v>2</v>
      </c>
      <c r="F677" s="7">
        <f>VLOOKUP(B677,'Vendor -MOQ- Lead time'!$A$2:$C$45,3,0)</f>
        <v>270</v>
      </c>
      <c r="G677" s="7">
        <f t="shared" si="20"/>
        <v>270</v>
      </c>
      <c r="H677" s="7" t="s">
        <v>0</v>
      </c>
      <c r="I677" s="7" cm="1">
        <f t="array" ref="I677">_xlfn.IFS(H677="25-50%",230,H677="Top 25 %",260,H677="50-75%",200,H677="Last 25%",170,H677="Retire",150)</f>
        <v>170</v>
      </c>
      <c r="J677" s="15">
        <f t="shared" si="21"/>
        <v>45900</v>
      </c>
    </row>
    <row r="678" spans="1:10" x14ac:dyDescent="0.3">
      <c r="A678" s="7" t="s">
        <v>730</v>
      </c>
      <c r="B678" s="7" t="str">
        <f>_xlfn.XLOOKUP(A678,'Vendor code- SKU mapping'!$B$1:$B$806,'Vendor code- SKU mapping'!$A$1:$A$806)</f>
        <v>ISte</v>
      </c>
      <c r="C678" s="7">
        <f>VLOOKUP(B678,'Vendor -MOQ- Lead time'!$A$2:$B$45,2,0)</f>
        <v>45</v>
      </c>
      <c r="D678" s="13">
        <f>ROUND(IF('Task 2'!G678&lt;0,ABS('Task 2'!G678),0),0)</f>
        <v>0</v>
      </c>
      <c r="E678" s="7">
        <f>ROUND('Task 2'!D678*'Task 3'!C678,0)</f>
        <v>2</v>
      </c>
      <c r="F678" s="7">
        <f>VLOOKUP(B678,'Vendor -MOQ- Lead time'!$A$2:$C$45,3,0)</f>
        <v>270</v>
      </c>
      <c r="G678" s="7">
        <f t="shared" si="20"/>
        <v>270</v>
      </c>
      <c r="H678" s="7" t="s">
        <v>0</v>
      </c>
      <c r="I678" s="7" cm="1">
        <f t="array" ref="I678">_xlfn.IFS(H678="25-50%",230,H678="Top 25 %",260,H678="50-75%",200,H678="Last 25%",170,H678="Retire",150)</f>
        <v>170</v>
      </c>
      <c r="J678" s="15">
        <f t="shared" si="21"/>
        <v>45900</v>
      </c>
    </row>
    <row r="679" spans="1:10" x14ac:dyDescent="0.3">
      <c r="A679" s="7" t="s">
        <v>731</v>
      </c>
      <c r="B679" s="7" t="str">
        <f>_xlfn.XLOOKUP(A679,'Vendor code- SKU mapping'!$B$1:$B$806,'Vendor code- SKU mapping'!$A$1:$A$806)</f>
        <v>ISte</v>
      </c>
      <c r="C679" s="7">
        <f>VLOOKUP(B679,'Vendor -MOQ- Lead time'!$A$2:$B$45,2,0)</f>
        <v>45</v>
      </c>
      <c r="D679" s="13">
        <f>ROUND(IF('Task 2'!G679&lt;0,ABS('Task 2'!G679),0),0)</f>
        <v>0</v>
      </c>
      <c r="E679" s="7">
        <f>ROUND('Task 2'!D679*'Task 3'!C679,0)</f>
        <v>0</v>
      </c>
      <c r="F679" s="7">
        <f>VLOOKUP(B679,'Vendor -MOQ- Lead time'!$A$2:$C$45,3,0)</f>
        <v>270</v>
      </c>
      <c r="G679" s="7">
        <f t="shared" si="20"/>
        <v>0</v>
      </c>
      <c r="H679" s="7" t="s">
        <v>0</v>
      </c>
      <c r="I679" s="7" cm="1">
        <f t="array" ref="I679">_xlfn.IFS(H679="25-50%",230,H679="Top 25 %",260,H679="50-75%",200,H679="Last 25%",170,H679="Retire",150)</f>
        <v>170</v>
      </c>
      <c r="J679" s="15">
        <f t="shared" si="21"/>
        <v>0</v>
      </c>
    </row>
    <row r="680" spans="1:10" x14ac:dyDescent="0.3">
      <c r="A680" s="7" t="s">
        <v>732</v>
      </c>
      <c r="B680" s="7" t="str">
        <f>_xlfn.XLOOKUP(A680,'Vendor code- SKU mapping'!$B$1:$B$806,'Vendor code- SKU mapping'!$A$1:$A$806)</f>
        <v>ISte</v>
      </c>
      <c r="C680" s="7">
        <f>VLOOKUP(B680,'Vendor -MOQ- Lead time'!$A$2:$B$45,2,0)</f>
        <v>45</v>
      </c>
      <c r="D680" s="13">
        <f>ROUND(IF('Task 2'!G680&lt;0,ABS('Task 2'!G680),0),0)</f>
        <v>0</v>
      </c>
      <c r="E680" s="7">
        <f>ROUND('Task 2'!D680*'Task 3'!C680,0)</f>
        <v>0</v>
      </c>
      <c r="F680" s="7">
        <f>VLOOKUP(B680,'Vendor -MOQ- Lead time'!$A$2:$C$45,3,0)</f>
        <v>270</v>
      </c>
      <c r="G680" s="7">
        <f t="shared" si="20"/>
        <v>0</v>
      </c>
      <c r="H680" s="7" t="s">
        <v>0</v>
      </c>
      <c r="I680" s="7" cm="1">
        <f t="array" ref="I680">_xlfn.IFS(H680="25-50%",230,H680="Top 25 %",260,H680="50-75%",200,H680="Last 25%",170,H680="Retire",150)</f>
        <v>170</v>
      </c>
      <c r="J680" s="15">
        <f t="shared" si="21"/>
        <v>0</v>
      </c>
    </row>
    <row r="681" spans="1:10" x14ac:dyDescent="0.3">
      <c r="A681" s="7" t="s">
        <v>733</v>
      </c>
      <c r="B681" s="7" t="str">
        <f>_xlfn.XLOOKUP(A681,'Vendor code- SKU mapping'!$B$1:$B$806,'Vendor code- SKU mapping'!$A$1:$A$806)</f>
        <v>ISte</v>
      </c>
      <c r="C681" s="7">
        <f>VLOOKUP(B681,'Vendor -MOQ- Lead time'!$A$2:$B$45,2,0)</f>
        <v>45</v>
      </c>
      <c r="D681" s="13">
        <f>ROUND(IF('Task 2'!G681&lt;0,ABS('Task 2'!G681),0),0)</f>
        <v>0</v>
      </c>
      <c r="E681" s="7">
        <f>ROUND('Task 2'!D681*'Task 3'!C681,0)</f>
        <v>0</v>
      </c>
      <c r="F681" s="7">
        <f>VLOOKUP(B681,'Vendor -MOQ- Lead time'!$A$2:$C$45,3,0)</f>
        <v>270</v>
      </c>
      <c r="G681" s="7">
        <f t="shared" si="20"/>
        <v>0</v>
      </c>
      <c r="H681" s="7" t="s">
        <v>0</v>
      </c>
      <c r="I681" s="7" cm="1">
        <f t="array" ref="I681">_xlfn.IFS(H681="25-50%",230,H681="Top 25 %",260,H681="50-75%",200,H681="Last 25%",170,H681="Retire",150)</f>
        <v>170</v>
      </c>
      <c r="J681" s="15">
        <f t="shared" si="21"/>
        <v>0</v>
      </c>
    </row>
    <row r="682" spans="1:10" x14ac:dyDescent="0.3">
      <c r="A682" s="7" t="s">
        <v>734</v>
      </c>
      <c r="B682" s="7" t="str">
        <f>_xlfn.XLOOKUP(A682,'Vendor code- SKU mapping'!$B$1:$B$806,'Vendor code- SKU mapping'!$A$1:$A$806)</f>
        <v>ISte</v>
      </c>
      <c r="C682" s="7">
        <f>VLOOKUP(B682,'Vendor -MOQ- Lead time'!$A$2:$B$45,2,0)</f>
        <v>45</v>
      </c>
      <c r="D682" s="13">
        <f>ROUND(IF('Task 2'!G682&lt;0,ABS('Task 2'!G682),0),0)</f>
        <v>0</v>
      </c>
      <c r="E682" s="7">
        <f>ROUND('Task 2'!D682*'Task 3'!C682,0)</f>
        <v>0</v>
      </c>
      <c r="F682" s="7">
        <f>VLOOKUP(B682,'Vendor -MOQ- Lead time'!$A$2:$C$45,3,0)</f>
        <v>270</v>
      </c>
      <c r="G682" s="7">
        <f t="shared" si="20"/>
        <v>0</v>
      </c>
      <c r="H682" s="7" t="s">
        <v>0</v>
      </c>
      <c r="I682" s="7" cm="1">
        <f t="array" ref="I682">_xlfn.IFS(H682="25-50%",230,H682="Top 25 %",260,H682="50-75%",200,H682="Last 25%",170,H682="Retire",150)</f>
        <v>170</v>
      </c>
      <c r="J682" s="15">
        <f t="shared" si="21"/>
        <v>0</v>
      </c>
    </row>
    <row r="683" spans="1:10" x14ac:dyDescent="0.3">
      <c r="A683" s="7" t="s">
        <v>735</v>
      </c>
      <c r="B683" s="7" t="str">
        <f>_xlfn.XLOOKUP(A683,'Vendor code- SKU mapping'!$B$1:$B$806,'Vendor code- SKU mapping'!$A$1:$A$806)</f>
        <v>ISte</v>
      </c>
      <c r="C683" s="7">
        <f>VLOOKUP(B683,'Vendor -MOQ- Lead time'!$A$2:$B$45,2,0)</f>
        <v>45</v>
      </c>
      <c r="D683" s="13">
        <f>ROUND(IF('Task 2'!G683&lt;0,ABS('Task 2'!G683),0),0)</f>
        <v>0</v>
      </c>
      <c r="E683" s="7">
        <f>ROUND('Task 2'!D683*'Task 3'!C683,0)</f>
        <v>0</v>
      </c>
      <c r="F683" s="7">
        <f>VLOOKUP(B683,'Vendor -MOQ- Lead time'!$A$2:$C$45,3,0)</f>
        <v>270</v>
      </c>
      <c r="G683" s="7">
        <f t="shared" si="20"/>
        <v>0</v>
      </c>
      <c r="H683" s="7" t="s">
        <v>0</v>
      </c>
      <c r="I683" s="7" cm="1">
        <f t="array" ref="I683">_xlfn.IFS(H683="25-50%",230,H683="Top 25 %",260,H683="50-75%",200,H683="Last 25%",170,H683="Retire",150)</f>
        <v>170</v>
      </c>
      <c r="J683" s="15">
        <f t="shared" si="21"/>
        <v>0</v>
      </c>
    </row>
    <row r="684" spans="1:10" x14ac:dyDescent="0.3">
      <c r="A684" s="7" t="s">
        <v>736</v>
      </c>
      <c r="B684" s="7" t="str">
        <f>_xlfn.XLOOKUP(A684,'Vendor code- SKU mapping'!$B$1:$B$806,'Vendor code- SKU mapping'!$A$1:$A$806)</f>
        <v>ISte</v>
      </c>
      <c r="C684" s="7">
        <f>VLOOKUP(B684,'Vendor -MOQ- Lead time'!$A$2:$B$45,2,0)</f>
        <v>45</v>
      </c>
      <c r="D684" s="13">
        <f>ROUND(IF('Task 2'!G684&lt;0,ABS('Task 2'!G684),0),0)</f>
        <v>0</v>
      </c>
      <c r="E684" s="7">
        <f>ROUND('Task 2'!D684*'Task 3'!C684,0)</f>
        <v>0</v>
      </c>
      <c r="F684" s="7">
        <f>VLOOKUP(B684,'Vendor -MOQ- Lead time'!$A$2:$C$45,3,0)</f>
        <v>270</v>
      </c>
      <c r="G684" s="7">
        <f t="shared" si="20"/>
        <v>0</v>
      </c>
      <c r="H684" s="7" t="s">
        <v>0</v>
      </c>
      <c r="I684" s="7" cm="1">
        <f t="array" ref="I684">_xlfn.IFS(H684="25-50%",230,H684="Top 25 %",260,H684="50-75%",200,H684="Last 25%",170,H684="Retire",150)</f>
        <v>170</v>
      </c>
      <c r="J684" s="15">
        <f t="shared" si="21"/>
        <v>0</v>
      </c>
    </row>
    <row r="685" spans="1:10" x14ac:dyDescent="0.3">
      <c r="A685" s="7" t="s">
        <v>737</v>
      </c>
      <c r="B685" s="7" t="str">
        <f>_xlfn.XLOOKUP(A685,'Vendor code- SKU mapping'!$B$1:$B$806,'Vendor code- SKU mapping'!$A$1:$A$806)</f>
        <v>ISte</v>
      </c>
      <c r="C685" s="7">
        <f>VLOOKUP(B685,'Vendor -MOQ- Lead time'!$A$2:$B$45,2,0)</f>
        <v>45</v>
      </c>
      <c r="D685" s="13">
        <f>ROUND(IF('Task 2'!G685&lt;0,ABS('Task 2'!G685),0),0)</f>
        <v>0</v>
      </c>
      <c r="E685" s="7">
        <f>ROUND('Task 2'!D685*'Task 3'!C685,0)</f>
        <v>0</v>
      </c>
      <c r="F685" s="7">
        <f>VLOOKUP(B685,'Vendor -MOQ- Lead time'!$A$2:$C$45,3,0)</f>
        <v>270</v>
      </c>
      <c r="G685" s="7">
        <f t="shared" si="20"/>
        <v>0</v>
      </c>
      <c r="H685" s="7" t="s">
        <v>0</v>
      </c>
      <c r="I685" s="7" cm="1">
        <f t="array" ref="I685">_xlfn.IFS(H685="25-50%",230,H685="Top 25 %",260,H685="50-75%",200,H685="Last 25%",170,H685="Retire",150)</f>
        <v>170</v>
      </c>
      <c r="J685" s="15">
        <f t="shared" si="21"/>
        <v>0</v>
      </c>
    </row>
    <row r="686" spans="1:10" x14ac:dyDescent="0.3">
      <c r="A686" s="7" t="s">
        <v>738</v>
      </c>
      <c r="B686" s="7" t="str">
        <f>_xlfn.XLOOKUP(A686,'Vendor code- SKU mapping'!$B$1:$B$806,'Vendor code- SKU mapping'!$A$1:$A$806)</f>
        <v>ISte</v>
      </c>
      <c r="C686" s="7">
        <f>VLOOKUP(B686,'Vendor -MOQ- Lead time'!$A$2:$B$45,2,0)</f>
        <v>45</v>
      </c>
      <c r="D686" s="13">
        <f>ROUND(IF('Task 2'!G686&lt;0,ABS('Task 2'!G686),0),0)</f>
        <v>0</v>
      </c>
      <c r="E686" s="7">
        <f>ROUND('Task 2'!D686*'Task 3'!C686,0)</f>
        <v>0</v>
      </c>
      <c r="F686" s="7">
        <f>VLOOKUP(B686,'Vendor -MOQ- Lead time'!$A$2:$C$45,3,0)</f>
        <v>270</v>
      </c>
      <c r="G686" s="7">
        <f t="shared" si="20"/>
        <v>0</v>
      </c>
      <c r="H686" s="7" t="s">
        <v>0</v>
      </c>
      <c r="I686" s="7" cm="1">
        <f t="array" ref="I686">_xlfn.IFS(H686="25-50%",230,H686="Top 25 %",260,H686="50-75%",200,H686="Last 25%",170,H686="Retire",150)</f>
        <v>170</v>
      </c>
      <c r="J686" s="15">
        <f t="shared" si="21"/>
        <v>0</v>
      </c>
    </row>
    <row r="687" spans="1:10" x14ac:dyDescent="0.3">
      <c r="A687" s="7" t="s">
        <v>739</v>
      </c>
      <c r="B687" s="7" t="str">
        <f>_xlfn.XLOOKUP(A687,'Vendor code- SKU mapping'!$B$1:$B$806,'Vendor code- SKU mapping'!$A$1:$A$806)</f>
        <v>ISte</v>
      </c>
      <c r="C687" s="7">
        <f>VLOOKUP(B687,'Vendor -MOQ- Lead time'!$A$2:$B$45,2,0)</f>
        <v>45</v>
      </c>
      <c r="D687" s="13">
        <f>ROUND(IF('Task 2'!G687&lt;0,ABS('Task 2'!G687),0),0)</f>
        <v>0</v>
      </c>
      <c r="E687" s="7">
        <f>ROUND('Task 2'!D687*'Task 3'!C687,0)</f>
        <v>0</v>
      </c>
      <c r="F687" s="7">
        <f>VLOOKUP(B687,'Vendor -MOQ- Lead time'!$A$2:$C$45,3,0)</f>
        <v>270</v>
      </c>
      <c r="G687" s="7">
        <f t="shared" si="20"/>
        <v>0</v>
      </c>
      <c r="H687" s="7" t="s">
        <v>0</v>
      </c>
      <c r="I687" s="7" cm="1">
        <f t="array" ref="I687">_xlfn.IFS(H687="25-50%",230,H687="Top 25 %",260,H687="50-75%",200,H687="Last 25%",170,H687="Retire",150)</f>
        <v>170</v>
      </c>
      <c r="J687" s="15">
        <f t="shared" si="21"/>
        <v>0</v>
      </c>
    </row>
    <row r="688" spans="1:10" x14ac:dyDescent="0.3">
      <c r="A688" s="7" t="s">
        <v>740</v>
      </c>
      <c r="B688" s="7" t="str">
        <f>_xlfn.XLOOKUP(A688,'Vendor code- SKU mapping'!$B$1:$B$806,'Vendor code- SKU mapping'!$A$1:$A$806)</f>
        <v>ISte</v>
      </c>
      <c r="C688" s="7">
        <f>VLOOKUP(B688,'Vendor -MOQ- Lead time'!$A$2:$B$45,2,0)</f>
        <v>45</v>
      </c>
      <c r="D688" s="13">
        <f>ROUND(IF('Task 2'!G688&lt;0,ABS('Task 2'!G688),0),0)</f>
        <v>0</v>
      </c>
      <c r="E688" s="7">
        <f>ROUND('Task 2'!D688*'Task 3'!C688,0)</f>
        <v>0</v>
      </c>
      <c r="F688" s="7">
        <f>VLOOKUP(B688,'Vendor -MOQ- Lead time'!$A$2:$C$45,3,0)</f>
        <v>270</v>
      </c>
      <c r="G688" s="7">
        <f t="shared" si="20"/>
        <v>0</v>
      </c>
      <c r="H688" s="7" t="s">
        <v>0</v>
      </c>
      <c r="I688" s="7" cm="1">
        <f t="array" ref="I688">_xlfn.IFS(H688="25-50%",230,H688="Top 25 %",260,H688="50-75%",200,H688="Last 25%",170,H688="Retire",150)</f>
        <v>170</v>
      </c>
      <c r="J688" s="15">
        <f t="shared" si="21"/>
        <v>0</v>
      </c>
    </row>
    <row r="689" spans="1:10" x14ac:dyDescent="0.3">
      <c r="A689" s="7" t="s">
        <v>741</v>
      </c>
      <c r="B689" s="7" t="str">
        <f>_xlfn.XLOOKUP(A689,'Vendor code- SKU mapping'!$B$1:$B$806,'Vendor code- SKU mapping'!$A$1:$A$806)</f>
        <v>ISte</v>
      </c>
      <c r="C689" s="7">
        <f>VLOOKUP(B689,'Vendor -MOQ- Lead time'!$A$2:$B$45,2,0)</f>
        <v>45</v>
      </c>
      <c r="D689" s="13">
        <f>ROUND(IF('Task 2'!G689&lt;0,ABS('Task 2'!G689),0),0)</f>
        <v>0</v>
      </c>
      <c r="E689" s="7">
        <f>ROUND('Task 2'!D689*'Task 3'!C689,0)</f>
        <v>0</v>
      </c>
      <c r="F689" s="7">
        <f>VLOOKUP(B689,'Vendor -MOQ- Lead time'!$A$2:$C$45,3,0)</f>
        <v>270</v>
      </c>
      <c r="G689" s="7">
        <f t="shared" si="20"/>
        <v>0</v>
      </c>
      <c r="H689" s="7" t="s">
        <v>0</v>
      </c>
      <c r="I689" s="7" cm="1">
        <f t="array" ref="I689">_xlfn.IFS(H689="25-50%",230,H689="Top 25 %",260,H689="50-75%",200,H689="Last 25%",170,H689="Retire",150)</f>
        <v>170</v>
      </c>
      <c r="J689" s="15">
        <f t="shared" si="21"/>
        <v>0</v>
      </c>
    </row>
    <row r="690" spans="1:10" x14ac:dyDescent="0.3">
      <c r="A690" s="7" t="s">
        <v>742</v>
      </c>
      <c r="B690" s="7" t="str">
        <f>_xlfn.XLOOKUP(A690,'Vendor code- SKU mapping'!$B$1:$B$806,'Vendor code- SKU mapping'!$A$1:$A$806)</f>
        <v>ISte</v>
      </c>
      <c r="C690" s="7">
        <f>VLOOKUP(B690,'Vendor -MOQ- Lead time'!$A$2:$B$45,2,0)</f>
        <v>45</v>
      </c>
      <c r="D690" s="13">
        <f>ROUND(IF('Task 2'!G690&lt;0,ABS('Task 2'!G690),0),0)</f>
        <v>0</v>
      </c>
      <c r="E690" s="7">
        <f>ROUND('Task 2'!D690*'Task 3'!C690,0)</f>
        <v>0</v>
      </c>
      <c r="F690" s="7">
        <f>VLOOKUP(B690,'Vendor -MOQ- Lead time'!$A$2:$C$45,3,0)</f>
        <v>270</v>
      </c>
      <c r="G690" s="7">
        <f t="shared" si="20"/>
        <v>0</v>
      </c>
      <c r="H690" s="7" t="s">
        <v>0</v>
      </c>
      <c r="I690" s="7" cm="1">
        <f t="array" ref="I690">_xlfn.IFS(H690="25-50%",230,H690="Top 25 %",260,H690="50-75%",200,H690="Last 25%",170,H690="Retire",150)</f>
        <v>170</v>
      </c>
      <c r="J690" s="15">
        <f t="shared" si="21"/>
        <v>0</v>
      </c>
    </row>
    <row r="691" spans="1:10" x14ac:dyDescent="0.3">
      <c r="A691" s="7" t="s">
        <v>743</v>
      </c>
      <c r="B691" s="7" t="str">
        <f>_xlfn.XLOOKUP(A691,'Vendor code- SKU mapping'!$B$1:$B$806,'Vendor code- SKU mapping'!$A$1:$A$806)</f>
        <v>ISte</v>
      </c>
      <c r="C691" s="7">
        <f>VLOOKUP(B691,'Vendor -MOQ- Lead time'!$A$2:$B$45,2,0)</f>
        <v>45</v>
      </c>
      <c r="D691" s="13">
        <f>ROUND(IF('Task 2'!G691&lt;0,ABS('Task 2'!G691),0),0)</f>
        <v>0</v>
      </c>
      <c r="E691" s="7">
        <f>ROUND('Task 2'!D691*'Task 3'!C691,0)</f>
        <v>0</v>
      </c>
      <c r="F691" s="7">
        <f>VLOOKUP(B691,'Vendor -MOQ- Lead time'!$A$2:$C$45,3,0)</f>
        <v>270</v>
      </c>
      <c r="G691" s="7">
        <f t="shared" si="20"/>
        <v>0</v>
      </c>
      <c r="H691" s="7" t="s">
        <v>0</v>
      </c>
      <c r="I691" s="7" cm="1">
        <f t="array" ref="I691">_xlfn.IFS(H691="25-50%",230,H691="Top 25 %",260,H691="50-75%",200,H691="Last 25%",170,H691="Retire",150)</f>
        <v>170</v>
      </c>
      <c r="J691" s="15">
        <f t="shared" si="21"/>
        <v>0</v>
      </c>
    </row>
    <row r="692" spans="1:10" x14ac:dyDescent="0.3">
      <c r="A692" s="7" t="s">
        <v>744</v>
      </c>
      <c r="B692" s="7" t="str">
        <f>_xlfn.XLOOKUP(A692,'Vendor code- SKU mapping'!$B$1:$B$806,'Vendor code- SKU mapping'!$A$1:$A$806)</f>
        <v>ISte</v>
      </c>
      <c r="C692" s="7">
        <f>VLOOKUP(B692,'Vendor -MOQ- Lead time'!$A$2:$B$45,2,0)</f>
        <v>45</v>
      </c>
      <c r="D692" s="13">
        <f>ROUND(IF('Task 2'!G692&lt;0,ABS('Task 2'!G692),0),0)</f>
        <v>0</v>
      </c>
      <c r="E692" s="7">
        <f>ROUND('Task 2'!D692*'Task 3'!C692,0)</f>
        <v>0</v>
      </c>
      <c r="F692" s="7">
        <f>VLOOKUP(B692,'Vendor -MOQ- Lead time'!$A$2:$C$45,3,0)</f>
        <v>270</v>
      </c>
      <c r="G692" s="7">
        <f t="shared" si="20"/>
        <v>0</v>
      </c>
      <c r="H692" s="7" t="s">
        <v>0</v>
      </c>
      <c r="I692" s="7" cm="1">
        <f t="array" ref="I692">_xlfn.IFS(H692="25-50%",230,H692="Top 25 %",260,H692="50-75%",200,H692="Last 25%",170,H692="Retire",150)</f>
        <v>170</v>
      </c>
      <c r="J692" s="15">
        <f t="shared" si="21"/>
        <v>0</v>
      </c>
    </row>
    <row r="693" spans="1:10" x14ac:dyDescent="0.3">
      <c r="A693" s="7" t="s">
        <v>745</v>
      </c>
      <c r="B693" s="7" t="str">
        <f>_xlfn.XLOOKUP(A693,'Vendor code- SKU mapping'!$B$1:$B$806,'Vendor code- SKU mapping'!$A$1:$A$806)</f>
        <v>ISte</v>
      </c>
      <c r="C693" s="7">
        <f>VLOOKUP(B693,'Vendor -MOQ- Lead time'!$A$2:$B$45,2,0)</f>
        <v>45</v>
      </c>
      <c r="D693" s="13">
        <f>ROUND(IF('Task 2'!G693&lt;0,ABS('Task 2'!G693),0),0)</f>
        <v>0</v>
      </c>
      <c r="E693" s="7">
        <f>ROUND('Task 2'!D693*'Task 3'!C693,0)</f>
        <v>0</v>
      </c>
      <c r="F693" s="7">
        <f>VLOOKUP(B693,'Vendor -MOQ- Lead time'!$A$2:$C$45,3,0)</f>
        <v>270</v>
      </c>
      <c r="G693" s="7">
        <f t="shared" si="20"/>
        <v>0</v>
      </c>
      <c r="H693" s="7" t="s">
        <v>0</v>
      </c>
      <c r="I693" s="7" cm="1">
        <f t="array" ref="I693">_xlfn.IFS(H693="25-50%",230,H693="Top 25 %",260,H693="50-75%",200,H693="Last 25%",170,H693="Retire",150)</f>
        <v>170</v>
      </c>
      <c r="J693" s="15">
        <f t="shared" si="21"/>
        <v>0</v>
      </c>
    </row>
    <row r="694" spans="1:10" x14ac:dyDescent="0.3">
      <c r="A694" s="7" t="s">
        <v>746</v>
      </c>
      <c r="B694" s="7" t="str">
        <f>_xlfn.XLOOKUP(A694,'Vendor code- SKU mapping'!$B$1:$B$806,'Vendor code- SKU mapping'!$A$1:$A$806)</f>
        <v>ISte</v>
      </c>
      <c r="C694" s="7">
        <f>VLOOKUP(B694,'Vendor -MOQ- Lead time'!$A$2:$B$45,2,0)</f>
        <v>45</v>
      </c>
      <c r="D694" s="13">
        <f>ROUND(IF('Task 2'!G694&lt;0,ABS('Task 2'!G694),0),0)</f>
        <v>0</v>
      </c>
      <c r="E694" s="7">
        <f>ROUND('Task 2'!D694*'Task 3'!C694,0)</f>
        <v>0</v>
      </c>
      <c r="F694" s="7">
        <f>VLOOKUP(B694,'Vendor -MOQ- Lead time'!$A$2:$C$45,3,0)</f>
        <v>270</v>
      </c>
      <c r="G694" s="7">
        <f t="shared" si="20"/>
        <v>0</v>
      </c>
      <c r="H694" s="7" t="s">
        <v>0</v>
      </c>
      <c r="I694" s="7" cm="1">
        <f t="array" ref="I694">_xlfn.IFS(H694="25-50%",230,H694="Top 25 %",260,H694="50-75%",200,H694="Last 25%",170,H694="Retire",150)</f>
        <v>170</v>
      </c>
      <c r="J694" s="15">
        <f t="shared" si="21"/>
        <v>0</v>
      </c>
    </row>
    <row r="695" spans="1:10" x14ac:dyDescent="0.3">
      <c r="A695" s="7" t="s">
        <v>747</v>
      </c>
      <c r="B695" s="7" t="str">
        <f>_xlfn.XLOOKUP(A695,'Vendor code- SKU mapping'!$B$1:$B$806,'Vendor code- SKU mapping'!$A$1:$A$806)</f>
        <v>ISte</v>
      </c>
      <c r="C695" s="7">
        <f>VLOOKUP(B695,'Vendor -MOQ- Lead time'!$A$2:$B$45,2,0)</f>
        <v>45</v>
      </c>
      <c r="D695" s="13">
        <f>ROUND(IF('Task 2'!G695&lt;0,ABS('Task 2'!G695),0),0)</f>
        <v>0</v>
      </c>
      <c r="E695" s="7">
        <f>ROUND('Task 2'!D695*'Task 3'!C695,0)</f>
        <v>0</v>
      </c>
      <c r="F695" s="7">
        <f>VLOOKUP(B695,'Vendor -MOQ- Lead time'!$A$2:$C$45,3,0)</f>
        <v>270</v>
      </c>
      <c r="G695" s="7">
        <f t="shared" si="20"/>
        <v>0</v>
      </c>
      <c r="H695" s="7" t="s">
        <v>0</v>
      </c>
      <c r="I695" s="7" cm="1">
        <f t="array" ref="I695">_xlfn.IFS(H695="25-50%",230,H695="Top 25 %",260,H695="50-75%",200,H695="Last 25%",170,H695="Retire",150)</f>
        <v>170</v>
      </c>
      <c r="J695" s="15">
        <f t="shared" si="21"/>
        <v>0</v>
      </c>
    </row>
    <row r="696" spans="1:10" x14ac:dyDescent="0.3">
      <c r="A696" s="7" t="s">
        <v>748</v>
      </c>
      <c r="B696" s="7" t="str">
        <f>_xlfn.XLOOKUP(A696,'Vendor code- SKU mapping'!$B$1:$B$806,'Vendor code- SKU mapping'!$A$1:$A$806)</f>
        <v>ISte</v>
      </c>
      <c r="C696" s="7">
        <f>VLOOKUP(B696,'Vendor -MOQ- Lead time'!$A$2:$B$45,2,0)</f>
        <v>45</v>
      </c>
      <c r="D696" s="13">
        <f>ROUND(IF('Task 2'!G696&lt;0,ABS('Task 2'!G696),0),0)</f>
        <v>0</v>
      </c>
      <c r="E696" s="7">
        <f>ROUND('Task 2'!D696*'Task 3'!C696,0)</f>
        <v>0</v>
      </c>
      <c r="F696" s="7">
        <f>VLOOKUP(B696,'Vendor -MOQ- Lead time'!$A$2:$C$45,3,0)</f>
        <v>270</v>
      </c>
      <c r="G696" s="7">
        <f t="shared" si="20"/>
        <v>0</v>
      </c>
      <c r="H696" s="7" t="s">
        <v>0</v>
      </c>
      <c r="I696" s="7" cm="1">
        <f t="array" ref="I696">_xlfn.IFS(H696="25-50%",230,H696="Top 25 %",260,H696="50-75%",200,H696="Last 25%",170,H696="Retire",150)</f>
        <v>170</v>
      </c>
      <c r="J696" s="15">
        <f t="shared" si="21"/>
        <v>0</v>
      </c>
    </row>
    <row r="697" spans="1:10" x14ac:dyDescent="0.3">
      <c r="A697" s="7" t="s">
        <v>749</v>
      </c>
      <c r="B697" s="7" t="str">
        <f>_xlfn.XLOOKUP(A697,'Vendor code- SKU mapping'!$B$1:$B$806,'Vendor code- SKU mapping'!$A$1:$A$806)</f>
        <v>ISte</v>
      </c>
      <c r="C697" s="7">
        <f>VLOOKUP(B697,'Vendor -MOQ- Lead time'!$A$2:$B$45,2,0)</f>
        <v>45</v>
      </c>
      <c r="D697" s="13">
        <f>ROUND(IF('Task 2'!G697&lt;0,ABS('Task 2'!G697),0),0)</f>
        <v>0</v>
      </c>
      <c r="E697" s="7">
        <f>ROUND('Task 2'!D697*'Task 3'!C697,0)</f>
        <v>3</v>
      </c>
      <c r="F697" s="7">
        <f>VLOOKUP(B697,'Vendor -MOQ- Lead time'!$A$2:$C$45,3,0)</f>
        <v>270</v>
      </c>
      <c r="G697" s="7">
        <f t="shared" si="20"/>
        <v>270</v>
      </c>
      <c r="H697" s="7" t="s">
        <v>0</v>
      </c>
      <c r="I697" s="7" cm="1">
        <f t="array" ref="I697">_xlfn.IFS(H697="25-50%",230,H697="Top 25 %",260,H697="50-75%",200,H697="Last 25%",170,H697="Retire",150)</f>
        <v>170</v>
      </c>
      <c r="J697" s="15">
        <f t="shared" si="21"/>
        <v>45900</v>
      </c>
    </row>
    <row r="698" spans="1:10" x14ac:dyDescent="0.3">
      <c r="A698" s="7" t="s">
        <v>750</v>
      </c>
      <c r="B698" s="7" t="str">
        <f>_xlfn.XLOOKUP(A698,'Vendor code- SKU mapping'!$B$1:$B$806,'Vendor code- SKU mapping'!$A$1:$A$806)</f>
        <v>ISV</v>
      </c>
      <c r="C698" s="7">
        <f>VLOOKUP(B698,'Vendor -MOQ- Lead time'!$A$2:$B$45,2,0)</f>
        <v>45</v>
      </c>
      <c r="D698" s="13">
        <f>ROUND(IF('Task 2'!G698&lt;0,ABS('Task 2'!G698),0),0)</f>
        <v>0</v>
      </c>
      <c r="E698" s="7">
        <f>ROUND('Task 2'!D698*'Task 3'!C698,0)</f>
        <v>0</v>
      </c>
      <c r="F698" s="7">
        <f>VLOOKUP(B698,'Vendor -MOQ- Lead time'!$A$2:$C$45,3,0)</f>
        <v>270</v>
      </c>
      <c r="G698" s="7">
        <f t="shared" si="20"/>
        <v>0</v>
      </c>
      <c r="H698" s="7" t="s">
        <v>0</v>
      </c>
      <c r="I698" s="7" cm="1">
        <f t="array" ref="I698">_xlfn.IFS(H698="25-50%",230,H698="Top 25 %",260,H698="50-75%",200,H698="Last 25%",170,H698="Retire",150)</f>
        <v>170</v>
      </c>
      <c r="J698" s="15">
        <f t="shared" si="21"/>
        <v>0</v>
      </c>
    </row>
    <row r="699" spans="1:10" x14ac:dyDescent="0.3">
      <c r="A699" s="7" t="s">
        <v>751</v>
      </c>
      <c r="B699" s="7" t="str">
        <f>_xlfn.XLOOKUP(A699,'Vendor code- SKU mapping'!$B$1:$B$806,'Vendor code- SKU mapping'!$A$1:$A$806)</f>
        <v>ISV</v>
      </c>
      <c r="C699" s="7">
        <f>VLOOKUP(B699,'Vendor -MOQ- Lead time'!$A$2:$B$45,2,0)</f>
        <v>45</v>
      </c>
      <c r="D699" s="13">
        <f>ROUND(IF('Task 2'!G699&lt;0,ABS('Task 2'!G699),0),0)</f>
        <v>0</v>
      </c>
      <c r="E699" s="7">
        <f>ROUND('Task 2'!D699*'Task 3'!C699,0)</f>
        <v>0</v>
      </c>
      <c r="F699" s="7">
        <f>VLOOKUP(B699,'Vendor -MOQ- Lead time'!$A$2:$C$45,3,0)</f>
        <v>270</v>
      </c>
      <c r="G699" s="7">
        <f t="shared" si="20"/>
        <v>0</v>
      </c>
      <c r="H699" s="7" t="s">
        <v>0</v>
      </c>
      <c r="I699" s="7" cm="1">
        <f t="array" ref="I699">_xlfn.IFS(H699="25-50%",230,H699="Top 25 %",260,H699="50-75%",200,H699="Last 25%",170,H699="Retire",150)</f>
        <v>170</v>
      </c>
      <c r="J699" s="15">
        <f t="shared" si="21"/>
        <v>0</v>
      </c>
    </row>
    <row r="700" spans="1:10" x14ac:dyDescent="0.3">
      <c r="A700" s="7" t="s">
        <v>752</v>
      </c>
      <c r="B700" s="7" t="str">
        <f>_xlfn.XLOOKUP(A700,'Vendor code- SKU mapping'!$B$1:$B$806,'Vendor code- SKU mapping'!$A$1:$A$806)</f>
        <v>ISV</v>
      </c>
      <c r="C700" s="7">
        <f>VLOOKUP(B700,'Vendor -MOQ- Lead time'!$A$2:$B$45,2,0)</f>
        <v>45</v>
      </c>
      <c r="D700" s="13">
        <f>ROUND(IF('Task 2'!G700&lt;0,ABS('Task 2'!G700),0),0)</f>
        <v>0</v>
      </c>
      <c r="E700" s="7">
        <f>ROUND('Task 2'!D700*'Task 3'!C700,0)</f>
        <v>0</v>
      </c>
      <c r="F700" s="7">
        <f>VLOOKUP(B700,'Vendor -MOQ- Lead time'!$A$2:$C$45,3,0)</f>
        <v>270</v>
      </c>
      <c r="G700" s="7">
        <f t="shared" si="20"/>
        <v>0</v>
      </c>
      <c r="H700" s="7" t="s">
        <v>0</v>
      </c>
      <c r="I700" s="7" cm="1">
        <f t="array" ref="I700">_xlfn.IFS(H700="25-50%",230,H700="Top 25 %",260,H700="50-75%",200,H700="Last 25%",170,H700="Retire",150)</f>
        <v>170</v>
      </c>
      <c r="J700" s="15">
        <f t="shared" si="21"/>
        <v>0</v>
      </c>
    </row>
    <row r="701" spans="1:10" x14ac:dyDescent="0.3">
      <c r="A701" s="7" t="s">
        <v>753</v>
      </c>
      <c r="B701" s="7" t="str">
        <f>_xlfn.XLOOKUP(A701,'Vendor code- SKU mapping'!$B$1:$B$806,'Vendor code- SKU mapping'!$A$1:$A$806)</f>
        <v>ISV</v>
      </c>
      <c r="C701" s="7">
        <f>VLOOKUP(B701,'Vendor -MOQ- Lead time'!$A$2:$B$45,2,0)</f>
        <v>45</v>
      </c>
      <c r="D701" s="13">
        <f>ROUND(IF('Task 2'!G701&lt;0,ABS('Task 2'!G701),0),0)</f>
        <v>0</v>
      </c>
      <c r="E701" s="7">
        <f>ROUND('Task 2'!D701*'Task 3'!C701,0)</f>
        <v>0</v>
      </c>
      <c r="F701" s="7">
        <f>VLOOKUP(B701,'Vendor -MOQ- Lead time'!$A$2:$C$45,3,0)</f>
        <v>270</v>
      </c>
      <c r="G701" s="7">
        <f t="shared" si="20"/>
        <v>0</v>
      </c>
      <c r="H701" s="7" t="s">
        <v>0</v>
      </c>
      <c r="I701" s="7" cm="1">
        <f t="array" ref="I701">_xlfn.IFS(H701="25-50%",230,H701="Top 25 %",260,H701="50-75%",200,H701="Last 25%",170,H701="Retire",150)</f>
        <v>170</v>
      </c>
      <c r="J701" s="15">
        <f t="shared" si="21"/>
        <v>0</v>
      </c>
    </row>
    <row r="702" spans="1:10" x14ac:dyDescent="0.3">
      <c r="A702" s="7" t="s">
        <v>754</v>
      </c>
      <c r="B702" s="7" t="str">
        <f>_xlfn.XLOOKUP(A702,'Vendor code- SKU mapping'!$B$1:$B$806,'Vendor code- SKU mapping'!$A$1:$A$806)</f>
        <v>ISV</v>
      </c>
      <c r="C702" s="7">
        <f>VLOOKUP(B702,'Vendor -MOQ- Lead time'!$A$2:$B$45,2,0)</f>
        <v>45</v>
      </c>
      <c r="D702" s="13">
        <f>ROUND(IF('Task 2'!G702&lt;0,ABS('Task 2'!G702),0),0)</f>
        <v>0</v>
      </c>
      <c r="E702" s="7">
        <f>ROUND('Task 2'!D702*'Task 3'!C702,0)</f>
        <v>0</v>
      </c>
      <c r="F702" s="7">
        <f>VLOOKUP(B702,'Vendor -MOQ- Lead time'!$A$2:$C$45,3,0)</f>
        <v>270</v>
      </c>
      <c r="G702" s="7">
        <f t="shared" si="20"/>
        <v>0</v>
      </c>
      <c r="H702" s="7" t="s">
        <v>0</v>
      </c>
      <c r="I702" s="7" cm="1">
        <f t="array" ref="I702">_xlfn.IFS(H702="25-50%",230,H702="Top 25 %",260,H702="50-75%",200,H702="Last 25%",170,H702="Retire",150)</f>
        <v>170</v>
      </c>
      <c r="J702" s="15">
        <f t="shared" si="21"/>
        <v>0</v>
      </c>
    </row>
    <row r="703" spans="1:10" x14ac:dyDescent="0.3">
      <c r="A703" s="7" t="s">
        <v>755</v>
      </c>
      <c r="B703" s="7" t="str">
        <f>_xlfn.XLOOKUP(A703,'Vendor code- SKU mapping'!$B$1:$B$806,'Vendor code- SKU mapping'!$A$1:$A$806)</f>
        <v>ISV</v>
      </c>
      <c r="C703" s="7">
        <f>VLOOKUP(B703,'Vendor -MOQ- Lead time'!$A$2:$B$45,2,0)</f>
        <v>45</v>
      </c>
      <c r="D703" s="13">
        <f>ROUND(IF('Task 2'!G703&lt;0,ABS('Task 2'!G703),0),0)</f>
        <v>0</v>
      </c>
      <c r="E703" s="7">
        <f>ROUND('Task 2'!D703*'Task 3'!C703,0)</f>
        <v>0</v>
      </c>
      <c r="F703" s="7">
        <f>VLOOKUP(B703,'Vendor -MOQ- Lead time'!$A$2:$C$45,3,0)</f>
        <v>270</v>
      </c>
      <c r="G703" s="7">
        <f t="shared" si="20"/>
        <v>0</v>
      </c>
      <c r="H703" s="7" t="s">
        <v>0</v>
      </c>
      <c r="I703" s="7" cm="1">
        <f t="array" ref="I703">_xlfn.IFS(H703="25-50%",230,H703="Top 25 %",260,H703="50-75%",200,H703="Last 25%",170,H703="Retire",150)</f>
        <v>170</v>
      </c>
      <c r="J703" s="15">
        <f t="shared" si="21"/>
        <v>0</v>
      </c>
    </row>
    <row r="704" spans="1:10" x14ac:dyDescent="0.3">
      <c r="A704" s="7" t="s">
        <v>756</v>
      </c>
      <c r="B704" s="7" t="str">
        <f>_xlfn.XLOOKUP(A704,'Vendor code- SKU mapping'!$B$1:$B$806,'Vendor code- SKU mapping'!$A$1:$A$806)</f>
        <v>ISV</v>
      </c>
      <c r="C704" s="7">
        <f>VLOOKUP(B704,'Vendor -MOQ- Lead time'!$A$2:$B$45,2,0)</f>
        <v>45</v>
      </c>
      <c r="D704" s="13">
        <f>ROUND(IF('Task 2'!G704&lt;0,ABS('Task 2'!G704),0),0)</f>
        <v>0</v>
      </c>
      <c r="E704" s="7">
        <f>ROUND('Task 2'!D704*'Task 3'!C704,0)</f>
        <v>0</v>
      </c>
      <c r="F704" s="7">
        <f>VLOOKUP(B704,'Vendor -MOQ- Lead time'!$A$2:$C$45,3,0)</f>
        <v>270</v>
      </c>
      <c r="G704" s="7">
        <f t="shared" si="20"/>
        <v>0</v>
      </c>
      <c r="H704" s="7" t="s">
        <v>0</v>
      </c>
      <c r="I704" s="7" cm="1">
        <f t="array" ref="I704">_xlfn.IFS(H704="25-50%",230,H704="Top 25 %",260,H704="50-75%",200,H704="Last 25%",170,H704="Retire",150)</f>
        <v>170</v>
      </c>
      <c r="J704" s="15">
        <f t="shared" si="21"/>
        <v>0</v>
      </c>
    </row>
    <row r="705" spans="1:10" x14ac:dyDescent="0.3">
      <c r="A705" s="7" t="s">
        <v>757</v>
      </c>
      <c r="B705" s="7" t="str">
        <f>_xlfn.XLOOKUP(A705,'Vendor code- SKU mapping'!$B$1:$B$806,'Vendor code- SKU mapping'!$A$1:$A$806)</f>
        <v>OKan</v>
      </c>
      <c r="C705" s="7">
        <f>VLOOKUP(B705,'Vendor -MOQ- Lead time'!$A$2:$B$45,2,0)</f>
        <v>45</v>
      </c>
      <c r="D705" s="13">
        <f>ROUND(IF('Task 2'!G705&lt;0,ABS('Task 2'!G705),0),0)</f>
        <v>0</v>
      </c>
      <c r="E705" s="7">
        <f>ROUND('Task 2'!D705*'Task 3'!C705,0)</f>
        <v>0</v>
      </c>
      <c r="F705" s="7">
        <f>VLOOKUP(B705,'Vendor -MOQ- Lead time'!$A$2:$C$45,3,0)</f>
        <v>270</v>
      </c>
      <c r="G705" s="7">
        <f t="shared" si="20"/>
        <v>0</v>
      </c>
      <c r="H705" s="7" t="s">
        <v>0</v>
      </c>
      <c r="I705" s="7" cm="1">
        <f t="array" ref="I705">_xlfn.IFS(H705="25-50%",230,H705="Top 25 %",260,H705="50-75%",200,H705="Last 25%",170,H705="Retire",150)</f>
        <v>170</v>
      </c>
      <c r="J705" s="15">
        <f t="shared" si="21"/>
        <v>0</v>
      </c>
    </row>
    <row r="706" spans="1:10" x14ac:dyDescent="0.3">
      <c r="A706" s="7" t="s">
        <v>758</v>
      </c>
      <c r="B706" s="7" t="str">
        <f>_xlfn.XLOOKUP(A706,'Vendor code- SKU mapping'!$B$1:$B$806,'Vendor code- SKU mapping'!$A$1:$A$806)</f>
        <v>OKan</v>
      </c>
      <c r="C706" s="7">
        <f>VLOOKUP(B706,'Vendor -MOQ- Lead time'!$A$2:$B$45,2,0)</f>
        <v>45</v>
      </c>
      <c r="D706" s="13">
        <f>ROUND(IF('Task 2'!G706&lt;0,ABS('Task 2'!G706),0),0)</f>
        <v>0</v>
      </c>
      <c r="E706" s="7">
        <f>ROUND('Task 2'!D706*'Task 3'!C706,0)</f>
        <v>0</v>
      </c>
      <c r="F706" s="7">
        <f>VLOOKUP(B706,'Vendor -MOQ- Lead time'!$A$2:$C$45,3,0)</f>
        <v>270</v>
      </c>
      <c r="G706" s="7">
        <f t="shared" si="20"/>
        <v>0</v>
      </c>
      <c r="H706" s="7" t="s">
        <v>0</v>
      </c>
      <c r="I706" s="7" cm="1">
        <f t="array" ref="I706">_xlfn.IFS(H706="25-50%",230,H706="Top 25 %",260,H706="50-75%",200,H706="Last 25%",170,H706="Retire",150)</f>
        <v>170</v>
      </c>
      <c r="J706" s="15">
        <f t="shared" si="21"/>
        <v>0</v>
      </c>
    </row>
    <row r="707" spans="1:10" x14ac:dyDescent="0.3">
      <c r="A707" s="7" t="s">
        <v>759</v>
      </c>
      <c r="B707" s="7" t="str">
        <f>_xlfn.XLOOKUP(A707,'Vendor code- SKU mapping'!$B$1:$B$806,'Vendor code- SKU mapping'!$A$1:$A$806)</f>
        <v>OKan</v>
      </c>
      <c r="C707" s="7">
        <f>VLOOKUP(B707,'Vendor -MOQ- Lead time'!$A$2:$B$45,2,0)</f>
        <v>45</v>
      </c>
      <c r="D707" s="13">
        <f>ROUND(IF('Task 2'!G707&lt;0,ABS('Task 2'!G707),0),0)</f>
        <v>0</v>
      </c>
      <c r="E707" s="7">
        <f>ROUND('Task 2'!D707*'Task 3'!C707,0)</f>
        <v>0</v>
      </c>
      <c r="F707" s="7">
        <f>VLOOKUP(B707,'Vendor -MOQ- Lead time'!$A$2:$C$45,3,0)</f>
        <v>270</v>
      </c>
      <c r="G707" s="7">
        <f t="shared" ref="G707:G763" si="22">CEILING(D707+E707,F707)</f>
        <v>0</v>
      </c>
      <c r="H707" s="7" t="s">
        <v>0</v>
      </c>
      <c r="I707" s="7" cm="1">
        <f t="array" ref="I707">_xlfn.IFS(H707="25-50%",230,H707="Top 25 %",260,H707="50-75%",200,H707="Last 25%",170,H707="Retire",150)</f>
        <v>170</v>
      </c>
      <c r="J707" s="15">
        <f t="shared" ref="J707:J763" si="23">G707*I707</f>
        <v>0</v>
      </c>
    </row>
    <row r="708" spans="1:10" x14ac:dyDescent="0.3">
      <c r="A708" s="7" t="s">
        <v>760</v>
      </c>
      <c r="B708" s="7" t="str">
        <f>_xlfn.XLOOKUP(A708,'Vendor code- SKU mapping'!$B$1:$B$806,'Vendor code- SKU mapping'!$A$1:$A$806)</f>
        <v>OKan</v>
      </c>
      <c r="C708" s="7">
        <f>VLOOKUP(B708,'Vendor -MOQ- Lead time'!$A$2:$B$45,2,0)</f>
        <v>45</v>
      </c>
      <c r="D708" s="13">
        <f>ROUND(IF('Task 2'!G708&lt;0,ABS('Task 2'!G708),0),0)</f>
        <v>0</v>
      </c>
      <c r="E708" s="7">
        <f>ROUND('Task 2'!D708*'Task 3'!C708,0)</f>
        <v>0</v>
      </c>
      <c r="F708" s="7">
        <f>VLOOKUP(B708,'Vendor -MOQ- Lead time'!$A$2:$C$45,3,0)</f>
        <v>270</v>
      </c>
      <c r="G708" s="7">
        <f t="shared" si="22"/>
        <v>0</v>
      </c>
      <c r="H708" s="7" t="s">
        <v>0</v>
      </c>
      <c r="I708" s="7" cm="1">
        <f t="array" ref="I708">_xlfn.IFS(H708="25-50%",230,H708="Top 25 %",260,H708="50-75%",200,H708="Last 25%",170,H708="Retire",150)</f>
        <v>170</v>
      </c>
      <c r="J708" s="15">
        <f t="shared" si="23"/>
        <v>0</v>
      </c>
    </row>
    <row r="709" spans="1:10" x14ac:dyDescent="0.3">
      <c r="A709" s="7" t="s">
        <v>761</v>
      </c>
      <c r="B709" s="7" t="str">
        <f>_xlfn.XLOOKUP(A709,'Vendor code- SKU mapping'!$B$1:$B$806,'Vendor code- SKU mapping'!$A$1:$A$806)</f>
        <v>OKan</v>
      </c>
      <c r="C709" s="7">
        <f>VLOOKUP(B709,'Vendor -MOQ- Lead time'!$A$2:$B$45,2,0)</f>
        <v>45</v>
      </c>
      <c r="D709" s="13">
        <f>ROUND(IF('Task 2'!G709&lt;0,ABS('Task 2'!G709),0),0)</f>
        <v>0</v>
      </c>
      <c r="E709" s="7">
        <f>ROUND('Task 2'!D709*'Task 3'!C709,0)</f>
        <v>0</v>
      </c>
      <c r="F709" s="7">
        <f>VLOOKUP(B709,'Vendor -MOQ- Lead time'!$A$2:$C$45,3,0)</f>
        <v>270</v>
      </c>
      <c r="G709" s="7">
        <f t="shared" si="22"/>
        <v>0</v>
      </c>
      <c r="H709" s="7" t="s">
        <v>0</v>
      </c>
      <c r="I709" s="7" cm="1">
        <f t="array" ref="I709">_xlfn.IFS(H709="25-50%",230,H709="Top 25 %",260,H709="50-75%",200,H709="Last 25%",170,H709="Retire",150)</f>
        <v>170</v>
      </c>
      <c r="J709" s="15">
        <f t="shared" si="23"/>
        <v>0</v>
      </c>
    </row>
    <row r="710" spans="1:10" x14ac:dyDescent="0.3">
      <c r="A710" s="7" t="s">
        <v>762</v>
      </c>
      <c r="B710" s="7" t="str">
        <f>_xlfn.XLOOKUP(A710,'Vendor code- SKU mapping'!$B$1:$B$806,'Vendor code- SKU mapping'!$A$1:$A$806)</f>
        <v>OKan</v>
      </c>
      <c r="C710" s="7">
        <f>VLOOKUP(B710,'Vendor -MOQ- Lead time'!$A$2:$B$45,2,0)</f>
        <v>45</v>
      </c>
      <c r="D710" s="13">
        <f>ROUND(IF('Task 2'!G710&lt;0,ABS('Task 2'!G710),0),0)</f>
        <v>0</v>
      </c>
      <c r="E710" s="7">
        <f>ROUND('Task 2'!D710*'Task 3'!C710,0)</f>
        <v>0</v>
      </c>
      <c r="F710" s="7">
        <f>VLOOKUP(B710,'Vendor -MOQ- Lead time'!$A$2:$C$45,3,0)</f>
        <v>270</v>
      </c>
      <c r="G710" s="7">
        <f t="shared" si="22"/>
        <v>0</v>
      </c>
      <c r="H710" s="7" t="s">
        <v>0</v>
      </c>
      <c r="I710" s="7" cm="1">
        <f t="array" ref="I710">_xlfn.IFS(H710="25-50%",230,H710="Top 25 %",260,H710="50-75%",200,H710="Last 25%",170,H710="Retire",150)</f>
        <v>170</v>
      </c>
      <c r="J710" s="15">
        <f t="shared" si="23"/>
        <v>0</v>
      </c>
    </row>
    <row r="711" spans="1:10" x14ac:dyDescent="0.3">
      <c r="A711" s="7" t="s">
        <v>763</v>
      </c>
      <c r="B711" s="7" t="str">
        <f>_xlfn.XLOOKUP(A711,'Vendor code- SKU mapping'!$B$1:$B$806,'Vendor code- SKU mapping'!$A$1:$A$806)</f>
        <v>OKan</v>
      </c>
      <c r="C711" s="7">
        <f>VLOOKUP(B711,'Vendor -MOQ- Lead time'!$A$2:$B$45,2,0)</f>
        <v>45</v>
      </c>
      <c r="D711" s="13">
        <f>ROUND(IF('Task 2'!G711&lt;0,ABS('Task 2'!G711),0),0)</f>
        <v>0</v>
      </c>
      <c r="E711" s="7">
        <f>ROUND('Task 2'!D711*'Task 3'!C711,0)</f>
        <v>0</v>
      </c>
      <c r="F711" s="7">
        <f>VLOOKUP(B711,'Vendor -MOQ- Lead time'!$A$2:$C$45,3,0)</f>
        <v>270</v>
      </c>
      <c r="G711" s="7">
        <f t="shared" si="22"/>
        <v>0</v>
      </c>
      <c r="H711" s="7" t="s">
        <v>0</v>
      </c>
      <c r="I711" s="7" cm="1">
        <f t="array" ref="I711">_xlfn.IFS(H711="25-50%",230,H711="Top 25 %",260,H711="50-75%",200,H711="Last 25%",170,H711="Retire",150)</f>
        <v>170</v>
      </c>
      <c r="J711" s="15">
        <f t="shared" si="23"/>
        <v>0</v>
      </c>
    </row>
    <row r="712" spans="1:10" x14ac:dyDescent="0.3">
      <c r="A712" s="7" t="s">
        <v>764</v>
      </c>
      <c r="B712" s="7" t="str">
        <f>_xlfn.XLOOKUP(A712,'Vendor code- SKU mapping'!$B$1:$B$806,'Vendor code- SKU mapping'!$A$1:$A$806)</f>
        <v>OKan</v>
      </c>
      <c r="C712" s="7">
        <f>VLOOKUP(B712,'Vendor -MOQ- Lead time'!$A$2:$B$45,2,0)</f>
        <v>45</v>
      </c>
      <c r="D712" s="13">
        <f>ROUND(IF('Task 2'!G712&lt;0,ABS('Task 2'!G712),0),0)</f>
        <v>0</v>
      </c>
      <c r="E712" s="7">
        <f>ROUND('Task 2'!D712*'Task 3'!C712,0)</f>
        <v>0</v>
      </c>
      <c r="F712" s="7">
        <f>VLOOKUP(B712,'Vendor -MOQ- Lead time'!$A$2:$C$45,3,0)</f>
        <v>270</v>
      </c>
      <c r="G712" s="7">
        <f t="shared" si="22"/>
        <v>0</v>
      </c>
      <c r="H712" s="7" t="s">
        <v>0</v>
      </c>
      <c r="I712" s="7" cm="1">
        <f t="array" ref="I712">_xlfn.IFS(H712="25-50%",230,H712="Top 25 %",260,H712="50-75%",200,H712="Last 25%",170,H712="Retire",150)</f>
        <v>170</v>
      </c>
      <c r="J712" s="15">
        <f t="shared" si="23"/>
        <v>0</v>
      </c>
    </row>
    <row r="713" spans="1:10" x14ac:dyDescent="0.3">
      <c r="A713" s="7" t="s">
        <v>765</v>
      </c>
      <c r="B713" s="7" t="str">
        <f>_xlfn.XLOOKUP(A713,'Vendor code- SKU mapping'!$B$1:$B$806,'Vendor code- SKU mapping'!$A$1:$A$806)</f>
        <v>OKan</v>
      </c>
      <c r="C713" s="7">
        <f>VLOOKUP(B713,'Vendor -MOQ- Lead time'!$A$2:$B$45,2,0)</f>
        <v>45</v>
      </c>
      <c r="D713" s="13">
        <f>ROUND(IF('Task 2'!G713&lt;0,ABS('Task 2'!G713),0),0)</f>
        <v>0</v>
      </c>
      <c r="E713" s="7">
        <f>ROUND('Task 2'!D713*'Task 3'!C713,0)</f>
        <v>0</v>
      </c>
      <c r="F713" s="7">
        <f>VLOOKUP(B713,'Vendor -MOQ- Lead time'!$A$2:$C$45,3,0)</f>
        <v>270</v>
      </c>
      <c r="G713" s="7">
        <f t="shared" si="22"/>
        <v>0</v>
      </c>
      <c r="H713" s="7" t="s">
        <v>0</v>
      </c>
      <c r="I713" s="7" cm="1">
        <f t="array" ref="I713">_xlfn.IFS(H713="25-50%",230,H713="Top 25 %",260,H713="50-75%",200,H713="Last 25%",170,H713="Retire",150)</f>
        <v>170</v>
      </c>
      <c r="J713" s="15">
        <f t="shared" si="23"/>
        <v>0</v>
      </c>
    </row>
    <row r="714" spans="1:10" x14ac:dyDescent="0.3">
      <c r="A714" s="7" t="s">
        <v>766</v>
      </c>
      <c r="B714" s="7" t="str">
        <f>_xlfn.XLOOKUP(A714,'Vendor code- SKU mapping'!$B$1:$B$806,'Vendor code- SKU mapping'!$A$1:$A$806)</f>
        <v>ISte</v>
      </c>
      <c r="C714" s="7">
        <f>VLOOKUP(B714,'Vendor -MOQ- Lead time'!$A$2:$B$45,2,0)</f>
        <v>45</v>
      </c>
      <c r="D714" s="13">
        <f>ROUND(IF('Task 2'!G714&lt;0,ABS('Task 2'!G714),0),0)</f>
        <v>0</v>
      </c>
      <c r="E714" s="7">
        <f>ROUND('Task 2'!D714*'Task 3'!C714,0)</f>
        <v>0</v>
      </c>
      <c r="F714" s="7">
        <f>VLOOKUP(B714,'Vendor -MOQ- Lead time'!$A$2:$C$45,3,0)</f>
        <v>270</v>
      </c>
      <c r="G714" s="7">
        <f t="shared" si="22"/>
        <v>0</v>
      </c>
      <c r="H714" s="7" t="s">
        <v>0</v>
      </c>
      <c r="I714" s="7" cm="1">
        <f t="array" ref="I714">_xlfn.IFS(H714="25-50%",230,H714="Top 25 %",260,H714="50-75%",200,H714="Last 25%",170,H714="Retire",150)</f>
        <v>170</v>
      </c>
      <c r="J714" s="15">
        <f t="shared" si="23"/>
        <v>0</v>
      </c>
    </row>
    <row r="715" spans="1:10" x14ac:dyDescent="0.3">
      <c r="A715" s="7" t="s">
        <v>767</v>
      </c>
      <c r="B715" s="7" t="str">
        <f>_xlfn.XLOOKUP(A715,'Vendor code- SKU mapping'!$B$1:$B$806,'Vendor code- SKU mapping'!$A$1:$A$806)</f>
        <v>ISV</v>
      </c>
      <c r="C715" s="7">
        <f>VLOOKUP(B715,'Vendor -MOQ- Lead time'!$A$2:$B$45,2,0)</f>
        <v>45</v>
      </c>
      <c r="D715" s="13">
        <f>ROUND(IF('Task 2'!G715&lt;0,ABS('Task 2'!G715),0),0)</f>
        <v>0</v>
      </c>
      <c r="E715" s="7">
        <f>ROUND('Task 2'!D715*'Task 3'!C715,0)</f>
        <v>0</v>
      </c>
      <c r="F715" s="7">
        <f>VLOOKUP(B715,'Vendor -MOQ- Lead time'!$A$2:$C$45,3,0)</f>
        <v>270</v>
      </c>
      <c r="G715" s="7">
        <f t="shared" si="22"/>
        <v>0</v>
      </c>
      <c r="H715" s="7" t="s">
        <v>0</v>
      </c>
      <c r="I715" s="7" cm="1">
        <f t="array" ref="I715">_xlfn.IFS(H715="25-50%",230,H715="Top 25 %",260,H715="50-75%",200,H715="Last 25%",170,H715="Retire",150)</f>
        <v>170</v>
      </c>
      <c r="J715" s="15">
        <f t="shared" si="23"/>
        <v>0</v>
      </c>
    </row>
    <row r="716" spans="1:10" x14ac:dyDescent="0.3">
      <c r="A716" s="7" t="s">
        <v>768</v>
      </c>
      <c r="B716" s="7" t="str">
        <f>_xlfn.XLOOKUP(A716,'Vendor code- SKU mapping'!$B$1:$B$806,'Vendor code- SKU mapping'!$A$1:$A$806)</f>
        <v>ORoy</v>
      </c>
      <c r="C716" s="7">
        <f>VLOOKUP(B716,'Vendor -MOQ- Lead time'!$A$2:$B$45,2,0)</f>
        <v>45</v>
      </c>
      <c r="D716" s="13">
        <f>ROUND(IF('Task 2'!G716&lt;0,ABS('Task 2'!G716),0),0)</f>
        <v>0</v>
      </c>
      <c r="E716" s="7">
        <f>ROUND('Task 2'!D716*'Task 3'!C716,0)</f>
        <v>0</v>
      </c>
      <c r="F716" s="7">
        <f>VLOOKUP(B716,'Vendor -MOQ- Lead time'!$A$2:$C$45,3,0)</f>
        <v>270</v>
      </c>
      <c r="G716" s="7">
        <f t="shared" si="22"/>
        <v>0</v>
      </c>
      <c r="H716" s="7" t="s">
        <v>0</v>
      </c>
      <c r="I716" s="7" cm="1">
        <f t="array" ref="I716">_xlfn.IFS(H716="25-50%",230,H716="Top 25 %",260,H716="50-75%",200,H716="Last 25%",170,H716="Retire",150)</f>
        <v>170</v>
      </c>
      <c r="J716" s="15">
        <f t="shared" si="23"/>
        <v>0</v>
      </c>
    </row>
    <row r="717" spans="1:10" x14ac:dyDescent="0.3">
      <c r="A717" s="7" t="s">
        <v>769</v>
      </c>
      <c r="B717" s="7" t="str">
        <f>_xlfn.XLOOKUP(A717,'Vendor code- SKU mapping'!$B$1:$B$806,'Vendor code- SKU mapping'!$A$1:$A$806)</f>
        <v>ORoy</v>
      </c>
      <c r="C717" s="7">
        <f>VLOOKUP(B717,'Vendor -MOQ- Lead time'!$A$2:$B$45,2,0)</f>
        <v>45</v>
      </c>
      <c r="D717" s="13">
        <f>ROUND(IF('Task 2'!G717&lt;0,ABS('Task 2'!G717),0),0)</f>
        <v>0</v>
      </c>
      <c r="E717" s="7">
        <f>ROUND('Task 2'!D717*'Task 3'!C717,0)</f>
        <v>0</v>
      </c>
      <c r="F717" s="7">
        <f>VLOOKUP(B717,'Vendor -MOQ- Lead time'!$A$2:$C$45,3,0)</f>
        <v>270</v>
      </c>
      <c r="G717" s="7">
        <f t="shared" si="22"/>
        <v>0</v>
      </c>
      <c r="H717" s="7" t="s">
        <v>0</v>
      </c>
      <c r="I717" s="7" cm="1">
        <f t="array" ref="I717">_xlfn.IFS(H717="25-50%",230,H717="Top 25 %",260,H717="50-75%",200,H717="Last 25%",170,H717="Retire",150)</f>
        <v>170</v>
      </c>
      <c r="J717" s="15">
        <f t="shared" si="23"/>
        <v>0</v>
      </c>
    </row>
    <row r="718" spans="1:10" x14ac:dyDescent="0.3">
      <c r="A718" s="7" t="s">
        <v>770</v>
      </c>
      <c r="B718" s="7" t="str">
        <f>_xlfn.XLOOKUP(A718,'Vendor code- SKU mapping'!$B$1:$B$806,'Vendor code- SKU mapping'!$A$1:$A$806)</f>
        <v>IStu</v>
      </c>
      <c r="C718" s="7">
        <f>VLOOKUP(B718,'Vendor -MOQ- Lead time'!$A$2:$B$45,2,0)</f>
        <v>30</v>
      </c>
      <c r="D718" s="13">
        <f>ROUND(IF('Task 2'!G718&lt;0,ABS('Task 2'!G718),0),0)</f>
        <v>0</v>
      </c>
      <c r="E718" s="7">
        <f>ROUND('Task 2'!D718*'Task 3'!C718,0)</f>
        <v>0</v>
      </c>
      <c r="F718" s="7">
        <f>VLOOKUP(B718,'Vendor -MOQ- Lead time'!$A$2:$C$45,3,0)</f>
        <v>180</v>
      </c>
      <c r="G718" s="7">
        <f t="shared" si="22"/>
        <v>0</v>
      </c>
      <c r="H718" s="7" t="s">
        <v>0</v>
      </c>
      <c r="I718" s="7" cm="1">
        <f t="array" ref="I718">_xlfn.IFS(H718="25-50%",230,H718="Top 25 %",260,H718="50-75%",200,H718="Last 25%",170,H718="Retire",150)</f>
        <v>170</v>
      </c>
      <c r="J718" s="15">
        <f t="shared" si="23"/>
        <v>0</v>
      </c>
    </row>
    <row r="719" spans="1:10" x14ac:dyDescent="0.3">
      <c r="A719" s="7" t="s">
        <v>771</v>
      </c>
      <c r="B719" s="7" t="str">
        <f>_xlfn.XLOOKUP(A719,'Vendor code- SKU mapping'!$B$1:$B$806,'Vendor code- SKU mapping'!$A$1:$A$806)</f>
        <v>EEnh</v>
      </c>
      <c r="C719" s="7">
        <f>VLOOKUP(B719,'Vendor -MOQ- Lead time'!$A$2:$B$45,2,0)</f>
        <v>60</v>
      </c>
      <c r="D719" s="13">
        <f>ROUND(IF('Task 2'!G719&lt;0,ABS('Task 2'!G719),0),0)</f>
        <v>0</v>
      </c>
      <c r="E719" s="7">
        <f>ROUND('Task 2'!D719*'Task 3'!C719,0)</f>
        <v>4</v>
      </c>
      <c r="F719" s="7">
        <f>VLOOKUP(B719,'Vendor -MOQ- Lead time'!$A$2:$C$45,3,0)</f>
        <v>720</v>
      </c>
      <c r="G719" s="7">
        <f t="shared" si="22"/>
        <v>720</v>
      </c>
      <c r="H719" s="7" t="s">
        <v>0</v>
      </c>
      <c r="I719" s="7" cm="1">
        <f t="array" ref="I719">_xlfn.IFS(H719="25-50%",230,H719="Top 25 %",260,H719="50-75%",200,H719="Last 25%",170,H719="Retire",150)</f>
        <v>170</v>
      </c>
      <c r="J719" s="15">
        <f t="shared" si="23"/>
        <v>122400</v>
      </c>
    </row>
    <row r="720" spans="1:10" x14ac:dyDescent="0.3">
      <c r="A720" s="7" t="s">
        <v>772</v>
      </c>
      <c r="B720" s="7" t="str">
        <f>_xlfn.XLOOKUP(A720,'Vendor code- SKU mapping'!$B$1:$B$806,'Vendor code- SKU mapping'!$A$1:$A$806)</f>
        <v>EEnh</v>
      </c>
      <c r="C720" s="7">
        <f>VLOOKUP(B720,'Vendor -MOQ- Lead time'!$A$2:$B$45,2,0)</f>
        <v>60</v>
      </c>
      <c r="D720" s="13">
        <f>ROUND(IF('Task 2'!G720&lt;0,ABS('Task 2'!G720),0),0)</f>
        <v>0</v>
      </c>
      <c r="E720" s="7">
        <f>ROUND('Task 2'!D720*'Task 3'!C720,0)</f>
        <v>0</v>
      </c>
      <c r="F720" s="7">
        <f>VLOOKUP(B720,'Vendor -MOQ- Lead time'!$A$2:$C$45,3,0)</f>
        <v>720</v>
      </c>
      <c r="G720" s="7">
        <f t="shared" si="22"/>
        <v>0</v>
      </c>
      <c r="H720" s="7" t="s">
        <v>0</v>
      </c>
      <c r="I720" s="7" cm="1">
        <f t="array" ref="I720">_xlfn.IFS(H720="25-50%",230,H720="Top 25 %",260,H720="50-75%",200,H720="Last 25%",170,H720="Retire",150)</f>
        <v>170</v>
      </c>
      <c r="J720" s="15">
        <f t="shared" si="23"/>
        <v>0</v>
      </c>
    </row>
    <row r="721" spans="1:10" x14ac:dyDescent="0.3">
      <c r="A721" s="7" t="s">
        <v>773</v>
      </c>
      <c r="B721" s="7" t="str">
        <f>_xlfn.XLOOKUP(A721,'Vendor code- SKU mapping'!$B$1:$B$806,'Vendor code- SKU mapping'!$A$1:$A$806)</f>
        <v>EEnh</v>
      </c>
      <c r="C721" s="7">
        <f>VLOOKUP(B721,'Vendor -MOQ- Lead time'!$A$2:$B$45,2,0)</f>
        <v>60</v>
      </c>
      <c r="D721" s="13">
        <f>ROUND(IF('Task 2'!G721&lt;0,ABS('Task 2'!G721),0),0)</f>
        <v>0</v>
      </c>
      <c r="E721" s="7">
        <f>ROUND('Task 2'!D721*'Task 3'!C721,0)</f>
        <v>0</v>
      </c>
      <c r="F721" s="7">
        <f>VLOOKUP(B721,'Vendor -MOQ- Lead time'!$A$2:$C$45,3,0)</f>
        <v>720</v>
      </c>
      <c r="G721" s="7">
        <f t="shared" si="22"/>
        <v>0</v>
      </c>
      <c r="H721" s="7" t="s">
        <v>0</v>
      </c>
      <c r="I721" s="7" cm="1">
        <f t="array" ref="I721">_xlfn.IFS(H721="25-50%",230,H721="Top 25 %",260,H721="50-75%",200,H721="Last 25%",170,H721="Retire",150)</f>
        <v>170</v>
      </c>
      <c r="J721" s="15">
        <f t="shared" si="23"/>
        <v>0</v>
      </c>
    </row>
    <row r="722" spans="1:10" x14ac:dyDescent="0.3">
      <c r="A722" s="7" t="s">
        <v>774</v>
      </c>
      <c r="B722" s="7" t="str">
        <f>_xlfn.XLOOKUP(A722,'Vendor code- SKU mapping'!$B$1:$B$806,'Vendor code- SKU mapping'!$A$1:$A$806)</f>
        <v>ISte</v>
      </c>
      <c r="C722" s="7">
        <f>VLOOKUP(B722,'Vendor -MOQ- Lead time'!$A$2:$B$45,2,0)</f>
        <v>45</v>
      </c>
      <c r="D722" s="13">
        <f>ROUND(IF('Task 2'!G722&lt;0,ABS('Task 2'!G722),0),0)</f>
        <v>0</v>
      </c>
      <c r="E722" s="7">
        <f>ROUND('Task 2'!D722*'Task 3'!C722,0)</f>
        <v>0</v>
      </c>
      <c r="F722" s="7">
        <f>VLOOKUP(B722,'Vendor -MOQ- Lead time'!$A$2:$C$45,3,0)</f>
        <v>270</v>
      </c>
      <c r="G722" s="7">
        <f t="shared" si="22"/>
        <v>0</v>
      </c>
      <c r="H722" s="7" t="s">
        <v>0</v>
      </c>
      <c r="I722" s="7" cm="1">
        <f t="array" ref="I722">_xlfn.IFS(H722="25-50%",230,H722="Top 25 %",260,H722="50-75%",200,H722="Last 25%",170,H722="Retire",150)</f>
        <v>170</v>
      </c>
      <c r="J722" s="15">
        <f t="shared" si="23"/>
        <v>0</v>
      </c>
    </row>
    <row r="723" spans="1:10" x14ac:dyDescent="0.3">
      <c r="A723" s="7" t="s">
        <v>775</v>
      </c>
      <c r="B723" s="7" t="str">
        <f>_xlfn.XLOOKUP(A723,'Vendor code- SKU mapping'!$B$1:$B$806,'Vendor code- SKU mapping'!$A$1:$A$806)</f>
        <v>ISte</v>
      </c>
      <c r="C723" s="7">
        <f>VLOOKUP(B723,'Vendor -MOQ- Lead time'!$A$2:$B$45,2,0)</f>
        <v>45</v>
      </c>
      <c r="D723" s="13">
        <f>ROUND(IF('Task 2'!G723&lt;0,ABS('Task 2'!G723),0),0)</f>
        <v>0</v>
      </c>
      <c r="E723" s="7">
        <f>ROUND('Task 2'!D723*'Task 3'!C723,0)</f>
        <v>0</v>
      </c>
      <c r="F723" s="7">
        <f>VLOOKUP(B723,'Vendor -MOQ- Lead time'!$A$2:$C$45,3,0)</f>
        <v>270</v>
      </c>
      <c r="G723" s="7">
        <f t="shared" si="22"/>
        <v>0</v>
      </c>
      <c r="H723" s="7" t="s">
        <v>0</v>
      </c>
      <c r="I723" s="7" cm="1">
        <f t="array" ref="I723">_xlfn.IFS(H723="25-50%",230,H723="Top 25 %",260,H723="50-75%",200,H723="Last 25%",170,H723="Retire",150)</f>
        <v>170</v>
      </c>
      <c r="J723" s="15">
        <f t="shared" si="23"/>
        <v>0</v>
      </c>
    </row>
    <row r="724" spans="1:10" x14ac:dyDescent="0.3">
      <c r="A724" s="7" t="s">
        <v>776</v>
      </c>
      <c r="B724" s="7" t="str">
        <f>_xlfn.XLOOKUP(A724,'Vendor code- SKU mapping'!$B$1:$B$806,'Vendor code- SKU mapping'!$A$1:$A$806)</f>
        <v>ISte</v>
      </c>
      <c r="C724" s="7">
        <f>VLOOKUP(B724,'Vendor -MOQ- Lead time'!$A$2:$B$45,2,0)</f>
        <v>45</v>
      </c>
      <c r="D724" s="13">
        <f>ROUND(IF('Task 2'!G724&lt;0,ABS('Task 2'!G724),0),0)</f>
        <v>0</v>
      </c>
      <c r="E724" s="7">
        <f>ROUND('Task 2'!D724*'Task 3'!C724,0)</f>
        <v>0</v>
      </c>
      <c r="F724" s="7">
        <f>VLOOKUP(B724,'Vendor -MOQ- Lead time'!$A$2:$C$45,3,0)</f>
        <v>270</v>
      </c>
      <c r="G724" s="7">
        <f t="shared" si="22"/>
        <v>0</v>
      </c>
      <c r="H724" s="7" t="s">
        <v>0</v>
      </c>
      <c r="I724" s="7" cm="1">
        <f t="array" ref="I724">_xlfn.IFS(H724="25-50%",230,H724="Top 25 %",260,H724="50-75%",200,H724="Last 25%",170,H724="Retire",150)</f>
        <v>170</v>
      </c>
      <c r="J724" s="15">
        <f t="shared" si="23"/>
        <v>0</v>
      </c>
    </row>
    <row r="725" spans="1:10" x14ac:dyDescent="0.3">
      <c r="A725" s="7" t="s">
        <v>777</v>
      </c>
      <c r="B725" s="7" t="str">
        <f>_xlfn.XLOOKUP(A725,'Vendor code- SKU mapping'!$B$1:$B$806,'Vendor code- SKU mapping'!$A$1:$A$806)</f>
        <v>ISte</v>
      </c>
      <c r="C725" s="7">
        <f>VLOOKUP(B725,'Vendor -MOQ- Lead time'!$A$2:$B$45,2,0)</f>
        <v>45</v>
      </c>
      <c r="D725" s="13">
        <f>ROUND(IF('Task 2'!G725&lt;0,ABS('Task 2'!G725),0),0)</f>
        <v>0</v>
      </c>
      <c r="E725" s="7">
        <f>ROUND('Task 2'!D725*'Task 3'!C725,0)</f>
        <v>0</v>
      </c>
      <c r="F725" s="7">
        <f>VLOOKUP(B725,'Vendor -MOQ- Lead time'!$A$2:$C$45,3,0)</f>
        <v>270</v>
      </c>
      <c r="G725" s="7">
        <f t="shared" si="22"/>
        <v>0</v>
      </c>
      <c r="H725" s="7" t="s">
        <v>0</v>
      </c>
      <c r="I725" s="7" cm="1">
        <f t="array" ref="I725">_xlfn.IFS(H725="25-50%",230,H725="Top 25 %",260,H725="50-75%",200,H725="Last 25%",170,H725="Retire",150)</f>
        <v>170</v>
      </c>
      <c r="J725" s="15">
        <f t="shared" si="23"/>
        <v>0</v>
      </c>
    </row>
    <row r="726" spans="1:10" x14ac:dyDescent="0.3">
      <c r="A726" s="7" t="s">
        <v>778</v>
      </c>
      <c r="B726" s="7" t="str">
        <f>_xlfn.XLOOKUP(A726,'Vendor code- SKU mapping'!$B$1:$B$806,'Vendor code- SKU mapping'!$A$1:$A$806)</f>
        <v>ISte</v>
      </c>
      <c r="C726" s="7">
        <f>VLOOKUP(B726,'Vendor -MOQ- Lead time'!$A$2:$B$45,2,0)</f>
        <v>45</v>
      </c>
      <c r="D726" s="13">
        <f>ROUND(IF('Task 2'!G726&lt;0,ABS('Task 2'!G726),0),0)</f>
        <v>0</v>
      </c>
      <c r="E726" s="7">
        <f>ROUND('Task 2'!D726*'Task 3'!C726,0)</f>
        <v>0</v>
      </c>
      <c r="F726" s="7">
        <f>VLOOKUP(B726,'Vendor -MOQ- Lead time'!$A$2:$C$45,3,0)</f>
        <v>270</v>
      </c>
      <c r="G726" s="7">
        <f t="shared" si="22"/>
        <v>0</v>
      </c>
      <c r="H726" s="7" t="s">
        <v>0</v>
      </c>
      <c r="I726" s="7" cm="1">
        <f t="array" ref="I726">_xlfn.IFS(H726="25-50%",230,H726="Top 25 %",260,H726="50-75%",200,H726="Last 25%",170,H726="Retire",150)</f>
        <v>170</v>
      </c>
      <c r="J726" s="15">
        <f t="shared" si="23"/>
        <v>0</v>
      </c>
    </row>
    <row r="727" spans="1:10" x14ac:dyDescent="0.3">
      <c r="A727" s="7" t="s">
        <v>779</v>
      </c>
      <c r="B727" s="7" t="str">
        <f>_xlfn.XLOOKUP(A727,'Vendor code- SKU mapping'!$B$1:$B$806,'Vendor code- SKU mapping'!$A$1:$A$806)</f>
        <v>ISte</v>
      </c>
      <c r="C727" s="7">
        <f>VLOOKUP(B727,'Vendor -MOQ- Lead time'!$A$2:$B$45,2,0)</f>
        <v>45</v>
      </c>
      <c r="D727" s="13">
        <f>ROUND(IF('Task 2'!G727&lt;0,ABS('Task 2'!G727),0),0)</f>
        <v>0</v>
      </c>
      <c r="E727" s="7">
        <f>ROUND('Task 2'!D727*'Task 3'!C727,0)</f>
        <v>0</v>
      </c>
      <c r="F727" s="7">
        <f>VLOOKUP(B727,'Vendor -MOQ- Lead time'!$A$2:$C$45,3,0)</f>
        <v>270</v>
      </c>
      <c r="G727" s="7">
        <f t="shared" si="22"/>
        <v>0</v>
      </c>
      <c r="H727" s="7" t="s">
        <v>0</v>
      </c>
      <c r="I727" s="7" cm="1">
        <f t="array" ref="I727">_xlfn.IFS(H727="25-50%",230,H727="Top 25 %",260,H727="50-75%",200,H727="Last 25%",170,H727="Retire",150)</f>
        <v>170</v>
      </c>
      <c r="J727" s="15">
        <f t="shared" si="23"/>
        <v>0</v>
      </c>
    </row>
    <row r="728" spans="1:10" x14ac:dyDescent="0.3">
      <c r="A728" s="7" t="s">
        <v>780</v>
      </c>
      <c r="B728" s="7" t="str">
        <f>_xlfn.XLOOKUP(A728,'Vendor code- SKU mapping'!$B$1:$B$806,'Vendor code- SKU mapping'!$A$1:$A$806)</f>
        <v>OSha</v>
      </c>
      <c r="C728" s="7">
        <f>VLOOKUP(B728,'Vendor -MOQ- Lead time'!$A$2:$B$45,2,0)</f>
        <v>45</v>
      </c>
      <c r="D728" s="13">
        <f>ROUND(IF('Task 2'!G728&lt;0,ABS('Task 2'!G728),0),0)</f>
        <v>0</v>
      </c>
      <c r="E728" s="7">
        <f>ROUND('Task 2'!D728*'Task 3'!C728,0)</f>
        <v>0</v>
      </c>
      <c r="F728" s="7">
        <f>VLOOKUP(B728,'Vendor -MOQ- Lead time'!$A$2:$C$45,3,0)</f>
        <v>270</v>
      </c>
      <c r="G728" s="7">
        <f t="shared" si="22"/>
        <v>0</v>
      </c>
      <c r="H728" s="7" t="s">
        <v>0</v>
      </c>
      <c r="I728" s="7" cm="1">
        <f t="array" ref="I728">_xlfn.IFS(H728="25-50%",230,H728="Top 25 %",260,H728="50-75%",200,H728="Last 25%",170,H728="Retire",150)</f>
        <v>170</v>
      </c>
      <c r="J728" s="15">
        <f t="shared" si="23"/>
        <v>0</v>
      </c>
    </row>
    <row r="729" spans="1:10" x14ac:dyDescent="0.3">
      <c r="A729" s="7" t="s">
        <v>781</v>
      </c>
      <c r="B729" s="7" t="str">
        <f>_xlfn.XLOOKUP(A729,'Vendor code- SKU mapping'!$B$1:$B$806,'Vendor code- SKU mapping'!$A$1:$A$806)</f>
        <v>AAFC</v>
      </c>
      <c r="C729" s="7">
        <f>VLOOKUP(B729,'Vendor -MOQ- Lead time'!$A$2:$B$45,2,0)</f>
        <v>45</v>
      </c>
      <c r="D729" s="13">
        <f>ROUND(IF('Task 2'!G729&lt;0,ABS('Task 2'!G729),0),0)</f>
        <v>0</v>
      </c>
      <c r="E729" s="7">
        <f>ROUND('Task 2'!D729*'Task 3'!C729,0)</f>
        <v>3</v>
      </c>
      <c r="F729" s="7">
        <f>VLOOKUP(B729,'Vendor -MOQ- Lead time'!$A$2:$C$45,3,0)</f>
        <v>270</v>
      </c>
      <c r="G729" s="7">
        <f t="shared" si="22"/>
        <v>270</v>
      </c>
      <c r="H729" s="7" t="s">
        <v>0</v>
      </c>
      <c r="I729" s="7" cm="1">
        <f t="array" ref="I729">_xlfn.IFS(H729="25-50%",230,H729="Top 25 %",260,H729="50-75%",200,H729="Last 25%",170,H729="Retire",150)</f>
        <v>170</v>
      </c>
      <c r="J729" s="15">
        <f t="shared" si="23"/>
        <v>45900</v>
      </c>
    </row>
    <row r="730" spans="1:10" x14ac:dyDescent="0.3">
      <c r="A730" s="7" t="s">
        <v>782</v>
      </c>
      <c r="B730" s="7" t="str">
        <f>_xlfn.XLOOKUP(A730,'Vendor code- SKU mapping'!$B$1:$B$806,'Vendor code- SKU mapping'!$A$1:$A$806)</f>
        <v>AAFC</v>
      </c>
      <c r="C730" s="7">
        <f>VLOOKUP(B730,'Vendor -MOQ- Lead time'!$A$2:$B$45,2,0)</f>
        <v>45</v>
      </c>
      <c r="D730" s="13">
        <f>ROUND(IF('Task 2'!G730&lt;0,ABS('Task 2'!G730),0),0)</f>
        <v>0</v>
      </c>
      <c r="E730" s="7">
        <f>ROUND('Task 2'!D730*'Task 3'!C730,0)</f>
        <v>3</v>
      </c>
      <c r="F730" s="7">
        <f>VLOOKUP(B730,'Vendor -MOQ- Lead time'!$A$2:$C$45,3,0)</f>
        <v>270</v>
      </c>
      <c r="G730" s="7">
        <f t="shared" si="22"/>
        <v>270</v>
      </c>
      <c r="H730" s="7" t="s">
        <v>0</v>
      </c>
      <c r="I730" s="7" cm="1">
        <f t="array" ref="I730">_xlfn.IFS(H730="25-50%",230,H730="Top 25 %",260,H730="50-75%",200,H730="Last 25%",170,H730="Retire",150)</f>
        <v>170</v>
      </c>
      <c r="J730" s="15">
        <f t="shared" si="23"/>
        <v>45900</v>
      </c>
    </row>
    <row r="731" spans="1:10" x14ac:dyDescent="0.3">
      <c r="A731" s="7" t="s">
        <v>783</v>
      </c>
      <c r="B731" s="7" t="str">
        <f>_xlfn.XLOOKUP(A731,'Vendor code- SKU mapping'!$B$1:$B$806,'Vendor code- SKU mapping'!$A$1:$A$806)</f>
        <v>AAFC</v>
      </c>
      <c r="C731" s="7">
        <f>VLOOKUP(B731,'Vendor -MOQ- Lead time'!$A$2:$B$45,2,0)</f>
        <v>45</v>
      </c>
      <c r="D731" s="13">
        <f>ROUND(IF('Task 2'!G731&lt;0,ABS('Task 2'!G731),0),0)</f>
        <v>0</v>
      </c>
      <c r="E731" s="7">
        <f>ROUND('Task 2'!D731*'Task 3'!C731,0)</f>
        <v>3</v>
      </c>
      <c r="F731" s="7">
        <f>VLOOKUP(B731,'Vendor -MOQ- Lead time'!$A$2:$C$45,3,0)</f>
        <v>270</v>
      </c>
      <c r="G731" s="7">
        <f t="shared" si="22"/>
        <v>270</v>
      </c>
      <c r="H731" s="7" t="s">
        <v>0</v>
      </c>
      <c r="I731" s="7" cm="1">
        <f t="array" ref="I731">_xlfn.IFS(H731="25-50%",230,H731="Top 25 %",260,H731="50-75%",200,H731="Last 25%",170,H731="Retire",150)</f>
        <v>170</v>
      </c>
      <c r="J731" s="15">
        <f t="shared" si="23"/>
        <v>45900</v>
      </c>
    </row>
    <row r="732" spans="1:10" x14ac:dyDescent="0.3">
      <c r="A732" s="7" t="s">
        <v>784</v>
      </c>
      <c r="B732" s="7" t="str">
        <f>_xlfn.XLOOKUP(A732,'Vendor code- SKU mapping'!$B$1:$B$806,'Vendor code- SKU mapping'!$A$1:$A$806)</f>
        <v>IWal</v>
      </c>
      <c r="C732" s="7">
        <f>VLOOKUP(B732,'Vendor -MOQ- Lead time'!$A$2:$B$45,2,0)</f>
        <v>45</v>
      </c>
      <c r="D732" s="13">
        <f>ROUND(IF('Task 2'!G732&lt;0,ABS('Task 2'!G732),0),0)</f>
        <v>0</v>
      </c>
      <c r="E732" s="7">
        <f>ROUND('Task 2'!D732*'Task 3'!C732,0)</f>
        <v>0</v>
      </c>
      <c r="F732" s="7">
        <f>VLOOKUP(B732,'Vendor -MOQ- Lead time'!$A$2:$C$45,3,0)</f>
        <v>270</v>
      </c>
      <c r="G732" s="7">
        <f t="shared" si="22"/>
        <v>0</v>
      </c>
      <c r="H732" s="7" t="s">
        <v>0</v>
      </c>
      <c r="I732" s="7" cm="1">
        <f t="array" ref="I732">_xlfn.IFS(H732="25-50%",230,H732="Top 25 %",260,H732="50-75%",200,H732="Last 25%",170,H732="Retire",150)</f>
        <v>170</v>
      </c>
      <c r="J732" s="15">
        <f t="shared" si="23"/>
        <v>0</v>
      </c>
    </row>
    <row r="733" spans="1:10" x14ac:dyDescent="0.3">
      <c r="A733" s="7" t="s">
        <v>785</v>
      </c>
      <c r="B733" s="7" t="str">
        <f>_xlfn.XLOOKUP(A733,'Vendor code- SKU mapping'!$B$1:$B$806,'Vendor code- SKU mapping'!$A$1:$A$806)</f>
        <v>IWal</v>
      </c>
      <c r="C733" s="7">
        <f>VLOOKUP(B733,'Vendor -MOQ- Lead time'!$A$2:$B$45,2,0)</f>
        <v>45</v>
      </c>
      <c r="D733" s="13">
        <f>ROUND(IF('Task 2'!G733&lt;0,ABS('Task 2'!G733),0),0)</f>
        <v>0</v>
      </c>
      <c r="E733" s="7">
        <f>ROUND('Task 2'!D733*'Task 3'!C733,0)</f>
        <v>0</v>
      </c>
      <c r="F733" s="7">
        <f>VLOOKUP(B733,'Vendor -MOQ- Lead time'!$A$2:$C$45,3,0)</f>
        <v>270</v>
      </c>
      <c r="G733" s="7">
        <f t="shared" si="22"/>
        <v>0</v>
      </c>
      <c r="H733" s="7" t="s">
        <v>0</v>
      </c>
      <c r="I733" s="7" cm="1">
        <f t="array" ref="I733">_xlfn.IFS(H733="25-50%",230,H733="Top 25 %",260,H733="50-75%",200,H733="Last 25%",170,H733="Retire",150)</f>
        <v>170</v>
      </c>
      <c r="J733" s="15">
        <f t="shared" si="23"/>
        <v>0</v>
      </c>
    </row>
    <row r="734" spans="1:10" x14ac:dyDescent="0.3">
      <c r="A734" s="7" t="s">
        <v>786</v>
      </c>
      <c r="B734" s="7" t="str">
        <f>_xlfn.XLOOKUP(A734,'Vendor code- SKU mapping'!$B$1:$B$806,'Vendor code- SKU mapping'!$A$1:$A$806)</f>
        <v>IWal</v>
      </c>
      <c r="C734" s="7">
        <f>VLOOKUP(B734,'Vendor -MOQ- Lead time'!$A$2:$B$45,2,0)</f>
        <v>45</v>
      </c>
      <c r="D734" s="13">
        <f>ROUND(IF('Task 2'!G734&lt;0,ABS('Task 2'!G734),0),0)</f>
        <v>0</v>
      </c>
      <c r="E734" s="7">
        <f>ROUND('Task 2'!D734*'Task 3'!C734,0)</f>
        <v>2</v>
      </c>
      <c r="F734" s="7">
        <f>VLOOKUP(B734,'Vendor -MOQ- Lead time'!$A$2:$C$45,3,0)</f>
        <v>270</v>
      </c>
      <c r="G734" s="7">
        <f t="shared" si="22"/>
        <v>270</v>
      </c>
      <c r="H734" s="7" t="s">
        <v>0</v>
      </c>
      <c r="I734" s="7" cm="1">
        <f t="array" ref="I734">_xlfn.IFS(H734="25-50%",230,H734="Top 25 %",260,H734="50-75%",200,H734="Last 25%",170,H734="Retire",150)</f>
        <v>170</v>
      </c>
      <c r="J734" s="15">
        <f t="shared" si="23"/>
        <v>45900</v>
      </c>
    </row>
    <row r="735" spans="1:10" x14ac:dyDescent="0.3">
      <c r="A735" s="7" t="s">
        <v>787</v>
      </c>
      <c r="B735" s="7" t="str">
        <f>_xlfn.XLOOKUP(A735,'Vendor code- SKU mapping'!$B$1:$B$806,'Vendor code- SKU mapping'!$A$1:$A$806)</f>
        <v>IWal</v>
      </c>
      <c r="C735" s="7">
        <f>VLOOKUP(B735,'Vendor -MOQ- Lead time'!$A$2:$B$45,2,0)</f>
        <v>45</v>
      </c>
      <c r="D735" s="13">
        <f>ROUND(IF('Task 2'!G735&lt;0,ABS('Task 2'!G735),0),0)</f>
        <v>0</v>
      </c>
      <c r="E735" s="7">
        <f>ROUND('Task 2'!D735*'Task 3'!C735,0)</f>
        <v>0</v>
      </c>
      <c r="F735" s="7">
        <f>VLOOKUP(B735,'Vendor -MOQ- Lead time'!$A$2:$C$45,3,0)</f>
        <v>270</v>
      </c>
      <c r="G735" s="7">
        <f t="shared" si="22"/>
        <v>0</v>
      </c>
      <c r="H735" s="7" t="s">
        <v>0</v>
      </c>
      <c r="I735" s="7" cm="1">
        <f t="array" ref="I735">_xlfn.IFS(H735="25-50%",230,H735="Top 25 %",260,H735="50-75%",200,H735="Last 25%",170,H735="Retire",150)</f>
        <v>170</v>
      </c>
      <c r="J735" s="15">
        <f t="shared" si="23"/>
        <v>0</v>
      </c>
    </row>
    <row r="736" spans="1:10" x14ac:dyDescent="0.3">
      <c r="A736" s="7" t="s">
        <v>788</v>
      </c>
      <c r="B736" s="7" t="str">
        <f>_xlfn.XLOOKUP(A736,'Vendor code- SKU mapping'!$B$1:$B$806,'Vendor code- SKU mapping'!$A$1:$A$806)</f>
        <v>IWal</v>
      </c>
      <c r="C736" s="7">
        <f>VLOOKUP(B736,'Vendor -MOQ- Lead time'!$A$2:$B$45,2,0)</f>
        <v>45</v>
      </c>
      <c r="D736" s="13">
        <f>ROUND(IF('Task 2'!G736&lt;0,ABS('Task 2'!G736),0),0)</f>
        <v>0</v>
      </c>
      <c r="E736" s="7">
        <f>ROUND('Task 2'!D736*'Task 3'!C736,0)</f>
        <v>2</v>
      </c>
      <c r="F736" s="7">
        <f>VLOOKUP(B736,'Vendor -MOQ- Lead time'!$A$2:$C$45,3,0)</f>
        <v>270</v>
      </c>
      <c r="G736" s="7">
        <f t="shared" si="22"/>
        <v>270</v>
      </c>
      <c r="H736" s="7" t="s">
        <v>0</v>
      </c>
      <c r="I736" s="7" cm="1">
        <f t="array" ref="I736">_xlfn.IFS(H736="25-50%",230,H736="Top 25 %",260,H736="50-75%",200,H736="Last 25%",170,H736="Retire",150)</f>
        <v>170</v>
      </c>
      <c r="J736" s="15">
        <f t="shared" si="23"/>
        <v>45900</v>
      </c>
    </row>
    <row r="737" spans="1:10" x14ac:dyDescent="0.3">
      <c r="A737" s="7" t="s">
        <v>789</v>
      </c>
      <c r="B737" s="7" t="str">
        <f>_xlfn.XLOOKUP(A737,'Vendor code- SKU mapping'!$B$1:$B$806,'Vendor code- SKU mapping'!$A$1:$A$806)</f>
        <v>IWal</v>
      </c>
      <c r="C737" s="7">
        <f>VLOOKUP(B737,'Vendor -MOQ- Lead time'!$A$2:$B$45,2,0)</f>
        <v>45</v>
      </c>
      <c r="D737" s="13">
        <f>ROUND(IF('Task 2'!G737&lt;0,ABS('Task 2'!G737),0),0)</f>
        <v>0</v>
      </c>
      <c r="E737" s="7">
        <f>ROUND('Task 2'!D737*'Task 3'!C737,0)</f>
        <v>0</v>
      </c>
      <c r="F737" s="7">
        <f>VLOOKUP(B737,'Vendor -MOQ- Lead time'!$A$2:$C$45,3,0)</f>
        <v>270</v>
      </c>
      <c r="G737" s="7">
        <f t="shared" si="22"/>
        <v>0</v>
      </c>
      <c r="H737" s="7" t="s">
        <v>0</v>
      </c>
      <c r="I737" s="7" cm="1">
        <f t="array" ref="I737">_xlfn.IFS(H737="25-50%",230,H737="Top 25 %",260,H737="50-75%",200,H737="Last 25%",170,H737="Retire",150)</f>
        <v>170</v>
      </c>
      <c r="J737" s="15">
        <f t="shared" si="23"/>
        <v>0</v>
      </c>
    </row>
    <row r="738" spans="1:10" x14ac:dyDescent="0.3">
      <c r="A738" s="7" t="s">
        <v>790</v>
      </c>
      <c r="B738" s="7" t="str">
        <f>_xlfn.XLOOKUP(A738,'Vendor code- SKU mapping'!$B$1:$B$806,'Vendor code- SKU mapping'!$A$1:$A$806)</f>
        <v>IWal</v>
      </c>
      <c r="C738" s="7">
        <f>VLOOKUP(B738,'Vendor -MOQ- Lead time'!$A$2:$B$45,2,0)</f>
        <v>45</v>
      </c>
      <c r="D738" s="13">
        <f>ROUND(IF('Task 2'!G738&lt;0,ABS('Task 2'!G738),0),0)</f>
        <v>0</v>
      </c>
      <c r="E738" s="7">
        <f>ROUND('Task 2'!D738*'Task 3'!C738,0)</f>
        <v>5</v>
      </c>
      <c r="F738" s="7">
        <f>VLOOKUP(B738,'Vendor -MOQ- Lead time'!$A$2:$C$45,3,0)</f>
        <v>270</v>
      </c>
      <c r="G738" s="7">
        <f t="shared" si="22"/>
        <v>270</v>
      </c>
      <c r="H738" s="7" t="s">
        <v>0</v>
      </c>
      <c r="I738" s="7" cm="1">
        <f t="array" ref="I738">_xlfn.IFS(H738="25-50%",230,H738="Top 25 %",260,H738="50-75%",200,H738="Last 25%",170,H738="Retire",150)</f>
        <v>170</v>
      </c>
      <c r="J738" s="15">
        <f t="shared" si="23"/>
        <v>45900</v>
      </c>
    </row>
    <row r="739" spans="1:10" x14ac:dyDescent="0.3">
      <c r="A739" s="7" t="s">
        <v>791</v>
      </c>
      <c r="B739" s="7" t="str">
        <f>_xlfn.XLOOKUP(A739,'Vendor code- SKU mapping'!$B$1:$B$806,'Vendor code- SKU mapping'!$A$1:$A$806)</f>
        <v>IWal</v>
      </c>
      <c r="C739" s="7">
        <f>VLOOKUP(B739,'Vendor -MOQ- Lead time'!$A$2:$B$45,2,0)</f>
        <v>45</v>
      </c>
      <c r="D739" s="13">
        <f>ROUND(IF('Task 2'!G739&lt;0,ABS('Task 2'!G739),0),0)</f>
        <v>0</v>
      </c>
      <c r="E739" s="7">
        <f>ROUND('Task 2'!D739*'Task 3'!C739,0)</f>
        <v>2</v>
      </c>
      <c r="F739" s="7">
        <f>VLOOKUP(B739,'Vendor -MOQ- Lead time'!$A$2:$C$45,3,0)</f>
        <v>270</v>
      </c>
      <c r="G739" s="7">
        <f t="shared" si="22"/>
        <v>270</v>
      </c>
      <c r="H739" s="7" t="s">
        <v>0</v>
      </c>
      <c r="I739" s="7" cm="1">
        <f t="array" ref="I739">_xlfn.IFS(H739="25-50%",230,H739="Top 25 %",260,H739="50-75%",200,H739="Last 25%",170,H739="Retire",150)</f>
        <v>170</v>
      </c>
      <c r="J739" s="15">
        <f t="shared" si="23"/>
        <v>45900</v>
      </c>
    </row>
    <row r="740" spans="1:10" x14ac:dyDescent="0.3">
      <c r="A740" s="7" t="s">
        <v>792</v>
      </c>
      <c r="B740" s="7" t="str">
        <f>_xlfn.XLOOKUP(A740,'Vendor code- SKU mapping'!$B$1:$B$806,'Vendor code- SKU mapping'!$A$1:$A$806)</f>
        <v>IWal</v>
      </c>
      <c r="C740" s="7">
        <f>VLOOKUP(B740,'Vendor -MOQ- Lead time'!$A$2:$B$45,2,0)</f>
        <v>45</v>
      </c>
      <c r="D740" s="13">
        <f>ROUND(IF('Task 2'!G740&lt;0,ABS('Task 2'!G740),0),0)</f>
        <v>0</v>
      </c>
      <c r="E740" s="7">
        <f>ROUND('Task 2'!D740*'Task 3'!C740,0)</f>
        <v>0</v>
      </c>
      <c r="F740" s="7">
        <f>VLOOKUP(B740,'Vendor -MOQ- Lead time'!$A$2:$C$45,3,0)</f>
        <v>270</v>
      </c>
      <c r="G740" s="7">
        <f t="shared" si="22"/>
        <v>0</v>
      </c>
      <c r="H740" s="7" t="s">
        <v>0</v>
      </c>
      <c r="I740" s="7" cm="1">
        <f t="array" ref="I740">_xlfn.IFS(H740="25-50%",230,H740="Top 25 %",260,H740="50-75%",200,H740="Last 25%",170,H740="Retire",150)</f>
        <v>170</v>
      </c>
      <c r="J740" s="15">
        <f t="shared" si="23"/>
        <v>0</v>
      </c>
    </row>
    <row r="741" spans="1:10" x14ac:dyDescent="0.3">
      <c r="A741" s="7" t="s">
        <v>793</v>
      </c>
      <c r="B741" s="7" t="str">
        <f>_xlfn.XLOOKUP(A741,'Vendor code- SKU mapping'!$B$1:$B$806,'Vendor code- SKU mapping'!$A$1:$A$806)</f>
        <v>OKri</v>
      </c>
      <c r="C741" s="7">
        <f>VLOOKUP(B741,'Vendor -MOQ- Lead time'!$A$2:$B$45,2,0)</f>
        <v>45</v>
      </c>
      <c r="D741" s="13">
        <f>ROUND(IF('Task 2'!G741&lt;0,ABS('Task 2'!G741),0),0)</f>
        <v>0</v>
      </c>
      <c r="E741" s="7">
        <f>ROUND('Task 2'!D741*'Task 3'!C741,0)</f>
        <v>0</v>
      </c>
      <c r="F741" s="7">
        <f>VLOOKUP(B741,'Vendor -MOQ- Lead time'!$A$2:$C$45,3,0)</f>
        <v>270</v>
      </c>
      <c r="G741" s="7">
        <f t="shared" si="22"/>
        <v>0</v>
      </c>
      <c r="H741" s="7" t="s">
        <v>0</v>
      </c>
      <c r="I741" s="7" cm="1">
        <f t="array" ref="I741">_xlfn.IFS(H741="25-50%",230,H741="Top 25 %",260,H741="50-75%",200,H741="Last 25%",170,H741="Retire",150)</f>
        <v>170</v>
      </c>
      <c r="J741" s="15">
        <f t="shared" si="23"/>
        <v>0</v>
      </c>
    </row>
    <row r="742" spans="1:10" x14ac:dyDescent="0.3">
      <c r="A742" s="7" t="s">
        <v>794</v>
      </c>
      <c r="B742" s="7" t="str">
        <f>_xlfn.XLOOKUP(A742,'Vendor code- SKU mapping'!$B$1:$B$806,'Vendor code- SKU mapping'!$A$1:$A$806)</f>
        <v>AAB</v>
      </c>
      <c r="C742" s="7">
        <f>VLOOKUP(B742,'Vendor -MOQ- Lead time'!$A$2:$B$45,2,0)</f>
        <v>45</v>
      </c>
      <c r="D742" s="13">
        <f>ROUND(IF('Task 2'!G742&lt;0,ABS('Task 2'!G742),0),0)</f>
        <v>0</v>
      </c>
      <c r="E742" s="7">
        <f>ROUND('Task 2'!D742*'Task 3'!C742,0)</f>
        <v>0</v>
      </c>
      <c r="F742" s="7">
        <f>VLOOKUP(B742,'Vendor -MOQ- Lead time'!$A$2:$C$45,3,0)</f>
        <v>270</v>
      </c>
      <c r="G742" s="7">
        <f t="shared" si="22"/>
        <v>0</v>
      </c>
      <c r="H742" s="7" t="s">
        <v>0</v>
      </c>
      <c r="I742" s="7" cm="1">
        <f t="array" ref="I742">_xlfn.IFS(H742="25-50%",230,H742="Top 25 %",260,H742="50-75%",200,H742="Last 25%",170,H742="Retire",150)</f>
        <v>170</v>
      </c>
      <c r="J742" s="15">
        <f t="shared" si="23"/>
        <v>0</v>
      </c>
    </row>
    <row r="743" spans="1:10" x14ac:dyDescent="0.3">
      <c r="A743" s="7" t="s">
        <v>795</v>
      </c>
      <c r="B743" s="7" t="str">
        <f>_xlfn.XLOOKUP(A743,'Vendor code- SKU mapping'!$B$1:$B$806,'Vendor code- SKU mapping'!$A$1:$A$806)</f>
        <v>ISte</v>
      </c>
      <c r="C743" s="7">
        <f>VLOOKUP(B743,'Vendor -MOQ- Lead time'!$A$2:$B$45,2,0)</f>
        <v>45</v>
      </c>
      <c r="D743" s="13">
        <f>ROUND(IF('Task 2'!G743&lt;0,ABS('Task 2'!G743),0),0)</f>
        <v>0</v>
      </c>
      <c r="E743" s="7">
        <f>ROUND('Task 2'!D743*'Task 3'!C743,0)</f>
        <v>2</v>
      </c>
      <c r="F743" s="7">
        <f>VLOOKUP(B743,'Vendor -MOQ- Lead time'!$A$2:$C$45,3,0)</f>
        <v>270</v>
      </c>
      <c r="G743" s="7">
        <f t="shared" si="22"/>
        <v>270</v>
      </c>
      <c r="H743" s="7" t="s">
        <v>0</v>
      </c>
      <c r="I743" s="7" cm="1">
        <f t="array" ref="I743">_xlfn.IFS(H743="25-50%",230,H743="Top 25 %",260,H743="50-75%",200,H743="Last 25%",170,H743="Retire",150)</f>
        <v>170</v>
      </c>
      <c r="J743" s="15">
        <f t="shared" si="23"/>
        <v>45900</v>
      </c>
    </row>
    <row r="744" spans="1:10" x14ac:dyDescent="0.3">
      <c r="A744" s="7" t="s">
        <v>796</v>
      </c>
      <c r="B744" s="7" t="str">
        <f>_xlfn.XLOOKUP(A744,'Vendor code- SKU mapping'!$B$1:$B$806,'Vendor code- SKU mapping'!$A$1:$A$806)</f>
        <v>ISte</v>
      </c>
      <c r="C744" s="7">
        <f>VLOOKUP(B744,'Vendor -MOQ- Lead time'!$A$2:$B$45,2,0)</f>
        <v>45</v>
      </c>
      <c r="D744" s="13">
        <f>ROUND(IF('Task 2'!G744&lt;0,ABS('Task 2'!G744),0),0)</f>
        <v>0</v>
      </c>
      <c r="E744" s="7">
        <f>ROUND('Task 2'!D744*'Task 3'!C744,0)</f>
        <v>0</v>
      </c>
      <c r="F744" s="7">
        <f>VLOOKUP(B744,'Vendor -MOQ- Lead time'!$A$2:$C$45,3,0)</f>
        <v>270</v>
      </c>
      <c r="G744" s="7">
        <f t="shared" si="22"/>
        <v>0</v>
      </c>
      <c r="H744" s="7" t="s">
        <v>0</v>
      </c>
      <c r="I744" s="7" cm="1">
        <f t="array" ref="I744">_xlfn.IFS(H744="25-50%",230,H744="Top 25 %",260,H744="50-75%",200,H744="Last 25%",170,H744="Retire",150)</f>
        <v>170</v>
      </c>
      <c r="J744" s="15">
        <f t="shared" si="23"/>
        <v>0</v>
      </c>
    </row>
    <row r="745" spans="1:10" x14ac:dyDescent="0.3">
      <c r="A745" s="7" t="s">
        <v>797</v>
      </c>
      <c r="B745" s="7" t="str">
        <f>_xlfn.XLOOKUP(A745,'Vendor code- SKU mapping'!$B$1:$B$806,'Vendor code- SKU mapping'!$A$1:$A$806)</f>
        <v>ISte</v>
      </c>
      <c r="C745" s="7">
        <f>VLOOKUP(B745,'Vendor -MOQ- Lead time'!$A$2:$B$45,2,0)</f>
        <v>45</v>
      </c>
      <c r="D745" s="13">
        <f>ROUND(IF('Task 2'!G745&lt;0,ABS('Task 2'!G745),0),0)</f>
        <v>0</v>
      </c>
      <c r="E745" s="7">
        <f>ROUND('Task 2'!D745*'Task 3'!C745,0)</f>
        <v>0</v>
      </c>
      <c r="F745" s="7">
        <f>VLOOKUP(B745,'Vendor -MOQ- Lead time'!$A$2:$C$45,3,0)</f>
        <v>270</v>
      </c>
      <c r="G745" s="7">
        <f t="shared" si="22"/>
        <v>0</v>
      </c>
      <c r="H745" s="7" t="s">
        <v>0</v>
      </c>
      <c r="I745" s="7" cm="1">
        <f t="array" ref="I745">_xlfn.IFS(H745="25-50%",230,H745="Top 25 %",260,H745="50-75%",200,H745="Last 25%",170,H745="Retire",150)</f>
        <v>170</v>
      </c>
      <c r="J745" s="15">
        <f t="shared" si="23"/>
        <v>0</v>
      </c>
    </row>
    <row r="746" spans="1:10" x14ac:dyDescent="0.3">
      <c r="A746" s="7" t="s">
        <v>798</v>
      </c>
      <c r="B746" s="7" t="str">
        <f>_xlfn.XLOOKUP(A746,'Vendor code- SKU mapping'!$B$1:$B$806,'Vendor code- SKU mapping'!$A$1:$A$806)</f>
        <v>ISte</v>
      </c>
      <c r="C746" s="7">
        <f>VLOOKUP(B746,'Vendor -MOQ- Lead time'!$A$2:$B$45,2,0)</f>
        <v>45</v>
      </c>
      <c r="D746" s="13">
        <f>ROUND(IF('Task 2'!G746&lt;0,ABS('Task 2'!G746),0),0)</f>
        <v>0</v>
      </c>
      <c r="E746" s="7">
        <f>ROUND('Task 2'!D746*'Task 3'!C746,0)</f>
        <v>0</v>
      </c>
      <c r="F746" s="7">
        <f>VLOOKUP(B746,'Vendor -MOQ- Lead time'!$A$2:$C$45,3,0)</f>
        <v>270</v>
      </c>
      <c r="G746" s="7">
        <f t="shared" si="22"/>
        <v>0</v>
      </c>
      <c r="H746" s="7" t="s">
        <v>0</v>
      </c>
      <c r="I746" s="7" cm="1">
        <f t="array" ref="I746">_xlfn.IFS(H746="25-50%",230,H746="Top 25 %",260,H746="50-75%",200,H746="Last 25%",170,H746="Retire",150)</f>
        <v>170</v>
      </c>
      <c r="J746" s="15">
        <f t="shared" si="23"/>
        <v>0</v>
      </c>
    </row>
    <row r="747" spans="1:10" x14ac:dyDescent="0.3">
      <c r="A747" s="7" t="s">
        <v>799</v>
      </c>
      <c r="B747" s="7" t="str">
        <f>_xlfn.XLOOKUP(A747,'Vendor code- SKU mapping'!$B$1:$B$806,'Vendor code- SKU mapping'!$A$1:$A$806)</f>
        <v>ISte</v>
      </c>
      <c r="C747" s="7">
        <f>VLOOKUP(B747,'Vendor -MOQ- Lead time'!$A$2:$B$45,2,0)</f>
        <v>45</v>
      </c>
      <c r="D747" s="13">
        <f>ROUND(IF('Task 2'!G747&lt;0,ABS('Task 2'!G747),0),0)</f>
        <v>0</v>
      </c>
      <c r="E747" s="7">
        <f>ROUND('Task 2'!D747*'Task 3'!C747,0)</f>
        <v>5</v>
      </c>
      <c r="F747" s="7">
        <f>VLOOKUP(B747,'Vendor -MOQ- Lead time'!$A$2:$C$45,3,0)</f>
        <v>270</v>
      </c>
      <c r="G747" s="7">
        <f t="shared" si="22"/>
        <v>270</v>
      </c>
      <c r="H747" s="7" t="s">
        <v>0</v>
      </c>
      <c r="I747" s="7" cm="1">
        <f t="array" ref="I747">_xlfn.IFS(H747="25-50%",230,H747="Top 25 %",260,H747="50-75%",200,H747="Last 25%",170,H747="Retire",150)</f>
        <v>170</v>
      </c>
      <c r="J747" s="15">
        <f t="shared" si="23"/>
        <v>45900</v>
      </c>
    </row>
    <row r="748" spans="1:10" x14ac:dyDescent="0.3">
      <c r="A748" s="7" t="s">
        <v>800</v>
      </c>
      <c r="B748" s="7" t="str">
        <f>_xlfn.XLOOKUP(A748,'Vendor code- SKU mapping'!$B$1:$B$806,'Vendor code- SKU mapping'!$A$1:$A$806)</f>
        <v>EGV</v>
      </c>
      <c r="C748" s="7">
        <f>VLOOKUP(B748,'Vendor -MOQ- Lead time'!$A$2:$B$45,2,0)</f>
        <v>45</v>
      </c>
      <c r="D748" s="13">
        <f>ROUND(IF('Task 2'!G748&lt;0,ABS('Task 2'!G748),0),0)</f>
        <v>0</v>
      </c>
      <c r="E748" s="7">
        <f>ROUND('Task 2'!D748*'Task 3'!C748,0)</f>
        <v>0</v>
      </c>
      <c r="F748" s="7">
        <f>VLOOKUP(B748,'Vendor -MOQ- Lead time'!$A$2:$C$45,3,0)</f>
        <v>270</v>
      </c>
      <c r="G748" s="7">
        <f t="shared" si="22"/>
        <v>0</v>
      </c>
      <c r="H748" s="7" t="s">
        <v>0</v>
      </c>
      <c r="I748" s="7" cm="1">
        <f t="array" ref="I748">_xlfn.IFS(H748="25-50%",230,H748="Top 25 %",260,H748="50-75%",200,H748="Last 25%",170,H748="Retire",150)</f>
        <v>170</v>
      </c>
      <c r="J748" s="15">
        <f t="shared" si="23"/>
        <v>0</v>
      </c>
    </row>
    <row r="749" spans="1:10" x14ac:dyDescent="0.3">
      <c r="A749" s="7" t="s">
        <v>801</v>
      </c>
      <c r="B749" s="7" t="str">
        <f>_xlfn.XLOOKUP(A749,'Vendor code- SKU mapping'!$B$1:$B$806,'Vendor code- SKU mapping'!$A$1:$A$806)</f>
        <v>OMug</v>
      </c>
      <c r="C749" s="7">
        <f>VLOOKUP(B749,'Vendor -MOQ- Lead time'!$A$2:$B$45,2,0)</f>
        <v>45</v>
      </c>
      <c r="D749" s="13">
        <f>ROUND(IF('Task 2'!G749&lt;0,ABS('Task 2'!G749),0),0)</f>
        <v>0</v>
      </c>
      <c r="E749" s="7">
        <f>ROUND('Task 2'!D749*'Task 3'!C749,0)</f>
        <v>3</v>
      </c>
      <c r="F749" s="7">
        <f>VLOOKUP(B749,'Vendor -MOQ- Lead time'!$A$2:$C$45,3,0)</f>
        <v>270</v>
      </c>
      <c r="G749" s="7">
        <f t="shared" si="22"/>
        <v>270</v>
      </c>
      <c r="H749" s="7" t="s">
        <v>0</v>
      </c>
      <c r="I749" s="7" cm="1">
        <f t="array" ref="I749">_xlfn.IFS(H749="25-50%",230,H749="Top 25 %",260,H749="50-75%",200,H749="Last 25%",170,H749="Retire",150)</f>
        <v>170</v>
      </c>
      <c r="J749" s="15">
        <f t="shared" si="23"/>
        <v>45900</v>
      </c>
    </row>
    <row r="750" spans="1:10" x14ac:dyDescent="0.3">
      <c r="A750" s="7" t="s">
        <v>802</v>
      </c>
      <c r="B750" s="7" t="str">
        <f>_xlfn.XLOOKUP(A750,'Vendor code- SKU mapping'!$B$1:$B$806,'Vendor code- SKU mapping'!$A$1:$A$806)</f>
        <v>OMug</v>
      </c>
      <c r="C750" s="7">
        <f>VLOOKUP(B750,'Vendor -MOQ- Lead time'!$A$2:$B$45,2,0)</f>
        <v>45</v>
      </c>
      <c r="D750" s="13">
        <f>ROUND(IF('Task 2'!G750&lt;0,ABS('Task 2'!G750),0),0)</f>
        <v>0</v>
      </c>
      <c r="E750" s="7">
        <f>ROUND('Task 2'!D750*'Task 3'!C750,0)</f>
        <v>0</v>
      </c>
      <c r="F750" s="7">
        <f>VLOOKUP(B750,'Vendor -MOQ- Lead time'!$A$2:$C$45,3,0)</f>
        <v>270</v>
      </c>
      <c r="G750" s="7">
        <f t="shared" si="22"/>
        <v>0</v>
      </c>
      <c r="H750" s="7" t="s">
        <v>0</v>
      </c>
      <c r="I750" s="7" cm="1">
        <f t="array" ref="I750">_xlfn.IFS(H750="25-50%",230,H750="Top 25 %",260,H750="50-75%",200,H750="Last 25%",170,H750="Retire",150)</f>
        <v>170</v>
      </c>
      <c r="J750" s="15">
        <f t="shared" si="23"/>
        <v>0</v>
      </c>
    </row>
    <row r="751" spans="1:10" x14ac:dyDescent="0.3">
      <c r="A751" s="7" t="s">
        <v>803</v>
      </c>
      <c r="B751" s="7" t="str">
        <f>_xlfn.XLOOKUP(A751,'Vendor code- SKU mapping'!$B$1:$B$806,'Vendor code- SKU mapping'!$A$1:$A$806)</f>
        <v>IVS</v>
      </c>
      <c r="C751" s="7">
        <f>VLOOKUP(B751,'Vendor -MOQ- Lead time'!$A$2:$B$45,2,0)</f>
        <v>30</v>
      </c>
      <c r="D751" s="13">
        <f>ROUND(IF('Task 2'!G751&lt;0,ABS('Task 2'!G751),0),0)</f>
        <v>0</v>
      </c>
      <c r="E751" s="7">
        <f>ROUND('Task 2'!D751*'Task 3'!C751,0)</f>
        <v>0</v>
      </c>
      <c r="F751" s="7">
        <f>VLOOKUP(B751,'Vendor -MOQ- Lead time'!$A$2:$C$45,3,0)</f>
        <v>180</v>
      </c>
      <c r="G751" s="7">
        <f t="shared" si="22"/>
        <v>0</v>
      </c>
      <c r="H751" s="7" t="s">
        <v>0</v>
      </c>
      <c r="I751" s="7" cm="1">
        <f t="array" ref="I751">_xlfn.IFS(H751="25-50%",230,H751="Top 25 %",260,H751="50-75%",200,H751="Last 25%",170,H751="Retire",150)</f>
        <v>170</v>
      </c>
      <c r="J751" s="15">
        <f t="shared" si="23"/>
        <v>0</v>
      </c>
    </row>
    <row r="752" spans="1:10" x14ac:dyDescent="0.3">
      <c r="A752" s="7" t="s">
        <v>804</v>
      </c>
      <c r="B752" s="7" t="str">
        <f>_xlfn.XLOOKUP(A752,'Vendor code- SKU mapping'!$B$1:$B$806,'Vendor code- SKU mapping'!$A$1:$A$806)</f>
        <v>IVS</v>
      </c>
      <c r="C752" s="7">
        <f>VLOOKUP(B752,'Vendor -MOQ- Lead time'!$A$2:$B$45,2,0)</f>
        <v>30</v>
      </c>
      <c r="D752" s="13">
        <f>ROUND(IF('Task 2'!G752&lt;0,ABS('Task 2'!G752),0),0)</f>
        <v>0</v>
      </c>
      <c r="E752" s="7">
        <f>ROUND('Task 2'!D752*'Task 3'!C752,0)</f>
        <v>0</v>
      </c>
      <c r="F752" s="7">
        <f>VLOOKUP(B752,'Vendor -MOQ- Lead time'!$A$2:$C$45,3,0)</f>
        <v>180</v>
      </c>
      <c r="G752" s="7">
        <f t="shared" si="22"/>
        <v>0</v>
      </c>
      <c r="H752" s="7" t="s">
        <v>0</v>
      </c>
      <c r="I752" s="7" cm="1">
        <f t="array" ref="I752">_xlfn.IFS(H752="25-50%",230,H752="Top 25 %",260,H752="50-75%",200,H752="Last 25%",170,H752="Retire",150)</f>
        <v>170</v>
      </c>
      <c r="J752" s="15">
        <f t="shared" si="23"/>
        <v>0</v>
      </c>
    </row>
    <row r="753" spans="1:10" x14ac:dyDescent="0.3">
      <c r="A753" s="7" t="s">
        <v>805</v>
      </c>
      <c r="B753" s="7" t="str">
        <f>_xlfn.XLOOKUP(A753,'Vendor code- SKU mapping'!$B$1:$B$806,'Vendor code- SKU mapping'!$A$1:$A$806)</f>
        <v>IVS</v>
      </c>
      <c r="C753" s="7">
        <f>VLOOKUP(B753,'Vendor -MOQ- Lead time'!$A$2:$B$45,2,0)</f>
        <v>30</v>
      </c>
      <c r="D753" s="13">
        <f>ROUND(IF('Task 2'!G753&lt;0,ABS('Task 2'!G753),0),0)</f>
        <v>0</v>
      </c>
      <c r="E753" s="7">
        <f>ROUND('Task 2'!D753*'Task 3'!C753,0)</f>
        <v>0</v>
      </c>
      <c r="F753" s="7">
        <f>VLOOKUP(B753,'Vendor -MOQ- Lead time'!$A$2:$C$45,3,0)</f>
        <v>180</v>
      </c>
      <c r="G753" s="7">
        <f t="shared" si="22"/>
        <v>0</v>
      </c>
      <c r="H753" s="7" t="s">
        <v>0</v>
      </c>
      <c r="I753" s="7" cm="1">
        <f t="array" ref="I753">_xlfn.IFS(H753="25-50%",230,H753="Top 25 %",260,H753="50-75%",200,H753="Last 25%",170,H753="Retire",150)</f>
        <v>170</v>
      </c>
      <c r="J753" s="15">
        <f t="shared" si="23"/>
        <v>0</v>
      </c>
    </row>
    <row r="754" spans="1:10" x14ac:dyDescent="0.3">
      <c r="A754" s="7" t="s">
        <v>806</v>
      </c>
      <c r="B754" s="7" t="str">
        <f>_xlfn.XLOOKUP(A754,'Vendor code- SKU mapping'!$B$1:$B$806,'Vendor code- SKU mapping'!$A$1:$A$806)</f>
        <v>IVS</v>
      </c>
      <c r="C754" s="7">
        <f>VLOOKUP(B754,'Vendor -MOQ- Lead time'!$A$2:$B$45,2,0)</f>
        <v>30</v>
      </c>
      <c r="D754" s="13">
        <f>ROUND(IF('Task 2'!G754&lt;0,ABS('Task 2'!G754),0),0)</f>
        <v>0</v>
      </c>
      <c r="E754" s="7">
        <f>ROUND('Task 2'!D754*'Task 3'!C754,0)</f>
        <v>0</v>
      </c>
      <c r="F754" s="7">
        <f>VLOOKUP(B754,'Vendor -MOQ- Lead time'!$A$2:$C$45,3,0)</f>
        <v>180</v>
      </c>
      <c r="G754" s="7">
        <f t="shared" si="22"/>
        <v>0</v>
      </c>
      <c r="H754" s="7" t="s">
        <v>0</v>
      </c>
      <c r="I754" s="7" cm="1">
        <f t="array" ref="I754">_xlfn.IFS(H754="25-50%",230,H754="Top 25 %",260,H754="50-75%",200,H754="Last 25%",170,H754="Retire",150)</f>
        <v>170</v>
      </c>
      <c r="J754" s="15">
        <f t="shared" si="23"/>
        <v>0</v>
      </c>
    </row>
    <row r="755" spans="1:10" x14ac:dyDescent="0.3">
      <c r="A755" s="7" t="s">
        <v>807</v>
      </c>
      <c r="B755" s="7" t="str">
        <f>_xlfn.XLOOKUP(A755,'Vendor code- SKU mapping'!$B$1:$B$806,'Vendor code- SKU mapping'!$A$1:$A$806)</f>
        <v>EGV</v>
      </c>
      <c r="C755" s="7">
        <f>VLOOKUP(B755,'Vendor -MOQ- Lead time'!$A$2:$B$45,2,0)</f>
        <v>45</v>
      </c>
      <c r="D755" s="13">
        <f>ROUND(IF('Task 2'!G755&lt;0,ABS('Task 2'!G755),0),0)</f>
        <v>0</v>
      </c>
      <c r="E755" s="7">
        <f>ROUND('Task 2'!D755*'Task 3'!C755,0)</f>
        <v>0</v>
      </c>
      <c r="F755" s="7">
        <f>VLOOKUP(B755,'Vendor -MOQ- Lead time'!$A$2:$C$45,3,0)</f>
        <v>270</v>
      </c>
      <c r="G755" s="7">
        <f t="shared" si="22"/>
        <v>0</v>
      </c>
      <c r="H755" s="7" t="s">
        <v>0</v>
      </c>
      <c r="I755" s="7" cm="1">
        <f t="array" ref="I755">_xlfn.IFS(H755="25-50%",230,H755="Top 25 %",260,H755="50-75%",200,H755="Last 25%",170,H755="Retire",150)</f>
        <v>170</v>
      </c>
      <c r="J755" s="15">
        <f t="shared" si="23"/>
        <v>0</v>
      </c>
    </row>
    <row r="756" spans="1:10" x14ac:dyDescent="0.3">
      <c r="A756" s="7" t="s">
        <v>808</v>
      </c>
      <c r="B756" s="7" t="str">
        <f>_xlfn.XLOOKUP(A756,'Vendor code- SKU mapping'!$B$1:$B$806,'Vendor code- SKU mapping'!$A$1:$A$806)</f>
        <v>ISte</v>
      </c>
      <c r="C756" s="7">
        <f>VLOOKUP(B756,'Vendor -MOQ- Lead time'!$A$2:$B$45,2,0)</f>
        <v>45</v>
      </c>
      <c r="D756" s="13">
        <f>ROUND(IF('Task 2'!G756&lt;0,ABS('Task 2'!G756),0),0)</f>
        <v>0</v>
      </c>
      <c r="E756" s="7">
        <f>ROUND('Task 2'!D756*'Task 3'!C756,0)</f>
        <v>2</v>
      </c>
      <c r="F756" s="7">
        <f>VLOOKUP(B756,'Vendor -MOQ- Lead time'!$A$2:$C$45,3,0)</f>
        <v>270</v>
      </c>
      <c r="G756" s="7">
        <f t="shared" si="22"/>
        <v>270</v>
      </c>
      <c r="H756" s="7" t="s">
        <v>0</v>
      </c>
      <c r="I756" s="7" cm="1">
        <f t="array" ref="I756">_xlfn.IFS(H756="25-50%",230,H756="Top 25 %",260,H756="50-75%",200,H756="Last 25%",170,H756="Retire",150)</f>
        <v>170</v>
      </c>
      <c r="J756" s="15">
        <f t="shared" si="23"/>
        <v>45900</v>
      </c>
    </row>
    <row r="757" spans="1:10" x14ac:dyDescent="0.3">
      <c r="A757" s="7" t="s">
        <v>809</v>
      </c>
      <c r="B757" s="7" t="str">
        <f>_xlfn.XLOOKUP(A757,'Vendor code- SKU mapping'!$B$1:$B$806,'Vendor code- SKU mapping'!$A$1:$A$806)</f>
        <v>ORav</v>
      </c>
      <c r="C757" s="7">
        <f>VLOOKUP(B757,'Vendor -MOQ- Lead time'!$A$2:$B$45,2,0)</f>
        <v>30</v>
      </c>
      <c r="D757" s="13">
        <f>ROUND(IF('Task 2'!G757&lt;0,ABS('Task 2'!G757),0),0)</f>
        <v>0</v>
      </c>
      <c r="E757" s="7">
        <f>ROUND('Task 2'!D757*'Task 3'!C757,0)</f>
        <v>0</v>
      </c>
      <c r="F757" s="7">
        <f>VLOOKUP(B757,'Vendor -MOQ- Lead time'!$A$2:$C$45,3,0)</f>
        <v>180</v>
      </c>
      <c r="G757" s="7">
        <f t="shared" si="22"/>
        <v>0</v>
      </c>
      <c r="H757" s="7" t="s">
        <v>0</v>
      </c>
      <c r="I757" s="7" cm="1">
        <f t="array" ref="I757">_xlfn.IFS(H757="25-50%",230,H757="Top 25 %",260,H757="50-75%",200,H757="Last 25%",170,H757="Retire",150)</f>
        <v>170</v>
      </c>
      <c r="J757" s="15">
        <f t="shared" si="23"/>
        <v>0</v>
      </c>
    </row>
    <row r="758" spans="1:10" x14ac:dyDescent="0.3">
      <c r="A758" s="7" t="s">
        <v>810</v>
      </c>
      <c r="B758" s="7" t="str">
        <f>_xlfn.XLOOKUP(A758,'Vendor code- SKU mapping'!$B$1:$B$806,'Vendor code- SKU mapping'!$A$1:$A$806)</f>
        <v>ORav</v>
      </c>
      <c r="C758" s="7">
        <f>VLOOKUP(B758,'Vendor -MOQ- Lead time'!$A$2:$B$45,2,0)</f>
        <v>30</v>
      </c>
      <c r="D758" s="13">
        <f>ROUND(IF('Task 2'!G758&lt;0,ABS('Task 2'!G758),0),0)</f>
        <v>0</v>
      </c>
      <c r="E758" s="7">
        <f>ROUND('Task 2'!D758*'Task 3'!C758,0)</f>
        <v>1</v>
      </c>
      <c r="F758" s="7">
        <f>VLOOKUP(B758,'Vendor -MOQ- Lead time'!$A$2:$C$45,3,0)</f>
        <v>180</v>
      </c>
      <c r="G758" s="7">
        <f t="shared" si="22"/>
        <v>180</v>
      </c>
      <c r="H758" s="7" t="s">
        <v>0</v>
      </c>
      <c r="I758" s="7" cm="1">
        <f t="array" ref="I758">_xlfn.IFS(H758="25-50%",230,H758="Top 25 %",260,H758="50-75%",200,H758="Last 25%",170,H758="Retire",150)</f>
        <v>170</v>
      </c>
      <c r="J758" s="15">
        <f t="shared" si="23"/>
        <v>30600</v>
      </c>
    </row>
    <row r="759" spans="1:10" x14ac:dyDescent="0.3">
      <c r="A759" s="7" t="s">
        <v>811</v>
      </c>
      <c r="B759" s="7" t="str">
        <f>_xlfn.XLOOKUP(A759,'Vendor code- SKU mapping'!$B$1:$B$806,'Vendor code- SKU mapping'!$A$1:$A$806)</f>
        <v>OSAI</v>
      </c>
      <c r="C759" s="7">
        <f>VLOOKUP(B759,'Vendor -MOQ- Lead time'!$A$2:$B$45,2,0)</f>
        <v>30</v>
      </c>
      <c r="D759" s="13">
        <f>ROUND(IF('Task 2'!G759&lt;0,ABS('Task 2'!G759),0),0)</f>
        <v>0</v>
      </c>
      <c r="E759" s="7">
        <f>ROUND('Task 2'!D759*'Task 3'!C759,0)</f>
        <v>3</v>
      </c>
      <c r="F759" s="7">
        <f>VLOOKUP(B759,'Vendor -MOQ- Lead time'!$A$2:$C$45,3,0)</f>
        <v>180</v>
      </c>
      <c r="G759" s="7">
        <f t="shared" si="22"/>
        <v>180</v>
      </c>
      <c r="H759" s="7" t="s">
        <v>0</v>
      </c>
      <c r="I759" s="7" cm="1">
        <f t="array" ref="I759">_xlfn.IFS(H759="25-50%",230,H759="Top 25 %",260,H759="50-75%",200,H759="Last 25%",170,H759="Retire",150)</f>
        <v>170</v>
      </c>
      <c r="J759" s="15">
        <f t="shared" si="23"/>
        <v>30600</v>
      </c>
    </row>
    <row r="760" spans="1:10" x14ac:dyDescent="0.3">
      <c r="A760" s="7" t="s">
        <v>812</v>
      </c>
      <c r="B760" s="7" t="str">
        <f>_xlfn.XLOOKUP(A760,'Vendor code- SKU mapping'!$B$1:$B$806,'Vendor code- SKU mapping'!$A$1:$A$806)</f>
        <v>OSAI</v>
      </c>
      <c r="C760" s="7">
        <f>VLOOKUP(B760,'Vendor -MOQ- Lead time'!$A$2:$B$45,2,0)</f>
        <v>30</v>
      </c>
      <c r="D760" s="13">
        <f>ROUND(IF('Task 2'!G760&lt;0,ABS('Task 2'!G760),0),0)</f>
        <v>0</v>
      </c>
      <c r="E760" s="7">
        <f>ROUND('Task 2'!D760*'Task 3'!C760,0)</f>
        <v>0</v>
      </c>
      <c r="F760" s="7">
        <f>VLOOKUP(B760,'Vendor -MOQ- Lead time'!$A$2:$C$45,3,0)</f>
        <v>180</v>
      </c>
      <c r="G760" s="7">
        <f t="shared" si="22"/>
        <v>0</v>
      </c>
      <c r="H760" s="7" t="s">
        <v>0</v>
      </c>
      <c r="I760" s="7" cm="1">
        <f t="array" ref="I760">_xlfn.IFS(H760="25-50%",230,H760="Top 25 %",260,H760="50-75%",200,H760="Last 25%",170,H760="Retire",150)</f>
        <v>170</v>
      </c>
      <c r="J760" s="15">
        <f t="shared" si="23"/>
        <v>0</v>
      </c>
    </row>
    <row r="761" spans="1:10" x14ac:dyDescent="0.3">
      <c r="A761" s="7" t="s">
        <v>813</v>
      </c>
      <c r="B761" s="7" t="str">
        <f>_xlfn.XLOOKUP(A761,'Vendor code- SKU mapping'!$B$1:$B$806,'Vendor code- SKU mapping'!$A$1:$A$806)</f>
        <v>ORav</v>
      </c>
      <c r="C761" s="7">
        <f>VLOOKUP(B761,'Vendor -MOQ- Lead time'!$A$2:$B$45,2,0)</f>
        <v>30</v>
      </c>
      <c r="D761" s="13">
        <f>ROUND(IF('Task 2'!G761&lt;0,ABS('Task 2'!G761),0),0)</f>
        <v>0</v>
      </c>
      <c r="E761" s="7">
        <f>ROUND('Task 2'!D761*'Task 3'!C761,0)</f>
        <v>6</v>
      </c>
      <c r="F761" s="7">
        <f>VLOOKUP(B761,'Vendor -MOQ- Lead time'!$A$2:$C$45,3,0)</f>
        <v>180</v>
      </c>
      <c r="G761" s="7">
        <f t="shared" si="22"/>
        <v>180</v>
      </c>
      <c r="H761" s="7" t="s">
        <v>3</v>
      </c>
      <c r="I761" s="7" cm="1">
        <f t="array" ref="I761">_xlfn.IFS(H761="25-50%",230,H761="Top 25 %",260,H761="50-75%",200,H761="Last 25%",170,H761="Retire",150)</f>
        <v>150</v>
      </c>
      <c r="J761" s="15">
        <f t="shared" si="23"/>
        <v>27000</v>
      </c>
    </row>
    <row r="762" spans="1:10" x14ac:dyDescent="0.3">
      <c r="A762" s="7" t="s">
        <v>814</v>
      </c>
      <c r="B762" s="7" t="str">
        <f>_xlfn.XLOOKUP(A762,'Vendor code- SKU mapping'!$B$1:$B$806,'Vendor code- SKU mapping'!$A$1:$A$806)</f>
        <v>ORav</v>
      </c>
      <c r="C762" s="7">
        <f>VLOOKUP(B762,'Vendor -MOQ- Lead time'!$A$2:$B$45,2,0)</f>
        <v>30</v>
      </c>
      <c r="D762" s="13">
        <f>ROUND(IF('Task 2'!G762&lt;0,ABS('Task 2'!G762),0),0)</f>
        <v>0</v>
      </c>
      <c r="E762" s="7">
        <f>ROUND('Task 2'!D762*'Task 3'!C762,0)</f>
        <v>0</v>
      </c>
      <c r="F762" s="7">
        <f>VLOOKUP(B762,'Vendor -MOQ- Lead time'!$A$2:$C$45,3,0)</f>
        <v>180</v>
      </c>
      <c r="G762" s="7">
        <f t="shared" si="22"/>
        <v>0</v>
      </c>
      <c r="H762" s="7" t="s">
        <v>3</v>
      </c>
      <c r="I762" s="7" cm="1">
        <f t="array" ref="I762">_xlfn.IFS(H762="25-50%",230,H762="Top 25 %",260,H762="50-75%",200,H762="Last 25%",170,H762="Retire",150)</f>
        <v>150</v>
      </c>
      <c r="J762" s="15">
        <f t="shared" si="23"/>
        <v>0</v>
      </c>
    </row>
    <row r="763" spans="1:10" x14ac:dyDescent="0.3">
      <c r="A763" s="7" t="s">
        <v>815</v>
      </c>
      <c r="B763" s="7" t="str">
        <f>_xlfn.XLOOKUP(A763,'Vendor code- SKU mapping'!$B$1:$B$806,'Vendor code- SKU mapping'!$A$1:$A$806)</f>
        <v>OSha</v>
      </c>
      <c r="C763" s="7">
        <f>VLOOKUP(B763,'Vendor -MOQ- Lead time'!$A$2:$B$45,2,0)</f>
        <v>45</v>
      </c>
      <c r="D763" s="13">
        <f>ROUND(IF('Task 2'!G763&lt;0,ABS('Task 2'!G763),0),0)</f>
        <v>0</v>
      </c>
      <c r="E763" s="7">
        <f>ROUND('Task 2'!D763*'Task 3'!C763,0)</f>
        <v>2</v>
      </c>
      <c r="F763" s="7">
        <f>VLOOKUP(B763,'Vendor -MOQ- Lead time'!$A$2:$C$45,3,0)</f>
        <v>270</v>
      </c>
      <c r="G763" s="7">
        <f t="shared" si="22"/>
        <v>270</v>
      </c>
      <c r="H763" s="7" t="s">
        <v>3</v>
      </c>
      <c r="I763" s="7" cm="1">
        <f t="array" ref="I763">_xlfn.IFS(H763="25-50%",230,H763="Top 25 %",260,H763="50-75%",200,H763="Last 25%",170,H763="Retire",150)</f>
        <v>150</v>
      </c>
      <c r="J763" s="15">
        <f t="shared" si="23"/>
        <v>40500</v>
      </c>
    </row>
  </sheetData>
  <conditionalFormatting sqref="A2:A76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4BE1-5123-42D6-BD1D-67A08FF0D890}">
  <dimension ref="A1:F763"/>
  <sheetViews>
    <sheetView zoomScale="85" zoomScaleNormal="85" workbookViewId="0">
      <selection activeCell="E3" sqref="E3"/>
    </sheetView>
  </sheetViews>
  <sheetFormatPr defaultRowHeight="15.6" x14ac:dyDescent="0.3"/>
  <cols>
    <col min="1" max="1" width="14.09765625" bestFit="1" customWidth="1"/>
    <col min="2" max="2" width="12.3984375" bestFit="1" customWidth="1"/>
    <col min="3" max="3" width="12" bestFit="1" customWidth="1"/>
    <col min="4" max="4" width="19" bestFit="1" customWidth="1"/>
    <col min="5" max="5" width="11.8984375" bestFit="1" customWidth="1"/>
    <col min="6" max="6" width="57.3984375" bestFit="1" customWidth="1"/>
  </cols>
  <sheetData>
    <row r="1" spans="1:6" x14ac:dyDescent="0.3">
      <c r="A1" s="12" t="s">
        <v>816</v>
      </c>
      <c r="B1" s="12" t="s">
        <v>838</v>
      </c>
      <c r="C1" s="12" t="s">
        <v>841</v>
      </c>
      <c r="D1" s="12" t="s">
        <v>842</v>
      </c>
      <c r="E1" s="12" t="s">
        <v>839</v>
      </c>
      <c r="F1" s="12" t="s">
        <v>840</v>
      </c>
    </row>
    <row r="2" spans="1:6" x14ac:dyDescent="0.3">
      <c r="A2" s="7" t="s">
        <v>54</v>
      </c>
      <c r="B2" s="7">
        <v>9990</v>
      </c>
      <c r="C2" s="13">
        <f>MIN(B2,'Task 2'!D2*11)</f>
        <v>1206.7</v>
      </c>
      <c r="D2" s="13">
        <f>MIN(B2-C2,'Task 2'!D2*6)</f>
        <v>658.2</v>
      </c>
      <c r="E2" s="13">
        <f>B2-C2-D2</f>
        <v>8125.0999999999995</v>
      </c>
      <c r="F2" s="7" t="s">
        <v>843</v>
      </c>
    </row>
    <row r="3" spans="1:6" x14ac:dyDescent="0.3">
      <c r="A3" s="7" t="s">
        <v>55</v>
      </c>
      <c r="B3" s="7">
        <v>9900</v>
      </c>
      <c r="C3" s="13">
        <f>MIN(B3,'Task 2'!D3*11)</f>
        <v>2145</v>
      </c>
      <c r="D3" s="13">
        <f>MIN(B3-C3,'Task 2'!D3*6)</f>
        <v>1170</v>
      </c>
      <c r="E3" s="13">
        <f t="shared" ref="E3:E66" si="0">B3-C3-D3</f>
        <v>6585</v>
      </c>
      <c r="F3" s="7" t="s">
        <v>843</v>
      </c>
    </row>
    <row r="4" spans="1:6" x14ac:dyDescent="0.3">
      <c r="A4" s="7" t="s">
        <v>56</v>
      </c>
      <c r="B4" s="7">
        <v>10260</v>
      </c>
      <c r="C4" s="13">
        <f>MIN(B4,'Task 2'!D4*11)</f>
        <v>1343.8333333333335</v>
      </c>
      <c r="D4" s="13">
        <f>MIN(B4-C4,'Task 2'!D4*6)</f>
        <v>733</v>
      </c>
      <c r="E4" s="13">
        <f t="shared" si="0"/>
        <v>8183.1666666666661</v>
      </c>
      <c r="F4" s="7" t="s">
        <v>843</v>
      </c>
    </row>
    <row r="5" spans="1:6" x14ac:dyDescent="0.3">
      <c r="A5" s="7" t="s">
        <v>57</v>
      </c>
      <c r="B5" s="7">
        <v>10440</v>
      </c>
      <c r="C5" s="13">
        <f>MIN(B5,'Task 2'!D5*11)</f>
        <v>1618.4666666666667</v>
      </c>
      <c r="D5" s="13">
        <f>MIN(B5-C5,'Task 2'!D5*6)</f>
        <v>882.8</v>
      </c>
      <c r="E5" s="13">
        <f t="shared" si="0"/>
        <v>7938.7333333333327</v>
      </c>
      <c r="F5" s="7" t="s">
        <v>843</v>
      </c>
    </row>
    <row r="6" spans="1:6" x14ac:dyDescent="0.3">
      <c r="A6" s="7" t="s">
        <v>58</v>
      </c>
      <c r="B6" s="7">
        <v>7290</v>
      </c>
      <c r="C6" s="13">
        <f>MIN(B6,'Task 2'!D6*11)</f>
        <v>1057.8333333333335</v>
      </c>
      <c r="D6" s="13">
        <f>MIN(B6-C6,'Task 2'!D6*6)</f>
        <v>577</v>
      </c>
      <c r="E6" s="13">
        <f t="shared" si="0"/>
        <v>5655.1666666666661</v>
      </c>
      <c r="F6" s="7" t="s">
        <v>843</v>
      </c>
    </row>
    <row r="7" spans="1:6" x14ac:dyDescent="0.3">
      <c r="A7" s="7" t="s">
        <v>59</v>
      </c>
      <c r="B7" s="7">
        <v>4860</v>
      </c>
      <c r="C7" s="13">
        <f>MIN(B7,'Task 2'!D7*11)</f>
        <v>1028.1333333333334</v>
      </c>
      <c r="D7" s="13">
        <f>MIN(B7-C7,'Task 2'!D7*6)</f>
        <v>560.80000000000007</v>
      </c>
      <c r="E7" s="13">
        <f t="shared" si="0"/>
        <v>3271.0666666666666</v>
      </c>
      <c r="F7" s="7" t="s">
        <v>843</v>
      </c>
    </row>
    <row r="8" spans="1:6" x14ac:dyDescent="0.3">
      <c r="A8" s="7" t="s">
        <v>60</v>
      </c>
      <c r="B8" s="7">
        <v>7200</v>
      </c>
      <c r="C8" s="13">
        <f>MIN(B8,'Task 2'!D8*11)</f>
        <v>694.09999999999991</v>
      </c>
      <c r="D8" s="13">
        <f>MIN(B8-C8,'Task 2'!D8*6)</f>
        <v>378.59999999999997</v>
      </c>
      <c r="E8" s="13">
        <f t="shared" si="0"/>
        <v>6127.2999999999993</v>
      </c>
      <c r="F8" s="7" t="s">
        <v>843</v>
      </c>
    </row>
    <row r="9" spans="1:6" x14ac:dyDescent="0.3">
      <c r="A9" s="7" t="s">
        <v>61</v>
      </c>
      <c r="B9" s="7">
        <v>4860</v>
      </c>
      <c r="C9" s="13">
        <f>MIN(B9,'Task 2'!D9*11)</f>
        <v>1545.8666666666666</v>
      </c>
      <c r="D9" s="13">
        <f>MIN(B9-C9,'Task 2'!D9*6)</f>
        <v>843.2</v>
      </c>
      <c r="E9" s="13">
        <f t="shared" si="0"/>
        <v>2470.9333333333334</v>
      </c>
      <c r="F9" s="7" t="s">
        <v>843</v>
      </c>
    </row>
    <row r="10" spans="1:6" x14ac:dyDescent="0.3">
      <c r="A10" s="7" t="s">
        <v>62</v>
      </c>
      <c r="B10" s="7">
        <v>7200</v>
      </c>
      <c r="C10" s="13">
        <f>MIN(B10,'Task 2'!D10*11)</f>
        <v>661.46666666666658</v>
      </c>
      <c r="D10" s="13">
        <f>MIN(B10-C10,'Task 2'!D10*6)</f>
        <v>360.79999999999995</v>
      </c>
      <c r="E10" s="13">
        <f t="shared" si="0"/>
        <v>6177.7333333333336</v>
      </c>
      <c r="F10" s="7" t="s">
        <v>843</v>
      </c>
    </row>
    <row r="11" spans="1:6" x14ac:dyDescent="0.3">
      <c r="A11" s="7" t="s">
        <v>63</v>
      </c>
      <c r="B11" s="7">
        <v>3780</v>
      </c>
      <c r="C11" s="13">
        <f>MIN(B11,'Task 2'!D11*11)</f>
        <v>1330.6333333333332</v>
      </c>
      <c r="D11" s="13">
        <f>MIN(B11-C11,'Task 2'!D11*6)</f>
        <v>725.8</v>
      </c>
      <c r="E11" s="13">
        <f t="shared" si="0"/>
        <v>1723.5666666666668</v>
      </c>
      <c r="F11" s="7" t="s">
        <v>843</v>
      </c>
    </row>
    <row r="12" spans="1:6" x14ac:dyDescent="0.3">
      <c r="A12" s="7" t="s">
        <v>64</v>
      </c>
      <c r="B12" s="7">
        <v>8100</v>
      </c>
      <c r="C12" s="13">
        <f>MIN(B12,'Task 2'!D12*11)</f>
        <v>1068.1000000000001</v>
      </c>
      <c r="D12" s="13">
        <f>MIN(B12-C12,'Task 2'!D12*6)</f>
        <v>582.6</v>
      </c>
      <c r="E12" s="13">
        <f t="shared" si="0"/>
        <v>6449.2999999999993</v>
      </c>
      <c r="F12" s="7" t="s">
        <v>843</v>
      </c>
    </row>
    <row r="13" spans="1:6" x14ac:dyDescent="0.3">
      <c r="A13" s="7" t="s">
        <v>65</v>
      </c>
      <c r="B13" s="7">
        <v>5670</v>
      </c>
      <c r="C13" s="13">
        <f>MIN(B13,'Task 2'!D13*11)</f>
        <v>621.86666666666667</v>
      </c>
      <c r="D13" s="13">
        <f>MIN(B13-C13,'Task 2'!D13*6)</f>
        <v>339.20000000000005</v>
      </c>
      <c r="E13" s="13">
        <f t="shared" si="0"/>
        <v>4708.9333333333334</v>
      </c>
      <c r="F13" s="7" t="s">
        <v>843</v>
      </c>
    </row>
    <row r="14" spans="1:6" x14ac:dyDescent="0.3">
      <c r="A14" s="7" t="s">
        <v>66</v>
      </c>
      <c r="B14" s="7">
        <v>11880</v>
      </c>
      <c r="C14" s="13">
        <f>MIN(B14,'Task 2'!D14*11)</f>
        <v>1178.1000000000001</v>
      </c>
      <c r="D14" s="13">
        <f>MIN(B14-C14,'Task 2'!D14*6)</f>
        <v>642.6</v>
      </c>
      <c r="E14" s="13">
        <f t="shared" si="0"/>
        <v>10059.299999999999</v>
      </c>
      <c r="F14" s="7" t="s">
        <v>843</v>
      </c>
    </row>
    <row r="15" spans="1:6" x14ac:dyDescent="0.3">
      <c r="A15" s="7" t="s">
        <v>67</v>
      </c>
      <c r="B15" s="7">
        <v>4320</v>
      </c>
      <c r="C15" s="13">
        <f>MIN(B15,'Task 2'!D15*11)</f>
        <v>715.36666666666667</v>
      </c>
      <c r="D15" s="13">
        <f>MIN(B15-C15,'Task 2'!D15*6)</f>
        <v>390.2</v>
      </c>
      <c r="E15" s="13">
        <f t="shared" si="0"/>
        <v>3214.4333333333334</v>
      </c>
      <c r="F15" s="7" t="s">
        <v>843</v>
      </c>
    </row>
    <row r="16" spans="1:6" x14ac:dyDescent="0.3">
      <c r="A16" s="7" t="s">
        <v>68</v>
      </c>
      <c r="B16" s="7">
        <v>6300</v>
      </c>
      <c r="C16" s="13">
        <f>MIN(B16,'Task 2'!D16*11)</f>
        <v>923.63333333333355</v>
      </c>
      <c r="D16" s="13">
        <f>MIN(B16-C16,'Task 2'!D16*6)</f>
        <v>503.80000000000007</v>
      </c>
      <c r="E16" s="13">
        <f t="shared" si="0"/>
        <v>4872.5666666666666</v>
      </c>
      <c r="F16" s="7" t="s">
        <v>843</v>
      </c>
    </row>
    <row r="17" spans="1:6" x14ac:dyDescent="0.3">
      <c r="A17" s="7" t="s">
        <v>69</v>
      </c>
      <c r="B17" s="7">
        <v>3510</v>
      </c>
      <c r="C17" s="13">
        <f>MIN(B17,'Task 2'!D17*11)</f>
        <v>486.19999999999993</v>
      </c>
      <c r="D17" s="13">
        <f>MIN(B17-C17,'Task 2'!D17*6)</f>
        <v>265.2</v>
      </c>
      <c r="E17" s="13">
        <f t="shared" si="0"/>
        <v>2758.6000000000004</v>
      </c>
      <c r="F17" s="7" t="s">
        <v>843</v>
      </c>
    </row>
    <row r="18" spans="1:6" x14ac:dyDescent="0.3">
      <c r="A18" s="7" t="s">
        <v>70</v>
      </c>
      <c r="B18" s="7">
        <v>5940</v>
      </c>
      <c r="C18" s="13">
        <f>MIN(B18,'Task 2'!D18*11)</f>
        <v>748.36666666666667</v>
      </c>
      <c r="D18" s="13">
        <f>MIN(B18-C18,'Task 2'!D18*6)</f>
        <v>408.2</v>
      </c>
      <c r="E18" s="13">
        <f t="shared" si="0"/>
        <v>4783.4333333333334</v>
      </c>
      <c r="F18" s="7" t="s">
        <v>843</v>
      </c>
    </row>
    <row r="19" spans="1:6" x14ac:dyDescent="0.3">
      <c r="A19" s="7" t="s">
        <v>71</v>
      </c>
      <c r="B19" s="7">
        <v>2700</v>
      </c>
      <c r="C19" s="13">
        <f>MIN(B19,'Task 2'!D19*11)</f>
        <v>617.83333333333326</v>
      </c>
      <c r="D19" s="13">
        <f>MIN(B19-C19,'Task 2'!D19*6)</f>
        <v>337</v>
      </c>
      <c r="E19" s="13">
        <f t="shared" si="0"/>
        <v>1745.166666666667</v>
      </c>
      <c r="F19" s="7" t="s">
        <v>843</v>
      </c>
    </row>
    <row r="20" spans="1:6" x14ac:dyDescent="0.3">
      <c r="A20" s="7" t="s">
        <v>72</v>
      </c>
      <c r="B20" s="7">
        <v>4320</v>
      </c>
      <c r="C20" s="13">
        <f>MIN(B20,'Task 2'!D20*11)</f>
        <v>783.93333333333328</v>
      </c>
      <c r="D20" s="13">
        <f>MIN(B20-C20,'Task 2'!D20*6)</f>
        <v>427.6</v>
      </c>
      <c r="E20" s="13">
        <f t="shared" si="0"/>
        <v>3108.4666666666667</v>
      </c>
      <c r="F20" s="7" t="s">
        <v>843</v>
      </c>
    </row>
    <row r="21" spans="1:6" x14ac:dyDescent="0.3">
      <c r="A21" s="7" t="s">
        <v>73</v>
      </c>
      <c r="B21" s="7">
        <v>3240</v>
      </c>
      <c r="C21" s="13">
        <f>MIN(B21,'Task 2'!D21*11)</f>
        <v>626.63333333333333</v>
      </c>
      <c r="D21" s="13">
        <f>MIN(B21-C21,'Task 2'!D21*6)</f>
        <v>341.79999999999995</v>
      </c>
      <c r="E21" s="13">
        <f t="shared" si="0"/>
        <v>2271.5666666666666</v>
      </c>
      <c r="F21" s="7" t="s">
        <v>843</v>
      </c>
    </row>
    <row r="22" spans="1:6" x14ac:dyDescent="0.3">
      <c r="A22" s="7" t="s">
        <v>74</v>
      </c>
      <c r="B22" s="7">
        <v>1890</v>
      </c>
      <c r="C22" s="13">
        <f>MIN(B22,'Task 2'!D22*11)</f>
        <v>458.69999999999993</v>
      </c>
      <c r="D22" s="13">
        <f>MIN(B22-C22,'Task 2'!D22*6)</f>
        <v>250.2</v>
      </c>
      <c r="E22" s="13">
        <f t="shared" si="0"/>
        <v>1181.1000000000001</v>
      </c>
      <c r="F22" s="7" t="s">
        <v>843</v>
      </c>
    </row>
    <row r="23" spans="1:6" x14ac:dyDescent="0.3">
      <c r="A23" s="7" t="s">
        <v>75</v>
      </c>
      <c r="B23" s="7">
        <v>4500</v>
      </c>
      <c r="C23" s="13">
        <f>MIN(B23,'Task 2'!D23*11)</f>
        <v>687.13333333333333</v>
      </c>
      <c r="D23" s="13">
        <f>MIN(B23-C23,'Task 2'!D23*6)</f>
        <v>374.79999999999995</v>
      </c>
      <c r="E23" s="13">
        <f t="shared" si="0"/>
        <v>3438.0666666666666</v>
      </c>
      <c r="F23" s="7" t="s">
        <v>843</v>
      </c>
    </row>
    <row r="24" spans="1:6" x14ac:dyDescent="0.3">
      <c r="A24" s="7" t="s">
        <v>76</v>
      </c>
      <c r="B24" s="7">
        <v>3780</v>
      </c>
      <c r="C24" s="13">
        <f>MIN(B24,'Task 2'!D24*11)</f>
        <v>871.56666666666672</v>
      </c>
      <c r="D24" s="13">
        <f>MIN(B24-C24,'Task 2'!D24*6)</f>
        <v>475.4</v>
      </c>
      <c r="E24" s="13">
        <f t="shared" si="0"/>
        <v>2433.0333333333333</v>
      </c>
      <c r="F24" s="7" t="s">
        <v>843</v>
      </c>
    </row>
    <row r="25" spans="1:6" x14ac:dyDescent="0.3">
      <c r="A25" s="7" t="s">
        <v>77</v>
      </c>
      <c r="B25" s="7">
        <v>4320</v>
      </c>
      <c r="C25" s="13">
        <f>MIN(B25,'Task 2'!D25*11)</f>
        <v>639.4666666666667</v>
      </c>
      <c r="D25" s="13">
        <f>MIN(B25-C25,'Task 2'!D25*6)</f>
        <v>348.8</v>
      </c>
      <c r="E25" s="13">
        <f t="shared" si="0"/>
        <v>3331.7333333333331</v>
      </c>
      <c r="F25" s="7" t="s">
        <v>843</v>
      </c>
    </row>
    <row r="26" spans="1:6" x14ac:dyDescent="0.3">
      <c r="A26" s="7" t="s">
        <v>78</v>
      </c>
      <c r="B26" s="7">
        <v>2700</v>
      </c>
      <c r="C26" s="13">
        <f>MIN(B26,'Task 2'!D26*11)</f>
        <v>464.93333333333339</v>
      </c>
      <c r="D26" s="13">
        <f>MIN(B26-C26,'Task 2'!D26*6)</f>
        <v>253.60000000000002</v>
      </c>
      <c r="E26" s="13">
        <f t="shared" si="0"/>
        <v>1981.4666666666667</v>
      </c>
      <c r="F26" s="7" t="s">
        <v>843</v>
      </c>
    </row>
    <row r="27" spans="1:6" x14ac:dyDescent="0.3">
      <c r="A27" s="7" t="s">
        <v>79</v>
      </c>
      <c r="B27" s="7">
        <v>2430</v>
      </c>
      <c r="C27" s="13">
        <f>MIN(B27,'Task 2'!D27*11)</f>
        <v>556.6</v>
      </c>
      <c r="D27" s="13">
        <f>MIN(B27-C27,'Task 2'!D27*6)</f>
        <v>303.60000000000002</v>
      </c>
      <c r="E27" s="13">
        <f t="shared" si="0"/>
        <v>1569.8000000000002</v>
      </c>
      <c r="F27" s="7" t="s">
        <v>843</v>
      </c>
    </row>
    <row r="28" spans="1:6" x14ac:dyDescent="0.3">
      <c r="A28" s="7" t="s">
        <v>80</v>
      </c>
      <c r="B28" s="7">
        <v>4320</v>
      </c>
      <c r="C28" s="13">
        <f>MIN(B28,'Task 2'!D28*11)</f>
        <v>408.1</v>
      </c>
      <c r="D28" s="13">
        <f>MIN(B28-C28,'Task 2'!D28*6)</f>
        <v>222.60000000000002</v>
      </c>
      <c r="E28" s="13">
        <f t="shared" si="0"/>
        <v>3689.3</v>
      </c>
      <c r="F28" s="7" t="s">
        <v>843</v>
      </c>
    </row>
    <row r="29" spans="1:6" x14ac:dyDescent="0.3">
      <c r="A29" s="7" t="s">
        <v>81</v>
      </c>
      <c r="B29" s="7">
        <v>1980</v>
      </c>
      <c r="C29" s="13">
        <f>MIN(B29,'Task 2'!D29*11)</f>
        <v>599.5</v>
      </c>
      <c r="D29" s="13">
        <f>MIN(B29-C29,'Task 2'!D29*6)</f>
        <v>327</v>
      </c>
      <c r="E29" s="13">
        <f t="shared" si="0"/>
        <v>1053.5</v>
      </c>
      <c r="F29" s="7" t="s">
        <v>843</v>
      </c>
    </row>
    <row r="30" spans="1:6" x14ac:dyDescent="0.3">
      <c r="A30" s="7" t="s">
        <v>82</v>
      </c>
      <c r="B30" s="7">
        <v>2880</v>
      </c>
      <c r="C30" s="13">
        <f>MIN(B30,'Task 2'!D30*11)</f>
        <v>504.9</v>
      </c>
      <c r="D30" s="13">
        <f>MIN(B30-C30,'Task 2'!D30*6)</f>
        <v>275.39999999999998</v>
      </c>
      <c r="E30" s="13">
        <f t="shared" si="0"/>
        <v>2099.6999999999998</v>
      </c>
      <c r="F30" s="7" t="s">
        <v>843</v>
      </c>
    </row>
    <row r="31" spans="1:6" x14ac:dyDescent="0.3">
      <c r="A31" s="7" t="s">
        <v>83</v>
      </c>
      <c r="B31" s="7">
        <v>810</v>
      </c>
      <c r="C31" s="13">
        <f>MIN(B31,'Task 2'!D31*11)</f>
        <v>191.39999999999998</v>
      </c>
      <c r="D31" s="13">
        <f>MIN(B31-C31,'Task 2'!D31*6)</f>
        <v>104.39999999999999</v>
      </c>
      <c r="E31" s="13">
        <f t="shared" si="0"/>
        <v>514.20000000000005</v>
      </c>
      <c r="F31" s="7" t="s">
        <v>843</v>
      </c>
    </row>
    <row r="32" spans="1:6" x14ac:dyDescent="0.3">
      <c r="A32" s="7" t="s">
        <v>84</v>
      </c>
      <c r="B32" s="7">
        <v>3600</v>
      </c>
      <c r="C32" s="13">
        <f>MIN(B32,'Task 2'!D32*11)</f>
        <v>554.76666666666665</v>
      </c>
      <c r="D32" s="13">
        <f>MIN(B32-C32,'Task 2'!D32*6)</f>
        <v>302.60000000000002</v>
      </c>
      <c r="E32" s="13">
        <f t="shared" si="0"/>
        <v>2742.6333333333337</v>
      </c>
      <c r="F32" s="7" t="s">
        <v>843</v>
      </c>
    </row>
    <row r="33" spans="1:6" x14ac:dyDescent="0.3">
      <c r="A33" s="7" t="s">
        <v>85</v>
      </c>
      <c r="B33" s="7">
        <v>1980</v>
      </c>
      <c r="C33" s="13">
        <f>MIN(B33,'Task 2'!D33*11)</f>
        <v>676.13333333333333</v>
      </c>
      <c r="D33" s="13">
        <f>MIN(B33-C33,'Task 2'!D33*6)</f>
        <v>368.8</v>
      </c>
      <c r="E33" s="13">
        <f t="shared" si="0"/>
        <v>935.06666666666683</v>
      </c>
      <c r="F33" s="7" t="s">
        <v>843</v>
      </c>
    </row>
    <row r="34" spans="1:6" x14ac:dyDescent="0.3">
      <c r="A34" s="7" t="s">
        <v>86</v>
      </c>
      <c r="B34" s="7">
        <v>2880</v>
      </c>
      <c r="C34" s="13">
        <f>MIN(B34,'Task 2'!D34*11)</f>
        <v>489.5</v>
      </c>
      <c r="D34" s="13">
        <f>MIN(B34-C34,'Task 2'!D34*6)</f>
        <v>267</v>
      </c>
      <c r="E34" s="13">
        <f t="shared" si="0"/>
        <v>2123.5</v>
      </c>
      <c r="F34" s="7" t="s">
        <v>843</v>
      </c>
    </row>
    <row r="35" spans="1:6" x14ac:dyDescent="0.3">
      <c r="A35" s="7" t="s">
        <v>87</v>
      </c>
      <c r="B35" s="7">
        <v>4320</v>
      </c>
      <c r="C35" s="13">
        <f>MIN(B35,'Task 2'!D35*11)</f>
        <v>389.03333333333336</v>
      </c>
      <c r="D35" s="13">
        <f>MIN(B35-C35,'Task 2'!D35*6)</f>
        <v>212.2</v>
      </c>
      <c r="E35" s="13">
        <f t="shared" si="0"/>
        <v>3718.7666666666669</v>
      </c>
      <c r="F35" s="7" t="s">
        <v>843</v>
      </c>
    </row>
    <row r="36" spans="1:6" x14ac:dyDescent="0.3">
      <c r="A36" s="7" t="s">
        <v>88</v>
      </c>
      <c r="B36" s="7">
        <v>3240</v>
      </c>
      <c r="C36" s="13">
        <f>MIN(B36,'Task 2'!D36*11)</f>
        <v>539.36666666666667</v>
      </c>
      <c r="D36" s="13">
        <f>MIN(B36-C36,'Task 2'!D36*6)</f>
        <v>294.2</v>
      </c>
      <c r="E36" s="13">
        <f t="shared" si="0"/>
        <v>2406.4333333333334</v>
      </c>
      <c r="F36" s="7" t="s">
        <v>843</v>
      </c>
    </row>
    <row r="37" spans="1:6" x14ac:dyDescent="0.3">
      <c r="A37" s="7" t="s">
        <v>89</v>
      </c>
      <c r="B37" s="7">
        <v>1890</v>
      </c>
      <c r="C37" s="13">
        <f>MIN(B37,'Task 2'!D37*11)</f>
        <v>447.33333333333331</v>
      </c>
      <c r="D37" s="13">
        <f>MIN(B37-C37,'Task 2'!D37*6)</f>
        <v>244</v>
      </c>
      <c r="E37" s="13">
        <f t="shared" si="0"/>
        <v>1198.6666666666667</v>
      </c>
      <c r="F37" s="7" t="s">
        <v>843</v>
      </c>
    </row>
    <row r="38" spans="1:6" x14ac:dyDescent="0.3">
      <c r="A38" s="7" t="s">
        <v>90</v>
      </c>
      <c r="B38" s="7">
        <v>2970</v>
      </c>
      <c r="C38" s="13">
        <f>MIN(B38,'Task 2'!D38*11)</f>
        <v>354.93333333333322</v>
      </c>
      <c r="D38" s="13">
        <f>MIN(B38-C38,'Task 2'!D38*6)</f>
        <v>193.59999999999997</v>
      </c>
      <c r="E38" s="13">
        <f t="shared" si="0"/>
        <v>2421.4666666666667</v>
      </c>
      <c r="F38" s="7" t="s">
        <v>843</v>
      </c>
    </row>
    <row r="39" spans="1:6" x14ac:dyDescent="0.3">
      <c r="A39" s="7" t="s">
        <v>91</v>
      </c>
      <c r="B39" s="7">
        <v>1620</v>
      </c>
      <c r="C39" s="13">
        <f>MIN(B39,'Task 2'!D39*11)</f>
        <v>407</v>
      </c>
      <c r="D39" s="13">
        <f>MIN(B39-C39,'Task 2'!D39*6)</f>
        <v>222</v>
      </c>
      <c r="E39" s="13">
        <f t="shared" si="0"/>
        <v>991</v>
      </c>
      <c r="F39" s="7" t="s">
        <v>843</v>
      </c>
    </row>
    <row r="40" spans="1:6" x14ac:dyDescent="0.3">
      <c r="A40" s="7" t="s">
        <v>92</v>
      </c>
      <c r="B40" s="7">
        <v>1890</v>
      </c>
      <c r="C40" s="13">
        <f>MIN(B40,'Task 2'!D40*11)</f>
        <v>451.36666666666673</v>
      </c>
      <c r="D40" s="13">
        <f>MIN(B40-C40,'Task 2'!D40*6)</f>
        <v>246.20000000000005</v>
      </c>
      <c r="E40" s="13">
        <f t="shared" si="0"/>
        <v>1192.4333333333332</v>
      </c>
      <c r="F40" s="7" t="s">
        <v>843</v>
      </c>
    </row>
    <row r="41" spans="1:6" x14ac:dyDescent="0.3">
      <c r="A41" s="7" t="s">
        <v>93</v>
      </c>
      <c r="B41" s="7">
        <v>2160</v>
      </c>
      <c r="C41" s="13">
        <f>MIN(B41,'Task 2'!D41*11)</f>
        <v>517</v>
      </c>
      <c r="D41" s="13">
        <f>MIN(B41-C41,'Task 2'!D41*6)</f>
        <v>282</v>
      </c>
      <c r="E41" s="13">
        <f t="shared" si="0"/>
        <v>1361</v>
      </c>
      <c r="F41" s="7" t="s">
        <v>843</v>
      </c>
    </row>
    <row r="42" spans="1:6" x14ac:dyDescent="0.3">
      <c r="A42" s="7" t="s">
        <v>94</v>
      </c>
      <c r="B42" s="7">
        <v>3510</v>
      </c>
      <c r="C42" s="13">
        <f>MIN(B42,'Task 2'!D42*11)</f>
        <v>495.36666666666667</v>
      </c>
      <c r="D42" s="13">
        <f>MIN(B42-C42,'Task 2'!D42*6)</f>
        <v>270.2</v>
      </c>
      <c r="E42" s="13">
        <f t="shared" si="0"/>
        <v>2744.4333333333334</v>
      </c>
      <c r="F42" s="7" t="s">
        <v>843</v>
      </c>
    </row>
    <row r="43" spans="1:6" x14ac:dyDescent="0.3">
      <c r="A43" s="7" t="s">
        <v>95</v>
      </c>
      <c r="B43" s="7">
        <v>3600</v>
      </c>
      <c r="C43" s="13">
        <f>MIN(B43,'Task 2'!D43*11)</f>
        <v>487.30000000000007</v>
      </c>
      <c r="D43" s="13">
        <f>MIN(B43-C43,'Task 2'!D43*6)</f>
        <v>265.8</v>
      </c>
      <c r="E43" s="13">
        <f t="shared" si="0"/>
        <v>2846.8999999999996</v>
      </c>
      <c r="F43" s="7" t="s">
        <v>843</v>
      </c>
    </row>
    <row r="44" spans="1:6" x14ac:dyDescent="0.3">
      <c r="A44" s="7" t="s">
        <v>96</v>
      </c>
      <c r="B44" s="7">
        <v>900</v>
      </c>
      <c r="C44" s="13">
        <f>MIN(B44,'Task 2'!D44*11)</f>
        <v>220.36666666666667</v>
      </c>
      <c r="D44" s="13">
        <f>MIN(B44-C44,'Task 2'!D44*6)</f>
        <v>120.20000000000002</v>
      </c>
      <c r="E44" s="13">
        <f t="shared" si="0"/>
        <v>559.43333333333328</v>
      </c>
      <c r="F44" s="7" t="s">
        <v>843</v>
      </c>
    </row>
    <row r="45" spans="1:6" x14ac:dyDescent="0.3">
      <c r="A45" s="7" t="s">
        <v>97</v>
      </c>
      <c r="B45" s="7">
        <v>3240</v>
      </c>
      <c r="C45" s="13">
        <f>MIN(B45,'Task 2'!D45*11)</f>
        <v>484</v>
      </c>
      <c r="D45" s="13">
        <f>MIN(B45-C45,'Task 2'!D45*6)</f>
        <v>264</v>
      </c>
      <c r="E45" s="13">
        <f t="shared" si="0"/>
        <v>2492</v>
      </c>
      <c r="F45" s="7" t="s">
        <v>843</v>
      </c>
    </row>
    <row r="46" spans="1:6" x14ac:dyDescent="0.3">
      <c r="A46" s="7" t="s">
        <v>98</v>
      </c>
      <c r="B46" s="7">
        <v>900</v>
      </c>
      <c r="C46" s="13">
        <f>MIN(B46,'Task 2'!D46*11)</f>
        <v>206.43333333333334</v>
      </c>
      <c r="D46" s="13">
        <f>MIN(B46-C46,'Task 2'!D46*6)</f>
        <v>112.6</v>
      </c>
      <c r="E46" s="13">
        <f t="shared" si="0"/>
        <v>580.96666666666658</v>
      </c>
      <c r="F46" s="7" t="s">
        <v>843</v>
      </c>
    </row>
    <row r="47" spans="1:6" x14ac:dyDescent="0.3">
      <c r="A47" s="7" t="s">
        <v>99</v>
      </c>
      <c r="B47" s="7">
        <v>1260</v>
      </c>
      <c r="C47" s="13">
        <f>MIN(B47,'Task 2'!D47*11)</f>
        <v>371.43333333333339</v>
      </c>
      <c r="D47" s="13">
        <f>MIN(B47-C47,'Task 2'!D47*6)</f>
        <v>202.60000000000002</v>
      </c>
      <c r="E47" s="13">
        <f t="shared" si="0"/>
        <v>685.96666666666658</v>
      </c>
      <c r="F47" s="7" t="s">
        <v>843</v>
      </c>
    </row>
    <row r="48" spans="1:6" x14ac:dyDescent="0.3">
      <c r="A48" s="7" t="s">
        <v>100</v>
      </c>
      <c r="B48" s="7">
        <v>900</v>
      </c>
      <c r="C48" s="13">
        <f>MIN(B48,'Task 2'!D48*11)</f>
        <v>294.8</v>
      </c>
      <c r="D48" s="13">
        <f>MIN(B48-C48,'Task 2'!D48*6)</f>
        <v>160.80000000000001</v>
      </c>
      <c r="E48" s="13">
        <f t="shared" si="0"/>
        <v>444.40000000000003</v>
      </c>
      <c r="F48" s="7" t="s">
        <v>843</v>
      </c>
    </row>
    <row r="49" spans="1:6" x14ac:dyDescent="0.3">
      <c r="A49" s="7" t="s">
        <v>101</v>
      </c>
      <c r="B49" s="7">
        <v>2160</v>
      </c>
      <c r="C49" s="13">
        <f>MIN(B49,'Task 2'!D49*11)</f>
        <v>492.06666666666661</v>
      </c>
      <c r="D49" s="13">
        <f>MIN(B49-C49,'Task 2'!D49*6)</f>
        <v>268.39999999999998</v>
      </c>
      <c r="E49" s="13">
        <f t="shared" si="0"/>
        <v>1399.5333333333333</v>
      </c>
      <c r="F49" s="7" t="s">
        <v>843</v>
      </c>
    </row>
    <row r="50" spans="1:6" x14ac:dyDescent="0.3">
      <c r="A50" s="7" t="s">
        <v>102</v>
      </c>
      <c r="B50" s="7">
        <v>2160</v>
      </c>
      <c r="C50" s="13">
        <f>MIN(B50,'Task 2'!D50*11)</f>
        <v>373.63333333333327</v>
      </c>
      <c r="D50" s="13">
        <f>MIN(B50-C50,'Task 2'!D50*6)</f>
        <v>203.79999999999995</v>
      </c>
      <c r="E50" s="13">
        <f t="shared" si="0"/>
        <v>1582.5666666666668</v>
      </c>
      <c r="F50" s="7" t="s">
        <v>843</v>
      </c>
    </row>
    <row r="51" spans="1:6" x14ac:dyDescent="0.3">
      <c r="A51" s="7" t="s">
        <v>103</v>
      </c>
      <c r="B51" s="7">
        <v>1890</v>
      </c>
      <c r="C51" s="13">
        <f>MIN(B51,'Task 2'!D51*11)</f>
        <v>421.66666666666669</v>
      </c>
      <c r="D51" s="13">
        <f>MIN(B51-C51,'Task 2'!D51*6)</f>
        <v>230</v>
      </c>
      <c r="E51" s="13">
        <f t="shared" si="0"/>
        <v>1238.3333333333333</v>
      </c>
      <c r="F51" s="7" t="s">
        <v>843</v>
      </c>
    </row>
    <row r="52" spans="1:6" x14ac:dyDescent="0.3">
      <c r="A52" s="7" t="s">
        <v>104</v>
      </c>
      <c r="B52" s="7">
        <v>3510</v>
      </c>
      <c r="C52" s="13">
        <f>MIN(B52,'Task 2'!D52*11)</f>
        <v>434.13333333333333</v>
      </c>
      <c r="D52" s="13">
        <f>MIN(B52-C52,'Task 2'!D52*6)</f>
        <v>236.8</v>
      </c>
      <c r="E52" s="13">
        <f t="shared" si="0"/>
        <v>2839.0666666666666</v>
      </c>
      <c r="F52" s="7" t="s">
        <v>843</v>
      </c>
    </row>
    <row r="53" spans="1:6" x14ac:dyDescent="0.3">
      <c r="A53" s="7" t="s">
        <v>105</v>
      </c>
      <c r="B53" s="7">
        <v>4320</v>
      </c>
      <c r="C53" s="13">
        <f>MIN(B53,'Task 2'!D53*11)</f>
        <v>462.73333333333335</v>
      </c>
      <c r="D53" s="13">
        <f>MIN(B53-C53,'Task 2'!D53*6)</f>
        <v>252.40000000000003</v>
      </c>
      <c r="E53" s="13">
        <f t="shared" si="0"/>
        <v>3604.8666666666663</v>
      </c>
      <c r="F53" s="7" t="s">
        <v>843</v>
      </c>
    </row>
    <row r="54" spans="1:6" x14ac:dyDescent="0.3">
      <c r="A54" s="7" t="s">
        <v>106</v>
      </c>
      <c r="B54" s="7">
        <v>2880</v>
      </c>
      <c r="C54" s="13">
        <f>MIN(B54,'Task 2'!D54*11)</f>
        <v>193.9666666666667</v>
      </c>
      <c r="D54" s="13">
        <f>MIN(B54-C54,'Task 2'!D54*6)</f>
        <v>105.80000000000001</v>
      </c>
      <c r="E54" s="13">
        <f t="shared" si="0"/>
        <v>2580.2333333333331</v>
      </c>
      <c r="F54" s="7" t="s">
        <v>843</v>
      </c>
    </row>
    <row r="55" spans="1:6" x14ac:dyDescent="0.3">
      <c r="A55" s="7" t="s">
        <v>107</v>
      </c>
      <c r="B55" s="7">
        <v>2160</v>
      </c>
      <c r="C55" s="13">
        <f>MIN(B55,'Task 2'!D55*11)</f>
        <v>387.19999999999993</v>
      </c>
      <c r="D55" s="13">
        <f>MIN(B55-C55,'Task 2'!D55*6)</f>
        <v>211.2</v>
      </c>
      <c r="E55" s="13">
        <f t="shared" si="0"/>
        <v>1561.6000000000001</v>
      </c>
      <c r="F55" s="7" t="s">
        <v>843</v>
      </c>
    </row>
    <row r="56" spans="1:6" x14ac:dyDescent="0.3">
      <c r="A56" s="7" t="s">
        <v>108</v>
      </c>
      <c r="B56" s="7">
        <v>1080</v>
      </c>
      <c r="C56" s="13">
        <f>MIN(B56,'Task 2'!D56*11)</f>
        <v>189.93333333333337</v>
      </c>
      <c r="D56" s="13">
        <f>MIN(B56-C56,'Task 2'!D56*6)</f>
        <v>103.60000000000002</v>
      </c>
      <c r="E56" s="13">
        <f t="shared" si="0"/>
        <v>786.46666666666658</v>
      </c>
      <c r="F56" s="7" t="s">
        <v>843</v>
      </c>
    </row>
    <row r="57" spans="1:6" x14ac:dyDescent="0.3">
      <c r="A57" s="7" t="s">
        <v>109</v>
      </c>
      <c r="B57" s="7">
        <v>2700</v>
      </c>
      <c r="C57" s="13">
        <f>MIN(B57,'Task 2'!D57*11)</f>
        <v>396.36666666666673</v>
      </c>
      <c r="D57" s="13">
        <f>MIN(B57-C57,'Task 2'!D57*6)</f>
        <v>216.20000000000005</v>
      </c>
      <c r="E57" s="13">
        <f t="shared" si="0"/>
        <v>2087.4333333333334</v>
      </c>
      <c r="F57" s="7" t="s">
        <v>843</v>
      </c>
    </row>
    <row r="58" spans="1:6" x14ac:dyDescent="0.3">
      <c r="A58" s="7" t="s">
        <v>110</v>
      </c>
      <c r="B58" s="7">
        <v>2880</v>
      </c>
      <c r="C58" s="13">
        <f>MIN(B58,'Task 2'!D58*11)</f>
        <v>162.06666666666666</v>
      </c>
      <c r="D58" s="13">
        <f>MIN(B58-C58,'Task 2'!D58*6)</f>
        <v>88.4</v>
      </c>
      <c r="E58" s="13">
        <f t="shared" si="0"/>
        <v>2629.5333333333333</v>
      </c>
      <c r="F58" s="7" t="s">
        <v>843</v>
      </c>
    </row>
    <row r="59" spans="1:6" x14ac:dyDescent="0.3">
      <c r="A59" s="7" t="s">
        <v>111</v>
      </c>
      <c r="B59" s="7">
        <v>1890</v>
      </c>
      <c r="C59" s="13">
        <f>MIN(B59,'Task 2'!D59*11)</f>
        <v>393.80000000000007</v>
      </c>
      <c r="D59" s="13">
        <f>MIN(B59-C59,'Task 2'!D59*6)</f>
        <v>214.8</v>
      </c>
      <c r="E59" s="13">
        <f t="shared" si="0"/>
        <v>1281.3999999999999</v>
      </c>
      <c r="F59" s="7" t="s">
        <v>843</v>
      </c>
    </row>
    <row r="60" spans="1:6" x14ac:dyDescent="0.3">
      <c r="A60" s="7" t="s">
        <v>112</v>
      </c>
      <c r="B60" s="7">
        <v>1260</v>
      </c>
      <c r="C60" s="13">
        <f>MIN(B60,'Task 2'!D60*11)</f>
        <v>437.80000000000007</v>
      </c>
      <c r="D60" s="13">
        <f>MIN(B60-C60,'Task 2'!D60*6)</f>
        <v>238.8</v>
      </c>
      <c r="E60" s="13">
        <f t="shared" si="0"/>
        <v>583.39999999999986</v>
      </c>
      <c r="F60" s="7" t="s">
        <v>843</v>
      </c>
    </row>
    <row r="61" spans="1:6" x14ac:dyDescent="0.3">
      <c r="A61" s="7" t="s">
        <v>113</v>
      </c>
      <c r="B61" s="7">
        <v>3420</v>
      </c>
      <c r="C61" s="13">
        <f>MIN(B61,'Task 2'!D61*11)</f>
        <v>489.5</v>
      </c>
      <c r="D61" s="13">
        <f>MIN(B61-C61,'Task 2'!D61*6)</f>
        <v>267</v>
      </c>
      <c r="E61" s="13">
        <f t="shared" si="0"/>
        <v>2663.5</v>
      </c>
      <c r="F61" s="7" t="s">
        <v>843</v>
      </c>
    </row>
    <row r="62" spans="1:6" x14ac:dyDescent="0.3">
      <c r="A62" s="7" t="s">
        <v>114</v>
      </c>
      <c r="B62" s="7">
        <v>2160</v>
      </c>
      <c r="C62" s="13">
        <f>MIN(B62,'Task 2'!D62*11)</f>
        <v>519.93333333333339</v>
      </c>
      <c r="D62" s="13">
        <f>MIN(B62-C62,'Task 2'!D62*6)</f>
        <v>283.60000000000002</v>
      </c>
      <c r="E62" s="13">
        <f t="shared" si="0"/>
        <v>1356.4666666666667</v>
      </c>
      <c r="F62" s="7" t="s">
        <v>843</v>
      </c>
    </row>
    <row r="63" spans="1:6" x14ac:dyDescent="0.3">
      <c r="A63" s="7" t="s">
        <v>115</v>
      </c>
      <c r="B63" s="7">
        <v>2880</v>
      </c>
      <c r="C63" s="13">
        <f>MIN(B63,'Task 2'!D63*11)</f>
        <v>430.46666666666664</v>
      </c>
      <c r="D63" s="13">
        <f>MIN(B63-C63,'Task 2'!D63*6)</f>
        <v>234.8</v>
      </c>
      <c r="E63" s="13">
        <f t="shared" si="0"/>
        <v>2214.7333333333331</v>
      </c>
      <c r="F63" s="7" t="s">
        <v>843</v>
      </c>
    </row>
    <row r="64" spans="1:6" x14ac:dyDescent="0.3">
      <c r="A64" s="7" t="s">
        <v>116</v>
      </c>
      <c r="B64" s="7">
        <v>2160</v>
      </c>
      <c r="C64" s="13">
        <f>MIN(B64,'Task 2'!D64*11)</f>
        <v>225.86666666666667</v>
      </c>
      <c r="D64" s="13">
        <f>MIN(B64-C64,'Task 2'!D64*6)</f>
        <v>123.20000000000002</v>
      </c>
      <c r="E64" s="13">
        <f t="shared" si="0"/>
        <v>1810.9333333333332</v>
      </c>
      <c r="F64" s="7" t="s">
        <v>843</v>
      </c>
    </row>
    <row r="65" spans="1:6" x14ac:dyDescent="0.3">
      <c r="A65" s="7" t="s">
        <v>117</v>
      </c>
      <c r="B65" s="7">
        <v>2970</v>
      </c>
      <c r="C65" s="13">
        <f>MIN(B65,'Task 2'!D65*11)</f>
        <v>448.06666666666661</v>
      </c>
      <c r="D65" s="13">
        <f>MIN(B65-C65,'Task 2'!D65*6)</f>
        <v>244.39999999999998</v>
      </c>
      <c r="E65" s="13">
        <f t="shared" si="0"/>
        <v>2277.5333333333333</v>
      </c>
      <c r="F65" s="7" t="s">
        <v>843</v>
      </c>
    </row>
    <row r="66" spans="1:6" x14ac:dyDescent="0.3">
      <c r="A66" s="7" t="s">
        <v>118</v>
      </c>
      <c r="B66" s="7">
        <v>1440</v>
      </c>
      <c r="C66" s="13">
        <f>MIN(B66,'Task 2'!D66*11)</f>
        <v>475.93333333333339</v>
      </c>
      <c r="D66" s="13">
        <f>MIN(B66-C66,'Task 2'!D66*6)</f>
        <v>259.60000000000002</v>
      </c>
      <c r="E66" s="13">
        <f t="shared" si="0"/>
        <v>704.46666666666658</v>
      </c>
      <c r="F66" s="7" t="s">
        <v>843</v>
      </c>
    </row>
    <row r="67" spans="1:6" x14ac:dyDescent="0.3">
      <c r="A67" s="7" t="s">
        <v>119</v>
      </c>
      <c r="B67" s="7">
        <v>1620</v>
      </c>
      <c r="C67" s="13">
        <f>MIN(B67,'Task 2'!D67*11)</f>
        <v>426.79999999999995</v>
      </c>
      <c r="D67" s="13">
        <f>MIN(B67-C67,'Task 2'!D67*6)</f>
        <v>232.79999999999998</v>
      </c>
      <c r="E67" s="13">
        <f t="shared" ref="E67:E130" si="1">B67-C67-D67</f>
        <v>960.40000000000009</v>
      </c>
      <c r="F67" s="7" t="s">
        <v>843</v>
      </c>
    </row>
    <row r="68" spans="1:6" x14ac:dyDescent="0.3">
      <c r="A68" s="7" t="s">
        <v>120</v>
      </c>
      <c r="B68" s="7">
        <v>1080</v>
      </c>
      <c r="C68" s="13">
        <f>MIN(B68,'Task 2'!D68*11)</f>
        <v>339.5333333333333</v>
      </c>
      <c r="D68" s="13">
        <f>MIN(B68-C68,'Task 2'!D68*6)</f>
        <v>185.2</v>
      </c>
      <c r="E68" s="13">
        <f t="shared" si="1"/>
        <v>555.26666666666665</v>
      </c>
      <c r="F68" s="7" t="s">
        <v>843</v>
      </c>
    </row>
    <row r="69" spans="1:6" x14ac:dyDescent="0.3">
      <c r="A69" s="7" t="s">
        <v>121</v>
      </c>
      <c r="B69" s="7">
        <v>900</v>
      </c>
      <c r="C69" s="13">
        <f>MIN(B69,'Task 2'!D69*11)</f>
        <v>324.5</v>
      </c>
      <c r="D69" s="13">
        <f>MIN(B69-C69,'Task 2'!D69*6)</f>
        <v>177</v>
      </c>
      <c r="E69" s="13">
        <f t="shared" si="1"/>
        <v>398.5</v>
      </c>
      <c r="F69" s="7" t="s">
        <v>843</v>
      </c>
    </row>
    <row r="70" spans="1:6" x14ac:dyDescent="0.3">
      <c r="A70" s="7" t="s">
        <v>122</v>
      </c>
      <c r="B70" s="7">
        <v>2160</v>
      </c>
      <c r="C70" s="13">
        <f>MIN(B70,'Task 2'!D70*11)</f>
        <v>492.06666666666661</v>
      </c>
      <c r="D70" s="13">
        <f>MIN(B70-C70,'Task 2'!D70*6)</f>
        <v>268.39999999999998</v>
      </c>
      <c r="E70" s="13">
        <f t="shared" si="1"/>
        <v>1399.5333333333333</v>
      </c>
      <c r="F70" s="7" t="s">
        <v>843</v>
      </c>
    </row>
    <row r="71" spans="1:6" x14ac:dyDescent="0.3">
      <c r="A71" s="7" t="s">
        <v>123</v>
      </c>
      <c r="B71" s="7">
        <v>1620</v>
      </c>
      <c r="C71" s="13">
        <f>MIN(B71,'Task 2'!D71*11)</f>
        <v>240.5333333333333</v>
      </c>
      <c r="D71" s="13">
        <f>MIN(B71-C71,'Task 2'!D71*6)</f>
        <v>131.19999999999999</v>
      </c>
      <c r="E71" s="13">
        <f t="shared" si="1"/>
        <v>1248.2666666666667</v>
      </c>
      <c r="F71" s="7" t="s">
        <v>843</v>
      </c>
    </row>
    <row r="72" spans="1:6" x14ac:dyDescent="0.3">
      <c r="A72" s="7" t="s">
        <v>124</v>
      </c>
      <c r="B72" s="7">
        <v>1620</v>
      </c>
      <c r="C72" s="13">
        <f>MIN(B72,'Task 2'!D72*11)</f>
        <v>307.26666666666671</v>
      </c>
      <c r="D72" s="13">
        <f>MIN(B72-C72,'Task 2'!D72*6)</f>
        <v>167.60000000000002</v>
      </c>
      <c r="E72" s="13">
        <f t="shared" si="1"/>
        <v>1145.1333333333332</v>
      </c>
      <c r="F72" s="7" t="s">
        <v>843</v>
      </c>
    </row>
    <row r="73" spans="1:6" x14ac:dyDescent="0.3">
      <c r="A73" s="7" t="s">
        <v>125</v>
      </c>
      <c r="B73" s="7">
        <v>1080</v>
      </c>
      <c r="C73" s="13">
        <f>MIN(B73,'Task 2'!D73*11)</f>
        <v>290.40000000000003</v>
      </c>
      <c r="D73" s="13">
        <f>MIN(B73-C73,'Task 2'!D73*6)</f>
        <v>158.4</v>
      </c>
      <c r="E73" s="13">
        <f t="shared" si="1"/>
        <v>631.19999999999993</v>
      </c>
      <c r="F73" s="7" t="s">
        <v>843</v>
      </c>
    </row>
    <row r="74" spans="1:6" x14ac:dyDescent="0.3">
      <c r="A74" s="7" t="s">
        <v>126</v>
      </c>
      <c r="B74" s="7">
        <v>2970</v>
      </c>
      <c r="C74" s="13">
        <f>MIN(B74,'Task 2'!D74*11)</f>
        <v>356.4</v>
      </c>
      <c r="D74" s="13">
        <f>MIN(B74-C74,'Task 2'!D74*6)</f>
        <v>194.39999999999998</v>
      </c>
      <c r="E74" s="13">
        <f t="shared" si="1"/>
        <v>2419.1999999999998</v>
      </c>
      <c r="F74" s="7" t="s">
        <v>843</v>
      </c>
    </row>
    <row r="75" spans="1:6" x14ac:dyDescent="0.3">
      <c r="A75" s="7" t="s">
        <v>127</v>
      </c>
      <c r="B75" s="7">
        <v>2160</v>
      </c>
      <c r="C75" s="13">
        <f>MIN(B75,'Task 2'!D75*11)</f>
        <v>230.63333333333333</v>
      </c>
      <c r="D75" s="13">
        <f>MIN(B75-C75,'Task 2'!D75*6)</f>
        <v>125.79999999999998</v>
      </c>
      <c r="E75" s="13">
        <f t="shared" si="1"/>
        <v>1803.5666666666668</v>
      </c>
      <c r="F75" s="7" t="s">
        <v>843</v>
      </c>
    </row>
    <row r="76" spans="1:6" x14ac:dyDescent="0.3">
      <c r="A76" s="7" t="s">
        <v>128</v>
      </c>
      <c r="B76" s="7">
        <v>1080</v>
      </c>
      <c r="C76" s="13">
        <f>MIN(B76,'Task 2'!D76*11)</f>
        <v>261.8</v>
      </c>
      <c r="D76" s="13">
        <f>MIN(B76-C76,'Task 2'!D76*6)</f>
        <v>142.80000000000001</v>
      </c>
      <c r="E76" s="13">
        <f t="shared" si="1"/>
        <v>675.40000000000009</v>
      </c>
      <c r="F76" s="7" t="s">
        <v>843</v>
      </c>
    </row>
    <row r="77" spans="1:6" x14ac:dyDescent="0.3">
      <c r="A77" s="7" t="s">
        <v>129</v>
      </c>
      <c r="B77" s="7">
        <v>1080</v>
      </c>
      <c r="C77" s="13">
        <f>MIN(B77,'Task 2'!D77*11)</f>
        <v>251.16666666666666</v>
      </c>
      <c r="D77" s="13">
        <f>MIN(B77-C77,'Task 2'!D77*6)</f>
        <v>137</v>
      </c>
      <c r="E77" s="13">
        <f t="shared" si="1"/>
        <v>691.83333333333337</v>
      </c>
      <c r="F77" s="7" t="s">
        <v>843</v>
      </c>
    </row>
    <row r="78" spans="1:6" x14ac:dyDescent="0.3">
      <c r="A78" s="7" t="s">
        <v>130</v>
      </c>
      <c r="B78" s="7">
        <v>1620</v>
      </c>
      <c r="C78" s="13">
        <f>MIN(B78,'Task 2'!D78*11)</f>
        <v>256.66666666666663</v>
      </c>
      <c r="D78" s="13">
        <f>MIN(B78-C78,'Task 2'!D78*6)</f>
        <v>140</v>
      </c>
      <c r="E78" s="13">
        <f t="shared" si="1"/>
        <v>1223.3333333333335</v>
      </c>
      <c r="F78" s="7" t="s">
        <v>843</v>
      </c>
    </row>
    <row r="79" spans="1:6" x14ac:dyDescent="0.3">
      <c r="A79" s="7" t="s">
        <v>131</v>
      </c>
      <c r="B79" s="7">
        <v>2880</v>
      </c>
      <c r="C79" s="13">
        <f>MIN(B79,'Task 2'!D79*11)</f>
        <v>156.20000000000002</v>
      </c>
      <c r="D79" s="13">
        <f>MIN(B79-C79,'Task 2'!D79*6)</f>
        <v>85.2</v>
      </c>
      <c r="E79" s="13">
        <f t="shared" si="1"/>
        <v>2638.6000000000004</v>
      </c>
      <c r="F79" s="7" t="s">
        <v>843</v>
      </c>
    </row>
    <row r="80" spans="1:6" x14ac:dyDescent="0.3">
      <c r="A80" s="7" t="s">
        <v>132</v>
      </c>
      <c r="B80" s="7">
        <v>2160</v>
      </c>
      <c r="C80" s="13">
        <f>MIN(B80,'Task 2'!D80*11)</f>
        <v>310.2</v>
      </c>
      <c r="D80" s="13">
        <f>MIN(B80-C80,'Task 2'!D80*6)</f>
        <v>169.2</v>
      </c>
      <c r="E80" s="13">
        <f t="shared" si="1"/>
        <v>1680.6</v>
      </c>
      <c r="F80" s="7" t="s">
        <v>843</v>
      </c>
    </row>
    <row r="81" spans="1:6" x14ac:dyDescent="0.3">
      <c r="A81" s="7" t="s">
        <v>133</v>
      </c>
      <c r="B81" s="7">
        <v>1350</v>
      </c>
      <c r="C81" s="13">
        <f>MIN(B81,'Task 2'!D81*11)</f>
        <v>228.43333333333334</v>
      </c>
      <c r="D81" s="13">
        <f>MIN(B81-C81,'Task 2'!D81*6)</f>
        <v>124.6</v>
      </c>
      <c r="E81" s="13">
        <f t="shared" si="1"/>
        <v>996.96666666666658</v>
      </c>
      <c r="F81" s="7" t="s">
        <v>843</v>
      </c>
    </row>
    <row r="82" spans="1:6" x14ac:dyDescent="0.3">
      <c r="A82" s="7" t="s">
        <v>134</v>
      </c>
      <c r="B82" s="7">
        <v>540</v>
      </c>
      <c r="C82" s="13">
        <f>MIN(B82,'Task 2'!D82*11)</f>
        <v>163.16666666666669</v>
      </c>
      <c r="D82" s="13">
        <f>MIN(B82-C82,'Task 2'!D82*6)</f>
        <v>89</v>
      </c>
      <c r="E82" s="13">
        <f t="shared" si="1"/>
        <v>287.83333333333331</v>
      </c>
      <c r="F82" s="7" t="s">
        <v>843</v>
      </c>
    </row>
    <row r="83" spans="1:6" x14ac:dyDescent="0.3">
      <c r="A83" s="7" t="s">
        <v>135</v>
      </c>
      <c r="B83" s="7">
        <v>540</v>
      </c>
      <c r="C83" s="13">
        <f>MIN(B83,'Task 2'!D83*11)</f>
        <v>180.39999999999998</v>
      </c>
      <c r="D83" s="13">
        <f>MIN(B83-C83,'Task 2'!D83*6)</f>
        <v>98.399999999999991</v>
      </c>
      <c r="E83" s="13">
        <f t="shared" si="1"/>
        <v>261.20000000000005</v>
      </c>
      <c r="F83" s="7" t="s">
        <v>843</v>
      </c>
    </row>
    <row r="84" spans="1:6" x14ac:dyDescent="0.3">
      <c r="A84" s="7" t="s">
        <v>136</v>
      </c>
      <c r="B84" s="7">
        <v>2880</v>
      </c>
      <c r="C84" s="13">
        <f>MIN(B84,'Task 2'!D84*11)</f>
        <v>209.36666666666665</v>
      </c>
      <c r="D84" s="13">
        <f>MIN(B84-C84,'Task 2'!D84*6)</f>
        <v>114.19999999999999</v>
      </c>
      <c r="E84" s="13">
        <f t="shared" si="1"/>
        <v>2556.4333333333334</v>
      </c>
      <c r="F84" s="7" t="s">
        <v>843</v>
      </c>
    </row>
    <row r="85" spans="1:6" x14ac:dyDescent="0.3">
      <c r="A85" s="7" t="s">
        <v>137</v>
      </c>
      <c r="B85" s="7">
        <v>1350</v>
      </c>
      <c r="C85" s="13">
        <f>MIN(B85,'Task 2'!D85*11)</f>
        <v>293.33333333333337</v>
      </c>
      <c r="D85" s="13">
        <f>MIN(B85-C85,'Task 2'!D85*6)</f>
        <v>160</v>
      </c>
      <c r="E85" s="13">
        <f t="shared" si="1"/>
        <v>896.66666666666652</v>
      </c>
      <c r="F85" s="7" t="s">
        <v>843</v>
      </c>
    </row>
    <row r="86" spans="1:6" x14ac:dyDescent="0.3">
      <c r="A86" s="7" t="s">
        <v>138</v>
      </c>
      <c r="B86" s="7">
        <v>720</v>
      </c>
      <c r="C86" s="13">
        <f>MIN(B86,'Task 2'!D86*11)</f>
        <v>217.43333333333334</v>
      </c>
      <c r="D86" s="13">
        <f>MIN(B86-C86,'Task 2'!D86*6)</f>
        <v>118.6</v>
      </c>
      <c r="E86" s="13">
        <f t="shared" si="1"/>
        <v>383.9666666666667</v>
      </c>
      <c r="F86" s="7" t="s">
        <v>843</v>
      </c>
    </row>
    <row r="87" spans="1:6" x14ac:dyDescent="0.3">
      <c r="A87" s="7" t="s">
        <v>139</v>
      </c>
      <c r="B87" s="7">
        <v>810</v>
      </c>
      <c r="C87" s="13">
        <f>MIN(B87,'Task 2'!D87*11)</f>
        <v>134.20000000000002</v>
      </c>
      <c r="D87" s="13">
        <f>MIN(B87-C87,'Task 2'!D87*6)</f>
        <v>73.2</v>
      </c>
      <c r="E87" s="13">
        <f t="shared" si="1"/>
        <v>602.59999999999991</v>
      </c>
      <c r="F87" s="7" t="s">
        <v>843</v>
      </c>
    </row>
    <row r="88" spans="1:6" x14ac:dyDescent="0.3">
      <c r="A88" s="7" t="s">
        <v>140</v>
      </c>
      <c r="B88" s="7">
        <v>900</v>
      </c>
      <c r="C88" s="13">
        <f>MIN(B88,'Task 2'!D88*11)</f>
        <v>304.7</v>
      </c>
      <c r="D88" s="13">
        <f>MIN(B88-C88,'Task 2'!D88*6)</f>
        <v>166.2</v>
      </c>
      <c r="E88" s="13">
        <f t="shared" si="1"/>
        <v>429.09999999999997</v>
      </c>
      <c r="F88" s="7" t="s">
        <v>843</v>
      </c>
    </row>
    <row r="89" spans="1:6" x14ac:dyDescent="0.3">
      <c r="A89" s="7" t="s">
        <v>141</v>
      </c>
      <c r="B89" s="7">
        <v>1890</v>
      </c>
      <c r="C89" s="13">
        <f>MIN(B89,'Task 2'!D89*11)</f>
        <v>256.3</v>
      </c>
      <c r="D89" s="13">
        <f>MIN(B89-C89,'Task 2'!D89*6)</f>
        <v>139.80000000000001</v>
      </c>
      <c r="E89" s="13">
        <f t="shared" si="1"/>
        <v>1493.9</v>
      </c>
      <c r="F89" s="7" t="s">
        <v>843</v>
      </c>
    </row>
    <row r="90" spans="1:6" x14ac:dyDescent="0.3">
      <c r="A90" s="7" t="s">
        <v>142</v>
      </c>
      <c r="B90" s="7">
        <v>1440</v>
      </c>
      <c r="C90" s="13">
        <f>MIN(B90,'Task 2'!D90*11)</f>
        <v>66.366666666666674</v>
      </c>
      <c r="D90" s="13">
        <f>MIN(B90-C90,'Task 2'!D90*6)</f>
        <v>36.200000000000003</v>
      </c>
      <c r="E90" s="13">
        <f t="shared" si="1"/>
        <v>1337.4333333333332</v>
      </c>
      <c r="F90" s="7" t="s">
        <v>843</v>
      </c>
    </row>
    <row r="91" spans="1:6" x14ac:dyDescent="0.3">
      <c r="A91" s="7" t="s">
        <v>143</v>
      </c>
      <c r="B91" s="7">
        <v>1350</v>
      </c>
      <c r="C91" s="13">
        <f>MIN(B91,'Task 2'!D91*11)</f>
        <v>166.46666666666667</v>
      </c>
      <c r="D91" s="13">
        <f>MIN(B91-C91,'Task 2'!D91*6)</f>
        <v>90.8</v>
      </c>
      <c r="E91" s="13">
        <f t="shared" si="1"/>
        <v>1092.7333333333333</v>
      </c>
      <c r="F91" s="7" t="s">
        <v>843</v>
      </c>
    </row>
    <row r="92" spans="1:6" x14ac:dyDescent="0.3">
      <c r="A92" s="7" t="s">
        <v>144</v>
      </c>
      <c r="B92" s="7">
        <v>4320</v>
      </c>
      <c r="C92" s="13">
        <f>MIN(B92,'Task 2'!D92*11)</f>
        <v>342.09999999999997</v>
      </c>
      <c r="D92" s="13">
        <f>MIN(B92-C92,'Task 2'!D92*6)</f>
        <v>186.6</v>
      </c>
      <c r="E92" s="13">
        <f t="shared" si="1"/>
        <v>3791.3</v>
      </c>
      <c r="F92" s="7" t="s">
        <v>843</v>
      </c>
    </row>
    <row r="93" spans="1:6" x14ac:dyDescent="0.3">
      <c r="A93" s="7" t="s">
        <v>145</v>
      </c>
      <c r="B93" s="7">
        <v>1350</v>
      </c>
      <c r="C93" s="13">
        <f>MIN(B93,'Task 2'!D93*11)</f>
        <v>264.36666666666667</v>
      </c>
      <c r="D93" s="13">
        <f>MIN(B93-C93,'Task 2'!D93*6)</f>
        <v>144.19999999999999</v>
      </c>
      <c r="E93" s="13">
        <f t="shared" si="1"/>
        <v>941.43333333333317</v>
      </c>
      <c r="F93" s="7" t="s">
        <v>843</v>
      </c>
    </row>
    <row r="94" spans="1:6" x14ac:dyDescent="0.3">
      <c r="A94" s="7" t="s">
        <v>146</v>
      </c>
      <c r="B94" s="7">
        <v>810</v>
      </c>
      <c r="C94" s="13">
        <f>MIN(B94,'Task 2'!D94*11)</f>
        <v>195.43333333333334</v>
      </c>
      <c r="D94" s="13">
        <f>MIN(B94-C94,'Task 2'!D94*6)</f>
        <v>106.6</v>
      </c>
      <c r="E94" s="13">
        <f t="shared" si="1"/>
        <v>507.96666666666658</v>
      </c>
      <c r="F94" s="7" t="s">
        <v>843</v>
      </c>
    </row>
    <row r="95" spans="1:6" x14ac:dyDescent="0.3">
      <c r="A95" s="7" t="s">
        <v>147</v>
      </c>
      <c r="B95" s="7">
        <v>1350</v>
      </c>
      <c r="C95" s="13">
        <f>MIN(B95,'Task 2'!D95*11)</f>
        <v>280.5</v>
      </c>
      <c r="D95" s="13">
        <f>MIN(B95-C95,'Task 2'!D95*6)</f>
        <v>153</v>
      </c>
      <c r="E95" s="13">
        <f t="shared" si="1"/>
        <v>916.5</v>
      </c>
      <c r="F95" s="7" t="s">
        <v>843</v>
      </c>
    </row>
    <row r="96" spans="1:6" x14ac:dyDescent="0.3">
      <c r="A96" s="7" t="s">
        <v>148</v>
      </c>
      <c r="B96" s="7">
        <v>1080</v>
      </c>
      <c r="C96" s="13">
        <f>MIN(B96,'Task 2'!D96*11)</f>
        <v>262.16666666666663</v>
      </c>
      <c r="D96" s="13">
        <f>MIN(B96-C96,'Task 2'!D96*6)</f>
        <v>143</v>
      </c>
      <c r="E96" s="13">
        <f t="shared" si="1"/>
        <v>674.83333333333337</v>
      </c>
      <c r="F96" s="7" t="s">
        <v>843</v>
      </c>
    </row>
    <row r="97" spans="1:6" x14ac:dyDescent="0.3">
      <c r="A97" s="7" t="s">
        <v>149</v>
      </c>
      <c r="B97" s="7">
        <v>1080</v>
      </c>
      <c r="C97" s="13">
        <f>MIN(B97,'Task 2'!D97*11)</f>
        <v>225.50000000000003</v>
      </c>
      <c r="D97" s="13">
        <f>MIN(B97-C97,'Task 2'!D97*6)</f>
        <v>123.00000000000003</v>
      </c>
      <c r="E97" s="13">
        <f t="shared" si="1"/>
        <v>731.5</v>
      </c>
      <c r="F97" s="7" t="s">
        <v>843</v>
      </c>
    </row>
    <row r="98" spans="1:6" x14ac:dyDescent="0.3">
      <c r="A98" s="7" t="s">
        <v>150</v>
      </c>
      <c r="B98" s="7">
        <v>1080</v>
      </c>
      <c r="C98" s="13">
        <f>MIN(B98,'Task 2'!D98*11)</f>
        <v>234.66666666666666</v>
      </c>
      <c r="D98" s="13">
        <f>MIN(B98-C98,'Task 2'!D98*6)</f>
        <v>128</v>
      </c>
      <c r="E98" s="13">
        <f t="shared" si="1"/>
        <v>717.33333333333337</v>
      </c>
      <c r="F98" s="7" t="s">
        <v>843</v>
      </c>
    </row>
    <row r="99" spans="1:6" x14ac:dyDescent="0.3">
      <c r="A99" s="7" t="s">
        <v>151</v>
      </c>
      <c r="B99" s="7">
        <v>1080</v>
      </c>
      <c r="C99" s="13">
        <f>MIN(B99,'Task 2'!D99*11)</f>
        <v>222.2</v>
      </c>
      <c r="D99" s="13">
        <f>MIN(B99-C99,'Task 2'!D99*6)</f>
        <v>121.19999999999999</v>
      </c>
      <c r="E99" s="13">
        <f t="shared" si="1"/>
        <v>736.59999999999991</v>
      </c>
      <c r="F99" s="7" t="s">
        <v>843</v>
      </c>
    </row>
    <row r="100" spans="1:6" x14ac:dyDescent="0.3">
      <c r="A100" s="7" t="s">
        <v>152</v>
      </c>
      <c r="B100" s="7">
        <v>1080</v>
      </c>
      <c r="C100" s="13">
        <f>MIN(B100,'Task 2'!D100*11)</f>
        <v>236.5</v>
      </c>
      <c r="D100" s="13">
        <f>MIN(B100-C100,'Task 2'!D100*6)</f>
        <v>129</v>
      </c>
      <c r="E100" s="13">
        <f t="shared" si="1"/>
        <v>714.5</v>
      </c>
      <c r="F100" s="7" t="s">
        <v>843</v>
      </c>
    </row>
    <row r="101" spans="1:6" x14ac:dyDescent="0.3">
      <c r="A101" s="7" t="s">
        <v>153</v>
      </c>
      <c r="B101" s="7">
        <v>1350</v>
      </c>
      <c r="C101" s="13">
        <f>MIN(B101,'Task 2'!D101*11)</f>
        <v>252.63333333333335</v>
      </c>
      <c r="D101" s="13">
        <f>MIN(B101-C101,'Task 2'!D101*6)</f>
        <v>137.80000000000001</v>
      </c>
      <c r="E101" s="13">
        <f t="shared" si="1"/>
        <v>959.56666666666661</v>
      </c>
      <c r="F101" s="7" t="s">
        <v>843</v>
      </c>
    </row>
    <row r="102" spans="1:6" x14ac:dyDescent="0.3">
      <c r="A102" s="7" t="s">
        <v>154</v>
      </c>
      <c r="B102" s="7">
        <v>1080</v>
      </c>
      <c r="C102" s="13">
        <f>MIN(B102,'Task 2'!D102*11)</f>
        <v>206.8</v>
      </c>
      <c r="D102" s="13">
        <f>MIN(B102-C102,'Task 2'!D102*6)</f>
        <v>112.80000000000001</v>
      </c>
      <c r="E102" s="13">
        <f t="shared" si="1"/>
        <v>760.40000000000009</v>
      </c>
      <c r="F102" s="7" t="s">
        <v>843</v>
      </c>
    </row>
    <row r="103" spans="1:6" x14ac:dyDescent="0.3">
      <c r="A103" s="7" t="s">
        <v>155</v>
      </c>
      <c r="B103" s="7">
        <v>1350</v>
      </c>
      <c r="C103" s="13">
        <f>MIN(B103,'Task 2'!D103*11)</f>
        <v>277.2</v>
      </c>
      <c r="D103" s="13">
        <f>MIN(B103-C103,'Task 2'!D103*6)</f>
        <v>151.19999999999999</v>
      </c>
      <c r="E103" s="13">
        <f t="shared" si="1"/>
        <v>921.59999999999991</v>
      </c>
      <c r="F103" s="7" t="s">
        <v>843</v>
      </c>
    </row>
    <row r="104" spans="1:6" x14ac:dyDescent="0.3">
      <c r="A104" s="7" t="s">
        <v>156</v>
      </c>
      <c r="B104" s="7">
        <v>1080</v>
      </c>
      <c r="C104" s="13">
        <f>MIN(B104,'Task 2'!D104*11)</f>
        <v>231.73333333333332</v>
      </c>
      <c r="D104" s="13">
        <f>MIN(B104-C104,'Task 2'!D104*6)</f>
        <v>126.4</v>
      </c>
      <c r="E104" s="13">
        <f t="shared" si="1"/>
        <v>721.86666666666667</v>
      </c>
      <c r="F104" s="7" t="s">
        <v>843</v>
      </c>
    </row>
    <row r="105" spans="1:6" x14ac:dyDescent="0.3">
      <c r="A105" s="7" t="s">
        <v>157</v>
      </c>
      <c r="B105" s="7">
        <v>1080</v>
      </c>
      <c r="C105" s="13">
        <f>MIN(B105,'Task 2'!D105*11)</f>
        <v>174.53333333333333</v>
      </c>
      <c r="D105" s="13">
        <f>MIN(B105-C105,'Task 2'!D105*6)</f>
        <v>95.2</v>
      </c>
      <c r="E105" s="13">
        <f t="shared" si="1"/>
        <v>810.26666666666665</v>
      </c>
      <c r="F105" s="7" t="s">
        <v>843</v>
      </c>
    </row>
    <row r="106" spans="1:6" x14ac:dyDescent="0.3">
      <c r="A106" s="7" t="s">
        <v>158</v>
      </c>
      <c r="B106" s="7">
        <v>1350</v>
      </c>
      <c r="C106" s="13">
        <f>MIN(B106,'Task 2'!D106*11)</f>
        <v>211.56666666666666</v>
      </c>
      <c r="D106" s="13">
        <f>MIN(B106-C106,'Task 2'!D106*6)</f>
        <v>115.4</v>
      </c>
      <c r="E106" s="13">
        <f t="shared" si="1"/>
        <v>1023.0333333333334</v>
      </c>
      <c r="F106" s="7" t="s">
        <v>843</v>
      </c>
    </row>
    <row r="107" spans="1:6" x14ac:dyDescent="0.3">
      <c r="A107" s="7" t="s">
        <v>159</v>
      </c>
      <c r="B107" s="7">
        <v>900</v>
      </c>
      <c r="C107" s="13">
        <f>MIN(B107,'Task 2'!D107*11)</f>
        <v>282.33333333333337</v>
      </c>
      <c r="D107" s="13">
        <f>MIN(B107-C107,'Task 2'!D107*6)</f>
        <v>154</v>
      </c>
      <c r="E107" s="13">
        <f t="shared" si="1"/>
        <v>463.66666666666663</v>
      </c>
      <c r="F107" s="7" t="s">
        <v>843</v>
      </c>
    </row>
    <row r="108" spans="1:6" x14ac:dyDescent="0.3">
      <c r="A108" s="7" t="s">
        <v>160</v>
      </c>
      <c r="B108" s="7">
        <v>1080</v>
      </c>
      <c r="C108" s="13">
        <f>MIN(B108,'Task 2'!D108*11)</f>
        <v>122.46666666666667</v>
      </c>
      <c r="D108" s="13">
        <f>MIN(B108-C108,'Task 2'!D108*6)</f>
        <v>66.8</v>
      </c>
      <c r="E108" s="13">
        <f t="shared" si="1"/>
        <v>890.73333333333335</v>
      </c>
      <c r="F108" s="7" t="s">
        <v>843</v>
      </c>
    </row>
    <row r="109" spans="1:6" x14ac:dyDescent="0.3">
      <c r="A109" s="7" t="s">
        <v>161</v>
      </c>
      <c r="B109" s="7">
        <v>1080</v>
      </c>
      <c r="C109" s="13">
        <f>MIN(B109,'Task 2'!D109*11)</f>
        <v>232.09999999999997</v>
      </c>
      <c r="D109" s="13">
        <f>MIN(B109-C109,'Task 2'!D109*6)</f>
        <v>126.6</v>
      </c>
      <c r="E109" s="13">
        <f t="shared" si="1"/>
        <v>721.30000000000007</v>
      </c>
      <c r="F109" s="7" t="s">
        <v>843</v>
      </c>
    </row>
    <row r="110" spans="1:6" x14ac:dyDescent="0.3">
      <c r="A110" s="7" t="s">
        <v>162</v>
      </c>
      <c r="B110" s="7">
        <v>1350</v>
      </c>
      <c r="C110" s="13">
        <f>MIN(B110,'Task 2'!D110*11)</f>
        <v>236.13333333333335</v>
      </c>
      <c r="D110" s="13">
        <f>MIN(B110-C110,'Task 2'!D110*6)</f>
        <v>128.80000000000001</v>
      </c>
      <c r="E110" s="13">
        <f t="shared" si="1"/>
        <v>985.06666666666661</v>
      </c>
      <c r="F110" s="7" t="s">
        <v>843</v>
      </c>
    </row>
    <row r="111" spans="1:6" x14ac:dyDescent="0.3">
      <c r="A111" s="7" t="s">
        <v>163</v>
      </c>
      <c r="B111" s="7">
        <v>1440</v>
      </c>
      <c r="C111" s="13">
        <f>MIN(B111,'Task 2'!D111*11)</f>
        <v>79.2</v>
      </c>
      <c r="D111" s="13">
        <f>MIN(B111-C111,'Task 2'!D111*6)</f>
        <v>43.2</v>
      </c>
      <c r="E111" s="13">
        <f t="shared" si="1"/>
        <v>1317.6</v>
      </c>
      <c r="F111" s="7" t="s">
        <v>843</v>
      </c>
    </row>
    <row r="112" spans="1:6" x14ac:dyDescent="0.3">
      <c r="A112" s="7" t="s">
        <v>164</v>
      </c>
      <c r="B112" s="7">
        <v>810</v>
      </c>
      <c r="C112" s="13">
        <f>MIN(B112,'Task 2'!D112*11)</f>
        <v>182.23333333333332</v>
      </c>
      <c r="D112" s="13">
        <f>MIN(B112-C112,'Task 2'!D112*6)</f>
        <v>99.4</v>
      </c>
      <c r="E112" s="13">
        <f t="shared" si="1"/>
        <v>528.36666666666667</v>
      </c>
      <c r="F112" s="7" t="s">
        <v>843</v>
      </c>
    </row>
    <row r="113" spans="1:6" x14ac:dyDescent="0.3">
      <c r="A113" s="7" t="s">
        <v>165</v>
      </c>
      <c r="B113" s="7">
        <v>1080</v>
      </c>
      <c r="C113" s="13">
        <f>MIN(B113,'Task 2'!D113*11)</f>
        <v>206.8</v>
      </c>
      <c r="D113" s="13">
        <f>MIN(B113-C113,'Task 2'!D113*6)</f>
        <v>112.80000000000001</v>
      </c>
      <c r="E113" s="13">
        <f t="shared" si="1"/>
        <v>760.40000000000009</v>
      </c>
      <c r="F113" s="7" t="s">
        <v>843</v>
      </c>
    </row>
    <row r="114" spans="1:6" x14ac:dyDescent="0.3">
      <c r="A114" s="7" t="s">
        <v>166</v>
      </c>
      <c r="B114" s="7">
        <v>810</v>
      </c>
      <c r="C114" s="13">
        <f>MIN(B114,'Task 2'!D114*11)</f>
        <v>174.9</v>
      </c>
      <c r="D114" s="13">
        <f>MIN(B114-C114,'Task 2'!D114*6)</f>
        <v>95.4</v>
      </c>
      <c r="E114" s="13">
        <f t="shared" si="1"/>
        <v>539.70000000000005</v>
      </c>
      <c r="F114" s="7" t="s">
        <v>843</v>
      </c>
    </row>
    <row r="115" spans="1:6" x14ac:dyDescent="0.3">
      <c r="A115" s="7" t="s">
        <v>167</v>
      </c>
      <c r="B115" s="7">
        <v>540</v>
      </c>
      <c r="C115" s="13">
        <f>MIN(B115,'Task 2'!D115*11)</f>
        <v>166.1</v>
      </c>
      <c r="D115" s="13">
        <f>MIN(B115-C115,'Task 2'!D115*6)</f>
        <v>90.6</v>
      </c>
      <c r="E115" s="13">
        <f t="shared" si="1"/>
        <v>283.29999999999995</v>
      </c>
      <c r="F115" s="7" t="s">
        <v>843</v>
      </c>
    </row>
    <row r="116" spans="1:6" x14ac:dyDescent="0.3">
      <c r="A116" s="7" t="s">
        <v>168</v>
      </c>
      <c r="B116" s="7">
        <v>810</v>
      </c>
      <c r="C116" s="13">
        <f>MIN(B116,'Task 2'!D116*11)</f>
        <v>197.63333333333335</v>
      </c>
      <c r="D116" s="13">
        <f>MIN(B116-C116,'Task 2'!D116*6)</f>
        <v>107.80000000000001</v>
      </c>
      <c r="E116" s="13">
        <f t="shared" si="1"/>
        <v>504.56666666666666</v>
      </c>
      <c r="F116" s="7" t="s">
        <v>843</v>
      </c>
    </row>
    <row r="117" spans="1:6" x14ac:dyDescent="0.3">
      <c r="A117" s="7" t="s">
        <v>169</v>
      </c>
      <c r="B117" s="7">
        <v>1260</v>
      </c>
      <c r="C117" s="13">
        <f>MIN(B117,'Task 2'!D117*11)</f>
        <v>209.73333333333332</v>
      </c>
      <c r="D117" s="13">
        <f>MIN(B117-C117,'Task 2'!D117*6)</f>
        <v>114.4</v>
      </c>
      <c r="E117" s="13">
        <f t="shared" si="1"/>
        <v>935.86666666666667</v>
      </c>
      <c r="F117" s="7" t="s">
        <v>843</v>
      </c>
    </row>
    <row r="118" spans="1:6" x14ac:dyDescent="0.3">
      <c r="A118" s="7" t="s">
        <v>170</v>
      </c>
      <c r="B118" s="7">
        <v>3240</v>
      </c>
      <c r="C118" s="13">
        <f>MIN(B118,'Task 2'!D118*11)</f>
        <v>286.36666666666667</v>
      </c>
      <c r="D118" s="13">
        <f>MIN(B118-C118,'Task 2'!D118*6)</f>
        <v>156.19999999999999</v>
      </c>
      <c r="E118" s="13">
        <f t="shared" si="1"/>
        <v>2797.4333333333334</v>
      </c>
      <c r="F118" s="7" t="s">
        <v>843</v>
      </c>
    </row>
    <row r="119" spans="1:6" x14ac:dyDescent="0.3">
      <c r="A119" s="7" t="s">
        <v>171</v>
      </c>
      <c r="B119" s="7">
        <v>810</v>
      </c>
      <c r="C119" s="13">
        <f>MIN(B119,'Task 2'!D119*11)</f>
        <v>147.4</v>
      </c>
      <c r="D119" s="13">
        <f>MIN(B119-C119,'Task 2'!D119*6)</f>
        <v>80.400000000000006</v>
      </c>
      <c r="E119" s="13">
        <f t="shared" si="1"/>
        <v>582.20000000000005</v>
      </c>
      <c r="F119" s="7" t="s">
        <v>843</v>
      </c>
    </row>
    <row r="120" spans="1:6" x14ac:dyDescent="0.3">
      <c r="A120" s="7" t="s">
        <v>172</v>
      </c>
      <c r="B120" s="7">
        <v>540</v>
      </c>
      <c r="C120" s="13">
        <f>MIN(B120,'Task 2'!D120*11)</f>
        <v>66.733333333333334</v>
      </c>
      <c r="D120" s="13">
        <f>MIN(B120-C120,'Task 2'!D120*6)</f>
        <v>36.4</v>
      </c>
      <c r="E120" s="13">
        <f t="shared" si="1"/>
        <v>436.86666666666667</v>
      </c>
      <c r="F120" s="7" t="s">
        <v>843</v>
      </c>
    </row>
    <row r="121" spans="1:6" x14ac:dyDescent="0.3">
      <c r="A121" s="7" t="s">
        <v>173</v>
      </c>
      <c r="B121" s="7">
        <v>1080</v>
      </c>
      <c r="C121" s="13">
        <f>MIN(B121,'Task 2'!D121*11)</f>
        <v>133.46666666666667</v>
      </c>
      <c r="D121" s="13">
        <f>MIN(B121-C121,'Task 2'!D121*6)</f>
        <v>72.800000000000011</v>
      </c>
      <c r="E121" s="13">
        <f t="shared" si="1"/>
        <v>873.73333333333335</v>
      </c>
      <c r="F121" s="7" t="s">
        <v>843</v>
      </c>
    </row>
    <row r="122" spans="1:6" x14ac:dyDescent="0.3">
      <c r="A122" s="7" t="s">
        <v>174</v>
      </c>
      <c r="B122" s="7">
        <v>540</v>
      </c>
      <c r="C122" s="13">
        <f>MIN(B122,'Task 2'!D122*11)</f>
        <v>181.86666666666667</v>
      </c>
      <c r="D122" s="13">
        <f>MIN(B122-C122,'Task 2'!D122*6)</f>
        <v>99.200000000000017</v>
      </c>
      <c r="E122" s="13">
        <f t="shared" si="1"/>
        <v>258.93333333333328</v>
      </c>
      <c r="F122" s="7" t="s">
        <v>843</v>
      </c>
    </row>
    <row r="123" spans="1:6" x14ac:dyDescent="0.3">
      <c r="A123" s="7" t="s">
        <v>175</v>
      </c>
      <c r="B123" s="7">
        <v>810</v>
      </c>
      <c r="C123" s="13">
        <f>MIN(B123,'Task 2'!D123*11)</f>
        <v>148.13333333333333</v>
      </c>
      <c r="D123" s="13">
        <f>MIN(B123-C123,'Task 2'!D123*6)</f>
        <v>80.8</v>
      </c>
      <c r="E123" s="13">
        <f t="shared" si="1"/>
        <v>581.06666666666672</v>
      </c>
      <c r="F123" s="7" t="s">
        <v>843</v>
      </c>
    </row>
    <row r="124" spans="1:6" x14ac:dyDescent="0.3">
      <c r="A124" s="7" t="s">
        <v>176</v>
      </c>
      <c r="B124" s="7">
        <v>540</v>
      </c>
      <c r="C124" s="13">
        <f>MIN(B124,'Task 2'!D124*11)</f>
        <v>179.3</v>
      </c>
      <c r="D124" s="13">
        <f>MIN(B124-C124,'Task 2'!D124*6)</f>
        <v>97.800000000000011</v>
      </c>
      <c r="E124" s="13">
        <f t="shared" si="1"/>
        <v>262.89999999999998</v>
      </c>
      <c r="F124" s="7" t="s">
        <v>843</v>
      </c>
    </row>
    <row r="125" spans="1:6" x14ac:dyDescent="0.3">
      <c r="A125" s="7" t="s">
        <v>177</v>
      </c>
      <c r="B125" s="7">
        <v>360</v>
      </c>
      <c r="C125" s="13">
        <f>MIN(B125,'Task 2'!D125*11)</f>
        <v>114.03333333333332</v>
      </c>
      <c r="D125" s="13">
        <f>MIN(B125-C125,'Task 2'!D125*6)</f>
        <v>62.199999999999989</v>
      </c>
      <c r="E125" s="13">
        <f t="shared" si="1"/>
        <v>183.76666666666671</v>
      </c>
      <c r="F125" s="7" t="s">
        <v>843</v>
      </c>
    </row>
    <row r="126" spans="1:6" x14ac:dyDescent="0.3">
      <c r="A126" s="7" t="s">
        <v>178</v>
      </c>
      <c r="B126" s="7">
        <v>810</v>
      </c>
      <c r="C126" s="13">
        <f>MIN(B126,'Task 2'!D126*11)</f>
        <v>188.83333333333334</v>
      </c>
      <c r="D126" s="13">
        <f>MIN(B126-C126,'Task 2'!D126*6)</f>
        <v>103</v>
      </c>
      <c r="E126" s="13">
        <f t="shared" si="1"/>
        <v>518.16666666666663</v>
      </c>
      <c r="F126" s="7" t="s">
        <v>843</v>
      </c>
    </row>
    <row r="127" spans="1:6" x14ac:dyDescent="0.3">
      <c r="A127" s="7" t="s">
        <v>179</v>
      </c>
      <c r="B127" s="7">
        <v>360</v>
      </c>
      <c r="C127" s="13">
        <f>MIN(B127,'Task 2'!D127*11)</f>
        <v>121</v>
      </c>
      <c r="D127" s="13">
        <f>MIN(B127-C127,'Task 2'!D127*6)</f>
        <v>66</v>
      </c>
      <c r="E127" s="13">
        <f t="shared" si="1"/>
        <v>173</v>
      </c>
      <c r="F127" s="7" t="s">
        <v>843</v>
      </c>
    </row>
    <row r="128" spans="1:6" x14ac:dyDescent="0.3">
      <c r="A128" s="7" t="s">
        <v>180</v>
      </c>
      <c r="B128" s="7">
        <v>2160</v>
      </c>
      <c r="C128" s="13">
        <f>MIN(B128,'Task 2'!D128*11)</f>
        <v>141.16666666666669</v>
      </c>
      <c r="D128" s="13">
        <f>MIN(B128-C128,'Task 2'!D128*6)</f>
        <v>77</v>
      </c>
      <c r="E128" s="13">
        <f t="shared" si="1"/>
        <v>1941.8333333333333</v>
      </c>
      <c r="F128" s="7" t="s">
        <v>843</v>
      </c>
    </row>
    <row r="129" spans="1:6" x14ac:dyDescent="0.3">
      <c r="A129" s="7" t="s">
        <v>181</v>
      </c>
      <c r="B129" s="7">
        <v>720</v>
      </c>
      <c r="C129" s="13">
        <f>MIN(B129,'Task 2'!D129*11)</f>
        <v>204.59999999999997</v>
      </c>
      <c r="D129" s="13">
        <f>MIN(B129-C129,'Task 2'!D129*6)</f>
        <v>111.6</v>
      </c>
      <c r="E129" s="13">
        <f t="shared" si="1"/>
        <v>403.80000000000007</v>
      </c>
      <c r="F129" s="7" t="s">
        <v>843</v>
      </c>
    </row>
    <row r="130" spans="1:6" x14ac:dyDescent="0.3">
      <c r="A130" s="7" t="s">
        <v>182</v>
      </c>
      <c r="B130" s="7">
        <v>540</v>
      </c>
      <c r="C130" s="13">
        <f>MIN(B130,'Task 2'!D130*11)</f>
        <v>90.200000000000017</v>
      </c>
      <c r="D130" s="13">
        <f>MIN(B130-C130,'Task 2'!D130*6)</f>
        <v>49.2</v>
      </c>
      <c r="E130" s="13">
        <f t="shared" si="1"/>
        <v>400.59999999999997</v>
      </c>
      <c r="F130" s="7" t="s">
        <v>843</v>
      </c>
    </row>
    <row r="131" spans="1:6" x14ac:dyDescent="0.3">
      <c r="A131" s="7" t="s">
        <v>183</v>
      </c>
      <c r="B131" s="7">
        <v>1080</v>
      </c>
      <c r="C131" s="13">
        <f>MIN(B131,'Task 2'!D131*11)</f>
        <v>178.93333333333334</v>
      </c>
      <c r="D131" s="13">
        <f>MIN(B131-C131,'Task 2'!D131*6)</f>
        <v>97.6</v>
      </c>
      <c r="E131" s="13">
        <f t="shared" ref="E131:E194" si="2">B131-C131-D131</f>
        <v>803.46666666666658</v>
      </c>
      <c r="F131" s="7" t="s">
        <v>843</v>
      </c>
    </row>
    <row r="132" spans="1:6" x14ac:dyDescent="0.3">
      <c r="A132" s="7" t="s">
        <v>184</v>
      </c>
      <c r="B132" s="7">
        <v>360</v>
      </c>
      <c r="C132" s="13">
        <f>MIN(B132,'Task 2'!D132*11)</f>
        <v>123.56666666666666</v>
      </c>
      <c r="D132" s="13">
        <f>MIN(B132-C132,'Task 2'!D132*6)</f>
        <v>67.399999999999991</v>
      </c>
      <c r="E132" s="13">
        <f t="shared" si="2"/>
        <v>169.03333333333336</v>
      </c>
      <c r="F132" s="7" t="s">
        <v>843</v>
      </c>
    </row>
    <row r="133" spans="1:6" x14ac:dyDescent="0.3">
      <c r="A133" s="7" t="s">
        <v>185</v>
      </c>
      <c r="B133" s="7">
        <v>810</v>
      </c>
      <c r="C133" s="13">
        <f>MIN(B133,'Task 2'!D133*11)</f>
        <v>147.76666666666665</v>
      </c>
      <c r="D133" s="13">
        <f>MIN(B133-C133,'Task 2'!D133*6)</f>
        <v>80.599999999999994</v>
      </c>
      <c r="E133" s="13">
        <f t="shared" si="2"/>
        <v>581.63333333333333</v>
      </c>
      <c r="F133" s="7" t="s">
        <v>843</v>
      </c>
    </row>
    <row r="134" spans="1:6" x14ac:dyDescent="0.3">
      <c r="A134" s="7" t="s">
        <v>186</v>
      </c>
      <c r="B134" s="7">
        <v>180</v>
      </c>
      <c r="C134" s="13">
        <f>MIN(B134,'Task 2'!D134*11)</f>
        <v>60.133333333333326</v>
      </c>
      <c r="D134" s="13">
        <f>MIN(B134-C134,'Task 2'!D134*6)</f>
        <v>32.799999999999997</v>
      </c>
      <c r="E134" s="13">
        <f t="shared" si="2"/>
        <v>87.066666666666677</v>
      </c>
      <c r="F134" s="7" t="s">
        <v>843</v>
      </c>
    </row>
    <row r="135" spans="1:6" x14ac:dyDescent="0.3">
      <c r="A135" s="7" t="s">
        <v>187</v>
      </c>
      <c r="B135" s="7">
        <v>1080</v>
      </c>
      <c r="C135" s="13">
        <f>MIN(B135,'Task 2'!D135*11)</f>
        <v>140.43333333333334</v>
      </c>
      <c r="D135" s="13">
        <f>MIN(B135-C135,'Task 2'!D135*6)</f>
        <v>76.599999999999994</v>
      </c>
      <c r="E135" s="13">
        <f t="shared" si="2"/>
        <v>862.96666666666658</v>
      </c>
      <c r="F135" s="7" t="s">
        <v>843</v>
      </c>
    </row>
    <row r="136" spans="1:6" x14ac:dyDescent="0.3">
      <c r="A136" s="7" t="s">
        <v>188</v>
      </c>
      <c r="B136" s="7">
        <v>360</v>
      </c>
      <c r="C136" s="13">
        <f>MIN(B136,'Task 2'!D136*11)</f>
        <v>92.766666666666652</v>
      </c>
      <c r="D136" s="13">
        <f>MIN(B136-C136,'Task 2'!D136*6)</f>
        <v>50.599999999999994</v>
      </c>
      <c r="E136" s="13">
        <f t="shared" si="2"/>
        <v>216.63333333333335</v>
      </c>
      <c r="F136" s="7" t="s">
        <v>843</v>
      </c>
    </row>
    <row r="137" spans="1:6" x14ac:dyDescent="0.3">
      <c r="A137" s="7" t="s">
        <v>189</v>
      </c>
      <c r="B137" s="7">
        <v>540</v>
      </c>
      <c r="C137" s="13">
        <f>MIN(B137,'Task 2'!D137*11)</f>
        <v>92.033333333333331</v>
      </c>
      <c r="D137" s="13">
        <f>MIN(B137-C137,'Task 2'!D137*6)</f>
        <v>50.2</v>
      </c>
      <c r="E137" s="13">
        <f t="shared" si="2"/>
        <v>397.76666666666671</v>
      </c>
      <c r="F137" s="7" t="s">
        <v>843</v>
      </c>
    </row>
    <row r="138" spans="1:6" x14ac:dyDescent="0.3">
      <c r="A138" s="7" t="s">
        <v>190</v>
      </c>
      <c r="B138" s="7">
        <v>540</v>
      </c>
      <c r="C138" s="13">
        <f>MIN(B138,'Task 2'!D138*11)</f>
        <v>63.8</v>
      </c>
      <c r="D138" s="13">
        <f>MIN(B138-C138,'Task 2'!D138*6)</f>
        <v>34.799999999999997</v>
      </c>
      <c r="E138" s="13">
        <f t="shared" si="2"/>
        <v>441.4</v>
      </c>
      <c r="F138" s="7" t="s">
        <v>843</v>
      </c>
    </row>
    <row r="139" spans="1:6" x14ac:dyDescent="0.3">
      <c r="A139" s="7" t="s">
        <v>191</v>
      </c>
      <c r="B139" s="7">
        <v>540</v>
      </c>
      <c r="C139" s="13">
        <f>MIN(B139,'Task 2'!D139*11)</f>
        <v>129.06666666666666</v>
      </c>
      <c r="D139" s="13">
        <f>MIN(B139-C139,'Task 2'!D139*6)</f>
        <v>70.400000000000006</v>
      </c>
      <c r="E139" s="13">
        <f t="shared" si="2"/>
        <v>340.5333333333333</v>
      </c>
      <c r="F139" s="7" t="s">
        <v>843</v>
      </c>
    </row>
    <row r="140" spans="1:6" x14ac:dyDescent="0.3">
      <c r="A140" s="7" t="s">
        <v>192</v>
      </c>
      <c r="B140" s="7">
        <v>1440</v>
      </c>
      <c r="C140" s="13">
        <f>MIN(B140,'Task 2'!D140*11)</f>
        <v>58.3</v>
      </c>
      <c r="D140" s="13">
        <f>MIN(B140-C140,'Task 2'!D140*6)</f>
        <v>31.799999999999997</v>
      </c>
      <c r="E140" s="13">
        <f t="shared" si="2"/>
        <v>1349.9</v>
      </c>
      <c r="F140" s="7" t="s">
        <v>843</v>
      </c>
    </row>
    <row r="141" spans="1:6" x14ac:dyDescent="0.3">
      <c r="A141" s="7" t="s">
        <v>193</v>
      </c>
      <c r="B141" s="7">
        <v>540</v>
      </c>
      <c r="C141" s="13">
        <f>MIN(B141,'Task 2'!D141*11)</f>
        <v>124.29999999999998</v>
      </c>
      <c r="D141" s="13">
        <f>MIN(B141-C141,'Task 2'!D141*6)</f>
        <v>67.8</v>
      </c>
      <c r="E141" s="13">
        <f t="shared" si="2"/>
        <v>347.90000000000003</v>
      </c>
      <c r="F141" s="7" t="s">
        <v>843</v>
      </c>
    </row>
    <row r="142" spans="1:6" x14ac:dyDescent="0.3">
      <c r="A142" s="7" t="s">
        <v>194</v>
      </c>
      <c r="B142" s="7">
        <v>360</v>
      </c>
      <c r="C142" s="13">
        <f>MIN(B142,'Task 2'!D142*11)</f>
        <v>85.066666666666663</v>
      </c>
      <c r="D142" s="13">
        <f>MIN(B142-C142,'Task 2'!D142*6)</f>
        <v>46.4</v>
      </c>
      <c r="E142" s="13">
        <f t="shared" si="2"/>
        <v>228.53333333333333</v>
      </c>
      <c r="F142" s="7" t="s">
        <v>843</v>
      </c>
    </row>
    <row r="143" spans="1:6" x14ac:dyDescent="0.3">
      <c r="A143" s="7" t="s">
        <v>195</v>
      </c>
      <c r="B143" s="7">
        <v>540</v>
      </c>
      <c r="C143" s="13">
        <f>MIN(B143,'Task 2'!D143*11)</f>
        <v>116.96666666666668</v>
      </c>
      <c r="D143" s="13">
        <f>MIN(B143-C143,'Task 2'!D143*6)</f>
        <v>63.800000000000011</v>
      </c>
      <c r="E143" s="13">
        <f t="shared" si="2"/>
        <v>359.23333333333329</v>
      </c>
      <c r="F143" s="7" t="s">
        <v>843</v>
      </c>
    </row>
    <row r="144" spans="1:6" x14ac:dyDescent="0.3">
      <c r="A144" s="7" t="s">
        <v>196</v>
      </c>
      <c r="B144" s="7">
        <v>540</v>
      </c>
      <c r="C144" s="13">
        <f>MIN(B144,'Task 2'!D144*11)</f>
        <v>70.399999999999991</v>
      </c>
      <c r="D144" s="13">
        <f>MIN(B144-C144,'Task 2'!D144*6)</f>
        <v>38.4</v>
      </c>
      <c r="E144" s="13">
        <f t="shared" si="2"/>
        <v>431.20000000000005</v>
      </c>
      <c r="F144" s="7" t="s">
        <v>843</v>
      </c>
    </row>
    <row r="145" spans="1:6" x14ac:dyDescent="0.3">
      <c r="A145" s="7" t="s">
        <v>197</v>
      </c>
      <c r="B145" s="7">
        <v>540</v>
      </c>
      <c r="C145" s="13">
        <f>MIN(B145,'Task 2'!D145*11)</f>
        <v>82.866666666666674</v>
      </c>
      <c r="D145" s="13">
        <f>MIN(B145-C145,'Task 2'!D145*6)</f>
        <v>45.2</v>
      </c>
      <c r="E145" s="13">
        <f t="shared" si="2"/>
        <v>411.93333333333334</v>
      </c>
      <c r="F145" s="7" t="s">
        <v>843</v>
      </c>
    </row>
    <row r="146" spans="1:6" x14ac:dyDescent="0.3">
      <c r="A146" s="7" t="s">
        <v>198</v>
      </c>
      <c r="B146" s="7">
        <v>540</v>
      </c>
      <c r="C146" s="13">
        <f>MIN(B146,'Task 2'!D146*11)</f>
        <v>77.733333333333334</v>
      </c>
      <c r="D146" s="13">
        <f>MIN(B146-C146,'Task 2'!D146*6)</f>
        <v>42.4</v>
      </c>
      <c r="E146" s="13">
        <f t="shared" si="2"/>
        <v>419.86666666666667</v>
      </c>
      <c r="F146" s="7" t="s">
        <v>843</v>
      </c>
    </row>
    <row r="147" spans="1:6" x14ac:dyDescent="0.3">
      <c r="A147" s="7" t="s">
        <v>199</v>
      </c>
      <c r="B147" s="7">
        <v>1080</v>
      </c>
      <c r="C147" s="13">
        <f>MIN(B147,'Task 2'!D147*11)</f>
        <v>89.1</v>
      </c>
      <c r="D147" s="13">
        <f>MIN(B147-C147,'Task 2'!D147*6)</f>
        <v>48.599999999999994</v>
      </c>
      <c r="E147" s="13">
        <f t="shared" si="2"/>
        <v>942.3</v>
      </c>
      <c r="F147" s="7" t="s">
        <v>843</v>
      </c>
    </row>
    <row r="148" spans="1:6" x14ac:dyDescent="0.3">
      <c r="A148" s="7" t="s">
        <v>200</v>
      </c>
      <c r="B148" s="7">
        <v>540</v>
      </c>
      <c r="C148" s="13">
        <f>MIN(B148,'Task 2'!D148*11)</f>
        <v>82.133333333333326</v>
      </c>
      <c r="D148" s="13">
        <f>MIN(B148-C148,'Task 2'!D148*6)</f>
        <v>44.8</v>
      </c>
      <c r="E148" s="13">
        <f t="shared" si="2"/>
        <v>413.06666666666666</v>
      </c>
      <c r="F148" s="7" t="s">
        <v>843</v>
      </c>
    </row>
    <row r="149" spans="1:6" x14ac:dyDescent="0.3">
      <c r="A149" s="7" t="s">
        <v>201</v>
      </c>
      <c r="B149" s="7">
        <v>810</v>
      </c>
      <c r="C149" s="13">
        <f>MIN(B149,'Task 2'!D149*11)</f>
        <v>98.266666666666652</v>
      </c>
      <c r="D149" s="13">
        <f>MIN(B149-C149,'Task 2'!D149*6)</f>
        <v>53.599999999999994</v>
      </c>
      <c r="E149" s="13">
        <f t="shared" si="2"/>
        <v>658.13333333333333</v>
      </c>
      <c r="F149" s="7" t="s">
        <v>843</v>
      </c>
    </row>
    <row r="150" spans="1:6" x14ac:dyDescent="0.3">
      <c r="A150" s="7" t="s">
        <v>202</v>
      </c>
      <c r="B150" s="7">
        <v>540</v>
      </c>
      <c r="C150" s="13">
        <f>MIN(B150,'Task 2'!D150*11)</f>
        <v>96.799999999999983</v>
      </c>
      <c r="D150" s="13">
        <f>MIN(B150-C150,'Task 2'!D150*6)</f>
        <v>52.8</v>
      </c>
      <c r="E150" s="13">
        <f t="shared" si="2"/>
        <v>390.40000000000003</v>
      </c>
      <c r="F150" s="7" t="s">
        <v>843</v>
      </c>
    </row>
    <row r="151" spans="1:6" x14ac:dyDescent="0.3">
      <c r="A151" s="7" t="s">
        <v>203</v>
      </c>
      <c r="B151" s="7">
        <v>540</v>
      </c>
      <c r="C151" s="13">
        <f>MIN(B151,'Task 2'!D151*11)</f>
        <v>87.266666666666666</v>
      </c>
      <c r="D151" s="13">
        <f>MIN(B151-C151,'Task 2'!D151*6)</f>
        <v>47.599999999999994</v>
      </c>
      <c r="E151" s="13">
        <f t="shared" si="2"/>
        <v>405.13333333333333</v>
      </c>
      <c r="F151" s="7" t="s">
        <v>843</v>
      </c>
    </row>
    <row r="152" spans="1:6" x14ac:dyDescent="0.3">
      <c r="A152" s="7" t="s">
        <v>204</v>
      </c>
      <c r="B152" s="7">
        <v>2160</v>
      </c>
      <c r="C152" s="13">
        <f>MIN(B152,'Task 2'!D152*11)</f>
        <v>240.16666666666666</v>
      </c>
      <c r="D152" s="13">
        <f>MIN(B152-C152,'Task 2'!D152*6)</f>
        <v>131</v>
      </c>
      <c r="E152" s="13">
        <f t="shared" si="2"/>
        <v>1788.8333333333333</v>
      </c>
      <c r="F152" s="7" t="s">
        <v>843</v>
      </c>
    </row>
    <row r="153" spans="1:6" x14ac:dyDescent="0.3">
      <c r="A153" s="7" t="s">
        <v>205</v>
      </c>
      <c r="B153" s="7">
        <v>540</v>
      </c>
      <c r="C153" s="13">
        <f>MIN(B153,'Task 2'!D153*11)</f>
        <v>71.866666666666674</v>
      </c>
      <c r="D153" s="13">
        <f>MIN(B153-C153,'Task 2'!D153*6)</f>
        <v>39.200000000000003</v>
      </c>
      <c r="E153" s="13">
        <f t="shared" si="2"/>
        <v>428.93333333333334</v>
      </c>
      <c r="F153" s="7" t="s">
        <v>843</v>
      </c>
    </row>
    <row r="154" spans="1:6" x14ac:dyDescent="0.3">
      <c r="A154" s="7" t="s">
        <v>206</v>
      </c>
      <c r="B154" s="7">
        <v>810</v>
      </c>
      <c r="C154" s="13">
        <f>MIN(B154,'Task 2'!D154*11)</f>
        <v>145.56666666666666</v>
      </c>
      <c r="D154" s="13">
        <f>MIN(B154-C154,'Task 2'!D154*6)</f>
        <v>79.400000000000006</v>
      </c>
      <c r="E154" s="13">
        <f t="shared" si="2"/>
        <v>585.03333333333342</v>
      </c>
      <c r="F154" s="7" t="s">
        <v>843</v>
      </c>
    </row>
    <row r="155" spans="1:6" x14ac:dyDescent="0.3">
      <c r="A155" s="7" t="s">
        <v>207</v>
      </c>
      <c r="B155" s="7">
        <v>2880</v>
      </c>
      <c r="C155" s="13">
        <f>MIN(B155,'Task 2'!D155*11)</f>
        <v>73.333333333333343</v>
      </c>
      <c r="D155" s="13">
        <f>MIN(B155-C155,'Task 2'!D155*6)</f>
        <v>40</v>
      </c>
      <c r="E155" s="13">
        <f t="shared" si="2"/>
        <v>2766.6666666666665</v>
      </c>
      <c r="F155" s="7" t="s">
        <v>843</v>
      </c>
    </row>
    <row r="156" spans="1:6" x14ac:dyDescent="0.3">
      <c r="A156" s="7" t="s">
        <v>208</v>
      </c>
      <c r="B156" s="7">
        <v>540</v>
      </c>
      <c r="C156" s="13">
        <f>MIN(B156,'Task 2'!D156*11)</f>
        <v>75.533333333333331</v>
      </c>
      <c r="D156" s="13">
        <f>MIN(B156-C156,'Task 2'!D156*6)</f>
        <v>41.2</v>
      </c>
      <c r="E156" s="13">
        <f t="shared" si="2"/>
        <v>423.26666666666671</v>
      </c>
      <c r="F156" s="7" t="s">
        <v>843</v>
      </c>
    </row>
    <row r="157" spans="1:6" x14ac:dyDescent="0.3">
      <c r="A157" s="7" t="s">
        <v>209</v>
      </c>
      <c r="B157" s="7">
        <v>810</v>
      </c>
      <c r="C157" s="13">
        <f>MIN(B157,'Task 2'!D157*11)</f>
        <v>90.566666666666677</v>
      </c>
      <c r="D157" s="13">
        <f>MIN(B157-C157,'Task 2'!D157*6)</f>
        <v>49.400000000000006</v>
      </c>
      <c r="E157" s="13">
        <f t="shared" si="2"/>
        <v>670.0333333333333</v>
      </c>
      <c r="F157" s="7" t="s">
        <v>843</v>
      </c>
    </row>
    <row r="158" spans="1:6" x14ac:dyDescent="0.3">
      <c r="A158" s="7" t="s">
        <v>210</v>
      </c>
      <c r="B158" s="7">
        <v>540</v>
      </c>
      <c r="C158" s="13">
        <f>MIN(B158,'Task 2'!D158*11)</f>
        <v>58.666666666666664</v>
      </c>
      <c r="D158" s="13">
        <f>MIN(B158-C158,'Task 2'!D158*6)</f>
        <v>32</v>
      </c>
      <c r="E158" s="13">
        <f t="shared" si="2"/>
        <v>449.33333333333331</v>
      </c>
      <c r="F158" s="7" t="s">
        <v>843</v>
      </c>
    </row>
    <row r="159" spans="1:6" x14ac:dyDescent="0.3">
      <c r="A159" s="7" t="s">
        <v>211</v>
      </c>
      <c r="B159" s="7">
        <v>1440</v>
      </c>
      <c r="C159" s="13">
        <f>MIN(B159,'Task 2'!D159*11)</f>
        <v>48.766666666666659</v>
      </c>
      <c r="D159" s="13">
        <f>MIN(B159-C159,'Task 2'!D159*6)</f>
        <v>26.599999999999994</v>
      </c>
      <c r="E159" s="13">
        <f t="shared" si="2"/>
        <v>1364.6333333333334</v>
      </c>
      <c r="F159" s="7" t="s">
        <v>843</v>
      </c>
    </row>
    <row r="160" spans="1:6" x14ac:dyDescent="0.3">
      <c r="A160" s="7" t="s">
        <v>212</v>
      </c>
      <c r="B160" s="7">
        <v>540</v>
      </c>
      <c r="C160" s="13">
        <f>MIN(B160,'Task 2'!D160*11)</f>
        <v>120.26666666666665</v>
      </c>
      <c r="D160" s="13">
        <f>MIN(B160-C160,'Task 2'!D160*6)</f>
        <v>65.599999999999994</v>
      </c>
      <c r="E160" s="13">
        <f t="shared" si="2"/>
        <v>354.13333333333333</v>
      </c>
      <c r="F160" s="7" t="s">
        <v>843</v>
      </c>
    </row>
    <row r="161" spans="1:6" x14ac:dyDescent="0.3">
      <c r="A161" s="7" t="s">
        <v>213</v>
      </c>
      <c r="B161" s="7">
        <v>2880</v>
      </c>
      <c r="C161" s="13">
        <f>MIN(B161,'Task 2'!D161*11)</f>
        <v>62.7</v>
      </c>
      <c r="D161" s="13">
        <f>MIN(B161-C161,'Task 2'!D161*6)</f>
        <v>34.200000000000003</v>
      </c>
      <c r="E161" s="13">
        <f t="shared" si="2"/>
        <v>2783.1000000000004</v>
      </c>
      <c r="F161" s="7" t="s">
        <v>843</v>
      </c>
    </row>
    <row r="162" spans="1:6" x14ac:dyDescent="0.3">
      <c r="A162" s="7" t="s">
        <v>214</v>
      </c>
      <c r="B162" s="7">
        <v>540</v>
      </c>
      <c r="C162" s="13">
        <f>MIN(B162,'Task 2'!D162*11)</f>
        <v>87.266666666666666</v>
      </c>
      <c r="D162" s="13">
        <f>MIN(B162-C162,'Task 2'!D162*6)</f>
        <v>47.6</v>
      </c>
      <c r="E162" s="13">
        <f t="shared" si="2"/>
        <v>405.13333333333333</v>
      </c>
      <c r="F162" s="7" t="s">
        <v>843</v>
      </c>
    </row>
    <row r="163" spans="1:6" x14ac:dyDescent="0.3">
      <c r="A163" s="7" t="s">
        <v>215</v>
      </c>
      <c r="B163" s="7">
        <v>540</v>
      </c>
      <c r="C163" s="13">
        <f>MIN(B163,'Task 2'!D163*11)</f>
        <v>117.70000000000002</v>
      </c>
      <c r="D163" s="13">
        <f>MIN(B163-C163,'Task 2'!D163*6)</f>
        <v>64.2</v>
      </c>
      <c r="E163" s="13">
        <f t="shared" si="2"/>
        <v>358.09999999999997</v>
      </c>
      <c r="F163" s="7" t="s">
        <v>843</v>
      </c>
    </row>
    <row r="164" spans="1:6" x14ac:dyDescent="0.3">
      <c r="A164" s="7" t="s">
        <v>216</v>
      </c>
      <c r="B164" s="7">
        <v>180</v>
      </c>
      <c r="C164" s="13">
        <f>MIN(B164,'Task 2'!D164*11)</f>
        <v>30.433333333333326</v>
      </c>
      <c r="D164" s="13">
        <f>MIN(B164-C164,'Task 2'!D164*6)</f>
        <v>16.599999999999998</v>
      </c>
      <c r="E164" s="13">
        <f t="shared" si="2"/>
        <v>132.96666666666667</v>
      </c>
      <c r="F164" s="7" t="s">
        <v>843</v>
      </c>
    </row>
    <row r="165" spans="1:6" x14ac:dyDescent="0.3">
      <c r="A165" s="7" t="s">
        <v>217</v>
      </c>
      <c r="B165" s="7">
        <v>270</v>
      </c>
      <c r="C165" s="13">
        <f>MIN(B165,'Task 2'!D165*11)</f>
        <v>59.766666666666659</v>
      </c>
      <c r="D165" s="13">
        <f>MIN(B165-C165,'Task 2'!D165*6)</f>
        <v>32.599999999999994</v>
      </c>
      <c r="E165" s="13">
        <f t="shared" si="2"/>
        <v>177.63333333333335</v>
      </c>
      <c r="F165" s="7" t="s">
        <v>843</v>
      </c>
    </row>
    <row r="166" spans="1:6" x14ac:dyDescent="0.3">
      <c r="A166" s="7" t="s">
        <v>218</v>
      </c>
      <c r="B166" s="7">
        <v>540</v>
      </c>
      <c r="C166" s="13">
        <f>MIN(B166,'Task 2'!D166*11)</f>
        <v>89.466666666666683</v>
      </c>
      <c r="D166" s="13">
        <f>MIN(B166-C166,'Task 2'!D166*6)</f>
        <v>48.800000000000011</v>
      </c>
      <c r="E166" s="13">
        <f t="shared" si="2"/>
        <v>401.73333333333329</v>
      </c>
      <c r="F166" s="7" t="s">
        <v>843</v>
      </c>
    </row>
    <row r="167" spans="1:6" x14ac:dyDescent="0.3">
      <c r="A167" s="7" t="s">
        <v>219</v>
      </c>
      <c r="B167" s="7">
        <v>360</v>
      </c>
      <c r="C167" s="13">
        <f>MIN(B167,'Task 2'!D167*11)</f>
        <v>97.166666666666671</v>
      </c>
      <c r="D167" s="13">
        <f>MIN(B167-C167,'Task 2'!D167*6)</f>
        <v>53</v>
      </c>
      <c r="E167" s="13">
        <f t="shared" si="2"/>
        <v>209.83333333333331</v>
      </c>
      <c r="F167" s="7" t="s">
        <v>843</v>
      </c>
    </row>
    <row r="168" spans="1:6" x14ac:dyDescent="0.3">
      <c r="A168" s="7" t="s">
        <v>220</v>
      </c>
      <c r="B168" s="7">
        <v>540</v>
      </c>
      <c r="C168" s="13">
        <f>MIN(B168,'Task 2'!D168*11)</f>
        <v>114.4</v>
      </c>
      <c r="D168" s="13">
        <f>MIN(B168-C168,'Task 2'!D168*6)</f>
        <v>62.400000000000006</v>
      </c>
      <c r="E168" s="13">
        <f t="shared" si="2"/>
        <v>363.20000000000005</v>
      </c>
      <c r="F168" s="7" t="s">
        <v>843</v>
      </c>
    </row>
    <row r="169" spans="1:6" x14ac:dyDescent="0.3">
      <c r="A169" s="7" t="s">
        <v>221</v>
      </c>
      <c r="B169" s="7">
        <v>360</v>
      </c>
      <c r="C169" s="13">
        <f>MIN(B169,'Task 2'!D169*11)</f>
        <v>90.566666666666663</v>
      </c>
      <c r="D169" s="13">
        <f>MIN(B169-C169,'Task 2'!D169*6)</f>
        <v>49.399999999999991</v>
      </c>
      <c r="E169" s="13">
        <f t="shared" si="2"/>
        <v>220.03333333333336</v>
      </c>
      <c r="F169" s="7" t="s">
        <v>843</v>
      </c>
    </row>
    <row r="170" spans="1:6" x14ac:dyDescent="0.3">
      <c r="A170" s="7" t="s">
        <v>222</v>
      </c>
      <c r="B170" s="7">
        <v>540</v>
      </c>
      <c r="C170" s="13">
        <f>MIN(B170,'Task 2'!D170*11)</f>
        <v>101.56666666666668</v>
      </c>
      <c r="D170" s="13">
        <f>MIN(B170-C170,'Task 2'!D170*6)</f>
        <v>55.400000000000006</v>
      </c>
      <c r="E170" s="13">
        <f t="shared" si="2"/>
        <v>383.0333333333333</v>
      </c>
      <c r="F170" s="7" t="s">
        <v>843</v>
      </c>
    </row>
    <row r="171" spans="1:6" x14ac:dyDescent="0.3">
      <c r="A171" s="7" t="s">
        <v>223</v>
      </c>
      <c r="B171" s="7">
        <v>270</v>
      </c>
      <c r="C171" s="13">
        <f>MIN(B171,'Task 2'!D171*11)</f>
        <v>49.866666666666667</v>
      </c>
      <c r="D171" s="13">
        <f>MIN(B171-C171,'Task 2'!D171*6)</f>
        <v>27.2</v>
      </c>
      <c r="E171" s="13">
        <f t="shared" si="2"/>
        <v>192.93333333333334</v>
      </c>
      <c r="F171" s="7" t="s">
        <v>843</v>
      </c>
    </row>
    <row r="172" spans="1:6" x14ac:dyDescent="0.3">
      <c r="A172" s="7" t="s">
        <v>224</v>
      </c>
      <c r="B172" s="7">
        <v>540</v>
      </c>
      <c r="C172" s="13">
        <f>MIN(B172,'Task 2'!D172*11)</f>
        <v>112.93333333333334</v>
      </c>
      <c r="D172" s="13">
        <f>MIN(B172-C172,'Task 2'!D172*6)</f>
        <v>61.600000000000009</v>
      </c>
      <c r="E172" s="13">
        <f t="shared" si="2"/>
        <v>365.46666666666664</v>
      </c>
      <c r="F172" s="7" t="s">
        <v>843</v>
      </c>
    </row>
    <row r="173" spans="1:6" x14ac:dyDescent="0.3">
      <c r="A173" s="7" t="s">
        <v>225</v>
      </c>
      <c r="B173" s="7">
        <v>360</v>
      </c>
      <c r="C173" s="13">
        <f>MIN(B173,'Task 2'!D173*11)</f>
        <v>116.23333333333333</v>
      </c>
      <c r="D173" s="13">
        <f>MIN(B173-C173,'Task 2'!D173*6)</f>
        <v>63.4</v>
      </c>
      <c r="E173" s="13">
        <f t="shared" si="2"/>
        <v>180.36666666666665</v>
      </c>
      <c r="F173" s="7" t="s">
        <v>843</v>
      </c>
    </row>
    <row r="174" spans="1:6" x14ac:dyDescent="0.3">
      <c r="A174" s="7" t="s">
        <v>226</v>
      </c>
      <c r="B174" s="7">
        <v>360</v>
      </c>
      <c r="C174" s="13">
        <f>MIN(B174,'Task 2'!D174*11)</f>
        <v>98.266666666666666</v>
      </c>
      <c r="D174" s="13">
        <f>MIN(B174-C174,'Task 2'!D174*6)</f>
        <v>53.6</v>
      </c>
      <c r="E174" s="13">
        <f t="shared" si="2"/>
        <v>208.13333333333335</v>
      </c>
      <c r="F174" s="7" t="s">
        <v>843</v>
      </c>
    </row>
    <row r="175" spans="1:6" x14ac:dyDescent="0.3">
      <c r="A175" s="7" t="s">
        <v>227</v>
      </c>
      <c r="B175" s="7">
        <v>1080</v>
      </c>
      <c r="C175" s="13">
        <f>MIN(B175,'Task 2'!D175*11)</f>
        <v>52.8</v>
      </c>
      <c r="D175" s="13">
        <f>MIN(B175-C175,'Task 2'!D175*6)</f>
        <v>28.799999999999997</v>
      </c>
      <c r="E175" s="13">
        <f t="shared" si="2"/>
        <v>998.40000000000009</v>
      </c>
      <c r="F175" s="7" t="s">
        <v>843</v>
      </c>
    </row>
    <row r="176" spans="1:6" x14ac:dyDescent="0.3">
      <c r="A176" s="7" t="s">
        <v>228</v>
      </c>
      <c r="B176" s="7">
        <v>540</v>
      </c>
      <c r="C176" s="13">
        <f>MIN(B176,'Task 2'!D176*11)</f>
        <v>55</v>
      </c>
      <c r="D176" s="13">
        <f>MIN(B176-C176,'Task 2'!D176*6)</f>
        <v>30</v>
      </c>
      <c r="E176" s="13">
        <f t="shared" si="2"/>
        <v>455</v>
      </c>
      <c r="F176" s="7" t="s">
        <v>843</v>
      </c>
    </row>
    <row r="177" spans="1:6" x14ac:dyDescent="0.3">
      <c r="A177" s="7" t="s">
        <v>229</v>
      </c>
      <c r="B177" s="7">
        <v>180</v>
      </c>
      <c r="C177" s="13">
        <f>MIN(B177,'Task 2'!D177*11)</f>
        <v>61.233333333333334</v>
      </c>
      <c r="D177" s="13">
        <f>MIN(B177-C177,'Task 2'!D177*6)</f>
        <v>33.4</v>
      </c>
      <c r="E177" s="13">
        <f t="shared" si="2"/>
        <v>85.366666666666674</v>
      </c>
      <c r="F177" s="7" t="s">
        <v>843</v>
      </c>
    </row>
    <row r="178" spans="1:6" x14ac:dyDescent="0.3">
      <c r="A178" s="7" t="s">
        <v>230</v>
      </c>
      <c r="B178" s="7">
        <v>180</v>
      </c>
      <c r="C178" s="13">
        <f>MIN(B178,'Task 2'!D178*11)</f>
        <v>62.333333333333336</v>
      </c>
      <c r="D178" s="13">
        <f>MIN(B178-C178,'Task 2'!D178*6)</f>
        <v>34</v>
      </c>
      <c r="E178" s="13">
        <f t="shared" si="2"/>
        <v>83.666666666666657</v>
      </c>
      <c r="F178" s="7" t="s">
        <v>843</v>
      </c>
    </row>
    <row r="179" spans="1:6" x14ac:dyDescent="0.3">
      <c r="A179" s="7" t="s">
        <v>231</v>
      </c>
      <c r="B179" s="7">
        <v>540</v>
      </c>
      <c r="C179" s="13">
        <f>MIN(B179,'Task 2'!D179*11)</f>
        <v>96.433333333333337</v>
      </c>
      <c r="D179" s="13">
        <f>MIN(B179-C179,'Task 2'!D179*6)</f>
        <v>52.600000000000009</v>
      </c>
      <c r="E179" s="13">
        <f t="shared" si="2"/>
        <v>390.96666666666664</v>
      </c>
      <c r="F179" s="7" t="s">
        <v>843</v>
      </c>
    </row>
    <row r="180" spans="1:6" x14ac:dyDescent="0.3">
      <c r="A180" s="7" t="s">
        <v>232</v>
      </c>
      <c r="B180" s="7">
        <v>540</v>
      </c>
      <c r="C180" s="13">
        <f>MIN(B180,'Task 2'!D180*11)</f>
        <v>111.46666666666667</v>
      </c>
      <c r="D180" s="13">
        <f>MIN(B180-C180,'Task 2'!D180*6)</f>
        <v>60.8</v>
      </c>
      <c r="E180" s="13">
        <f t="shared" si="2"/>
        <v>367.73333333333329</v>
      </c>
      <c r="F180" s="7" t="s">
        <v>843</v>
      </c>
    </row>
    <row r="181" spans="1:6" x14ac:dyDescent="0.3">
      <c r="A181" s="7" t="s">
        <v>233</v>
      </c>
      <c r="B181" s="7">
        <v>270</v>
      </c>
      <c r="C181" s="13">
        <f>MIN(B181,'Task 2'!D181*11)</f>
        <v>53.899999999999991</v>
      </c>
      <c r="D181" s="13">
        <f>MIN(B181-C181,'Task 2'!D181*6)</f>
        <v>29.4</v>
      </c>
      <c r="E181" s="13">
        <f t="shared" si="2"/>
        <v>186.70000000000002</v>
      </c>
      <c r="F181" s="7" t="s">
        <v>843</v>
      </c>
    </row>
    <row r="182" spans="1:6" x14ac:dyDescent="0.3">
      <c r="A182" s="7" t="s">
        <v>234</v>
      </c>
      <c r="B182" s="7">
        <v>270</v>
      </c>
      <c r="C182" s="13">
        <f>MIN(B182,'Task 2'!D182*11)</f>
        <v>32.633333333333333</v>
      </c>
      <c r="D182" s="13">
        <f>MIN(B182-C182,'Task 2'!D182*6)</f>
        <v>17.8</v>
      </c>
      <c r="E182" s="13">
        <f t="shared" si="2"/>
        <v>219.56666666666666</v>
      </c>
      <c r="F182" s="7" t="s">
        <v>843</v>
      </c>
    </row>
    <row r="183" spans="1:6" x14ac:dyDescent="0.3">
      <c r="A183" s="7" t="s">
        <v>235</v>
      </c>
      <c r="B183" s="7">
        <v>360</v>
      </c>
      <c r="C183" s="13">
        <f>MIN(B183,'Task 2'!D183*11)</f>
        <v>94.6</v>
      </c>
      <c r="D183" s="13">
        <f>MIN(B183-C183,'Task 2'!D183*6)</f>
        <v>51.599999999999994</v>
      </c>
      <c r="E183" s="13">
        <f t="shared" si="2"/>
        <v>213.79999999999998</v>
      </c>
      <c r="F183" s="7" t="s">
        <v>843</v>
      </c>
    </row>
    <row r="184" spans="1:6" x14ac:dyDescent="0.3">
      <c r="A184" s="7" t="s">
        <v>236</v>
      </c>
      <c r="B184" s="7">
        <v>1080</v>
      </c>
      <c r="C184" s="13">
        <f>MIN(B184,'Task 2'!D184*11)</f>
        <v>50.600000000000009</v>
      </c>
      <c r="D184" s="13">
        <f>MIN(B184-C184,'Task 2'!D184*6)</f>
        <v>27.6</v>
      </c>
      <c r="E184" s="13">
        <f t="shared" si="2"/>
        <v>1001.8000000000001</v>
      </c>
      <c r="F184" s="7" t="s">
        <v>843</v>
      </c>
    </row>
    <row r="185" spans="1:6" x14ac:dyDescent="0.3">
      <c r="A185" s="7" t="s">
        <v>237</v>
      </c>
      <c r="B185" s="7">
        <v>810</v>
      </c>
      <c r="C185" s="13">
        <f>MIN(B185,'Task 2'!D185*11)</f>
        <v>115.49999999999999</v>
      </c>
      <c r="D185" s="13">
        <f>MIN(B185-C185,'Task 2'!D185*6)</f>
        <v>62.999999999999986</v>
      </c>
      <c r="E185" s="13">
        <f t="shared" si="2"/>
        <v>631.5</v>
      </c>
      <c r="F185" s="7" t="s">
        <v>843</v>
      </c>
    </row>
    <row r="186" spans="1:6" x14ac:dyDescent="0.3">
      <c r="A186" s="7" t="s">
        <v>238</v>
      </c>
      <c r="B186" s="7">
        <v>540</v>
      </c>
      <c r="C186" s="13">
        <f>MIN(B186,'Task 2'!D186*11)</f>
        <v>104.86666666666666</v>
      </c>
      <c r="D186" s="13">
        <f>MIN(B186-C186,'Task 2'!D186*6)</f>
        <v>57.2</v>
      </c>
      <c r="E186" s="13">
        <f t="shared" si="2"/>
        <v>377.93333333333334</v>
      </c>
      <c r="F186" s="7" t="s">
        <v>843</v>
      </c>
    </row>
    <row r="187" spans="1:6" x14ac:dyDescent="0.3">
      <c r="A187" s="7" t="s">
        <v>239</v>
      </c>
      <c r="B187" s="7">
        <v>270</v>
      </c>
      <c r="C187" s="13">
        <f>MIN(B187,'Task 2'!D187*11)</f>
        <v>56.466666666666661</v>
      </c>
      <c r="D187" s="13">
        <f>MIN(B187-C187,'Task 2'!D187*6)</f>
        <v>30.799999999999997</v>
      </c>
      <c r="E187" s="13">
        <f t="shared" si="2"/>
        <v>182.73333333333335</v>
      </c>
      <c r="F187" s="7" t="s">
        <v>843</v>
      </c>
    </row>
    <row r="188" spans="1:6" x14ac:dyDescent="0.3">
      <c r="A188" s="7" t="s">
        <v>240</v>
      </c>
      <c r="B188" s="7">
        <v>540</v>
      </c>
      <c r="C188" s="13">
        <f>MIN(B188,'Task 2'!D188*11)</f>
        <v>83.966666666666669</v>
      </c>
      <c r="D188" s="13">
        <f>MIN(B188-C188,'Task 2'!D188*6)</f>
        <v>45.8</v>
      </c>
      <c r="E188" s="13">
        <f t="shared" si="2"/>
        <v>410.23333333333329</v>
      </c>
      <c r="F188" s="7" t="s">
        <v>843</v>
      </c>
    </row>
    <row r="189" spans="1:6" x14ac:dyDescent="0.3">
      <c r="A189" s="7" t="s">
        <v>241</v>
      </c>
      <c r="B189" s="7">
        <v>540</v>
      </c>
      <c r="C189" s="13">
        <f>MIN(B189,'Task 2'!D189*11)</f>
        <v>142.26666666666665</v>
      </c>
      <c r="D189" s="13">
        <f>MIN(B189-C189,'Task 2'!D189*6)</f>
        <v>77.599999999999994</v>
      </c>
      <c r="E189" s="13">
        <f t="shared" si="2"/>
        <v>320.13333333333333</v>
      </c>
      <c r="F189" s="7" t="s">
        <v>843</v>
      </c>
    </row>
    <row r="190" spans="1:6" x14ac:dyDescent="0.3">
      <c r="A190" s="7" t="s">
        <v>242</v>
      </c>
      <c r="B190" s="7">
        <v>2880</v>
      </c>
      <c r="C190" s="13">
        <f>MIN(B190,'Task 2'!D190*11)</f>
        <v>68.566666666666677</v>
      </c>
      <c r="D190" s="13">
        <f>MIN(B190-C190,'Task 2'!D190*6)</f>
        <v>37.400000000000006</v>
      </c>
      <c r="E190" s="13">
        <f t="shared" si="2"/>
        <v>2774.0333333333333</v>
      </c>
      <c r="F190" s="7" t="s">
        <v>843</v>
      </c>
    </row>
    <row r="191" spans="1:6" x14ac:dyDescent="0.3">
      <c r="A191" s="7" t="s">
        <v>243</v>
      </c>
      <c r="B191" s="7">
        <v>810</v>
      </c>
      <c r="C191" s="13">
        <f>MIN(B191,'Task 2'!D191*11)</f>
        <v>99.733333333333348</v>
      </c>
      <c r="D191" s="13">
        <f>MIN(B191-C191,'Task 2'!D191*6)</f>
        <v>54.400000000000006</v>
      </c>
      <c r="E191" s="13">
        <f t="shared" si="2"/>
        <v>655.86666666666667</v>
      </c>
      <c r="F191" s="7" t="s">
        <v>843</v>
      </c>
    </row>
    <row r="192" spans="1:6" x14ac:dyDescent="0.3">
      <c r="A192" s="7" t="s">
        <v>244</v>
      </c>
      <c r="B192" s="7">
        <v>270</v>
      </c>
      <c r="C192" s="13">
        <f>MIN(B192,'Task 2'!D192*11)</f>
        <v>57.2</v>
      </c>
      <c r="D192" s="13">
        <f>MIN(B192-C192,'Task 2'!D192*6)</f>
        <v>31.200000000000003</v>
      </c>
      <c r="E192" s="13">
        <f t="shared" si="2"/>
        <v>181.60000000000002</v>
      </c>
      <c r="F192" s="7" t="s">
        <v>843</v>
      </c>
    </row>
    <row r="193" spans="1:6" x14ac:dyDescent="0.3">
      <c r="A193" s="7" t="s">
        <v>245</v>
      </c>
      <c r="B193" s="7">
        <v>270</v>
      </c>
      <c r="C193" s="13">
        <f>MIN(B193,'Task 2'!D193*11)</f>
        <v>34.466666666666669</v>
      </c>
      <c r="D193" s="13">
        <f>MIN(B193-C193,'Task 2'!D193*6)</f>
        <v>18.8</v>
      </c>
      <c r="E193" s="13">
        <f t="shared" si="2"/>
        <v>216.73333333333332</v>
      </c>
      <c r="F193" s="7" t="s">
        <v>843</v>
      </c>
    </row>
    <row r="194" spans="1:6" x14ac:dyDescent="0.3">
      <c r="A194" s="7" t="s">
        <v>246</v>
      </c>
      <c r="B194" s="7">
        <v>360</v>
      </c>
      <c r="C194" s="13">
        <f>MIN(B194,'Task 2'!D194*11)</f>
        <v>67.833333333333343</v>
      </c>
      <c r="D194" s="13">
        <f>MIN(B194-C194,'Task 2'!D194*6)</f>
        <v>37</v>
      </c>
      <c r="E194" s="13">
        <f t="shared" si="2"/>
        <v>255.16666666666663</v>
      </c>
      <c r="F194" s="7" t="s">
        <v>843</v>
      </c>
    </row>
    <row r="195" spans="1:6" x14ac:dyDescent="0.3">
      <c r="A195" s="7" t="s">
        <v>247</v>
      </c>
      <c r="B195" s="7">
        <v>1440</v>
      </c>
      <c r="C195" s="13">
        <f>MIN(B195,'Task 2'!D195*11)</f>
        <v>36.300000000000004</v>
      </c>
      <c r="D195" s="13">
        <f>MIN(B195-C195,'Task 2'!D195*6)</f>
        <v>19.8</v>
      </c>
      <c r="E195" s="13">
        <f t="shared" ref="E195:E258" si="3">B195-C195-D195</f>
        <v>1383.9</v>
      </c>
      <c r="F195" s="7" t="s">
        <v>843</v>
      </c>
    </row>
    <row r="196" spans="1:6" x14ac:dyDescent="0.3">
      <c r="A196" s="7" t="s">
        <v>248</v>
      </c>
      <c r="B196" s="7">
        <v>540</v>
      </c>
      <c r="C196" s="13">
        <f>MIN(B196,'Task 2'!D196*11)</f>
        <v>67.833333333333343</v>
      </c>
      <c r="D196" s="13">
        <f>MIN(B196-C196,'Task 2'!D196*6)</f>
        <v>37</v>
      </c>
      <c r="E196" s="13">
        <f t="shared" si="3"/>
        <v>435.16666666666663</v>
      </c>
      <c r="F196" s="7" t="s">
        <v>843</v>
      </c>
    </row>
    <row r="197" spans="1:6" x14ac:dyDescent="0.3">
      <c r="A197" s="7" t="s">
        <v>249</v>
      </c>
      <c r="B197" s="7">
        <v>360</v>
      </c>
      <c r="C197" s="13">
        <f>MIN(B197,'Task 2'!D197*11)</f>
        <v>68.566666666666663</v>
      </c>
      <c r="D197" s="13">
        <f>MIN(B197-C197,'Task 2'!D197*6)</f>
        <v>37.4</v>
      </c>
      <c r="E197" s="13">
        <f t="shared" si="3"/>
        <v>254.03333333333333</v>
      </c>
      <c r="F197" s="7" t="s">
        <v>843</v>
      </c>
    </row>
    <row r="198" spans="1:6" x14ac:dyDescent="0.3">
      <c r="A198" s="7" t="s">
        <v>250</v>
      </c>
      <c r="B198" s="7">
        <v>270</v>
      </c>
      <c r="C198" s="13">
        <f>MIN(B198,'Task 2'!D198*11)</f>
        <v>55.733333333333334</v>
      </c>
      <c r="D198" s="13">
        <f>MIN(B198-C198,'Task 2'!D198*6)</f>
        <v>30.4</v>
      </c>
      <c r="E198" s="13">
        <f t="shared" si="3"/>
        <v>183.86666666666665</v>
      </c>
      <c r="F198" s="7" t="s">
        <v>843</v>
      </c>
    </row>
    <row r="199" spans="1:6" x14ac:dyDescent="0.3">
      <c r="A199" s="7" t="s">
        <v>251</v>
      </c>
      <c r="B199" s="7">
        <v>540</v>
      </c>
      <c r="C199" s="13">
        <f>MIN(B199,'Task 2'!D199*11)</f>
        <v>65.633333333333326</v>
      </c>
      <c r="D199" s="13">
        <f>MIN(B199-C199,'Task 2'!D199*6)</f>
        <v>35.799999999999997</v>
      </c>
      <c r="E199" s="13">
        <f t="shared" si="3"/>
        <v>438.56666666666666</v>
      </c>
      <c r="F199" s="7" t="s">
        <v>843</v>
      </c>
    </row>
    <row r="200" spans="1:6" x14ac:dyDescent="0.3">
      <c r="A200" s="7" t="s">
        <v>252</v>
      </c>
      <c r="B200" s="7">
        <v>270</v>
      </c>
      <c r="C200" s="13">
        <f>MIN(B200,'Task 2'!D200*11)</f>
        <v>55.366666666666667</v>
      </c>
      <c r="D200" s="13">
        <f>MIN(B200-C200,'Task 2'!D200*6)</f>
        <v>30.2</v>
      </c>
      <c r="E200" s="13">
        <f t="shared" si="3"/>
        <v>184.43333333333334</v>
      </c>
      <c r="F200" s="7" t="s">
        <v>843</v>
      </c>
    </row>
    <row r="201" spans="1:6" x14ac:dyDescent="0.3">
      <c r="A201" s="7" t="s">
        <v>253</v>
      </c>
      <c r="B201" s="7">
        <v>360</v>
      </c>
      <c r="C201" s="13">
        <f>MIN(B201,'Task 2'!D201*11)</f>
        <v>68.566666666666663</v>
      </c>
      <c r="D201" s="13">
        <f>MIN(B201-C201,'Task 2'!D201*6)</f>
        <v>37.4</v>
      </c>
      <c r="E201" s="13">
        <f t="shared" si="3"/>
        <v>254.03333333333333</v>
      </c>
      <c r="F201" s="7" t="s">
        <v>843</v>
      </c>
    </row>
    <row r="202" spans="1:6" x14ac:dyDescent="0.3">
      <c r="A202" s="7" t="s">
        <v>254</v>
      </c>
      <c r="B202" s="7">
        <v>540</v>
      </c>
      <c r="C202" s="13">
        <f>MIN(B202,'Task 2'!D202*11)</f>
        <v>85.433333333333323</v>
      </c>
      <c r="D202" s="13">
        <f>MIN(B202-C202,'Task 2'!D202*6)</f>
        <v>46.599999999999994</v>
      </c>
      <c r="E202" s="13">
        <f t="shared" si="3"/>
        <v>407.9666666666667</v>
      </c>
      <c r="F202" s="7" t="s">
        <v>843</v>
      </c>
    </row>
    <row r="203" spans="1:6" x14ac:dyDescent="0.3">
      <c r="A203" s="7" t="s">
        <v>255</v>
      </c>
      <c r="B203" s="7">
        <v>540</v>
      </c>
      <c r="C203" s="13">
        <f>MIN(B203,'Task 2'!D203*11)</f>
        <v>92.766666666666666</v>
      </c>
      <c r="D203" s="13">
        <f>MIN(B203-C203,'Task 2'!D203*6)</f>
        <v>50.6</v>
      </c>
      <c r="E203" s="13">
        <f t="shared" si="3"/>
        <v>396.63333333333333</v>
      </c>
      <c r="F203" s="7" t="s">
        <v>843</v>
      </c>
    </row>
    <row r="204" spans="1:6" x14ac:dyDescent="0.3">
      <c r="A204" s="7" t="s">
        <v>256</v>
      </c>
      <c r="B204" s="7">
        <v>360</v>
      </c>
      <c r="C204" s="13">
        <f>MIN(B204,'Task 2'!D204*11)</f>
        <v>88.36666666666666</v>
      </c>
      <c r="D204" s="13">
        <f>MIN(B204-C204,'Task 2'!D204*6)</f>
        <v>48.2</v>
      </c>
      <c r="E204" s="13">
        <f t="shared" si="3"/>
        <v>223.43333333333334</v>
      </c>
      <c r="F204" s="7" t="s">
        <v>843</v>
      </c>
    </row>
    <row r="205" spans="1:6" x14ac:dyDescent="0.3">
      <c r="A205" s="7" t="s">
        <v>257</v>
      </c>
      <c r="B205" s="7">
        <v>1080</v>
      </c>
      <c r="C205" s="13">
        <f>MIN(B205,'Task 2'!D205*11)</f>
        <v>38.866666666666667</v>
      </c>
      <c r="D205" s="13">
        <f>MIN(B205-C205,'Task 2'!D205*6)</f>
        <v>21.200000000000003</v>
      </c>
      <c r="E205" s="13">
        <f t="shared" si="3"/>
        <v>1019.9333333333334</v>
      </c>
      <c r="F205" s="7" t="s">
        <v>843</v>
      </c>
    </row>
    <row r="206" spans="1:6" x14ac:dyDescent="0.3">
      <c r="A206" s="7" t="s">
        <v>258</v>
      </c>
      <c r="B206" s="7">
        <v>540</v>
      </c>
      <c r="C206" s="13">
        <f>MIN(B206,'Task 2'!D206*11)</f>
        <v>110.36666666666666</v>
      </c>
      <c r="D206" s="13">
        <f>MIN(B206-C206,'Task 2'!D206*6)</f>
        <v>60.2</v>
      </c>
      <c r="E206" s="13">
        <f t="shared" si="3"/>
        <v>369.43333333333334</v>
      </c>
      <c r="F206" s="7" t="s">
        <v>843</v>
      </c>
    </row>
    <row r="207" spans="1:6" x14ac:dyDescent="0.3">
      <c r="A207" s="7" t="s">
        <v>259</v>
      </c>
      <c r="B207" s="7">
        <v>180</v>
      </c>
      <c r="C207" s="13">
        <f>MIN(B207,'Task 2'!D207*11)</f>
        <v>45.100000000000009</v>
      </c>
      <c r="D207" s="13">
        <f>MIN(B207-C207,'Task 2'!D207*6)</f>
        <v>24.6</v>
      </c>
      <c r="E207" s="13">
        <f t="shared" si="3"/>
        <v>110.29999999999998</v>
      </c>
      <c r="F207" s="7" t="s">
        <v>843</v>
      </c>
    </row>
    <row r="208" spans="1:6" x14ac:dyDescent="0.3">
      <c r="A208" s="7" t="s">
        <v>260</v>
      </c>
      <c r="B208" s="7">
        <v>270</v>
      </c>
      <c r="C208" s="13">
        <f>MIN(B208,'Task 2'!D208*11)</f>
        <v>35.566666666666663</v>
      </c>
      <c r="D208" s="13">
        <f>MIN(B208-C208,'Task 2'!D208*6)</f>
        <v>19.399999999999999</v>
      </c>
      <c r="E208" s="13">
        <f t="shared" si="3"/>
        <v>215.03333333333333</v>
      </c>
      <c r="F208" s="7" t="s">
        <v>843</v>
      </c>
    </row>
    <row r="209" spans="1:6" x14ac:dyDescent="0.3">
      <c r="A209" s="7" t="s">
        <v>261</v>
      </c>
      <c r="B209" s="7">
        <v>270</v>
      </c>
      <c r="C209" s="13">
        <f>MIN(B209,'Task 2'!D209*11)</f>
        <v>61.233333333333341</v>
      </c>
      <c r="D209" s="13">
        <f>MIN(B209-C209,'Task 2'!D209*6)</f>
        <v>33.400000000000006</v>
      </c>
      <c r="E209" s="13">
        <f t="shared" si="3"/>
        <v>175.36666666666665</v>
      </c>
      <c r="F209" s="7" t="s">
        <v>843</v>
      </c>
    </row>
    <row r="210" spans="1:6" x14ac:dyDescent="0.3">
      <c r="A210" s="7" t="s">
        <v>262</v>
      </c>
      <c r="B210" s="7">
        <v>1440</v>
      </c>
      <c r="C210" s="13">
        <f>MIN(B210,'Task 2'!D210*11)</f>
        <v>48.033333333333331</v>
      </c>
      <c r="D210" s="13">
        <f>MIN(B210-C210,'Task 2'!D210*6)</f>
        <v>26.199999999999996</v>
      </c>
      <c r="E210" s="13">
        <f t="shared" si="3"/>
        <v>1365.7666666666667</v>
      </c>
      <c r="F210" s="7" t="s">
        <v>843</v>
      </c>
    </row>
    <row r="211" spans="1:6" x14ac:dyDescent="0.3">
      <c r="A211" s="7" t="s">
        <v>263</v>
      </c>
      <c r="B211" s="7">
        <v>180</v>
      </c>
      <c r="C211" s="13">
        <f>MIN(B211,'Task 2'!D211*11)</f>
        <v>56.833333333333336</v>
      </c>
      <c r="D211" s="13">
        <f>MIN(B211-C211,'Task 2'!D211*6)</f>
        <v>31</v>
      </c>
      <c r="E211" s="13">
        <f t="shared" si="3"/>
        <v>92.166666666666657</v>
      </c>
      <c r="F211" s="7" t="s">
        <v>843</v>
      </c>
    </row>
    <row r="212" spans="1:6" x14ac:dyDescent="0.3">
      <c r="A212" s="7" t="s">
        <v>264</v>
      </c>
      <c r="B212" s="7">
        <v>1080</v>
      </c>
      <c r="C212" s="13">
        <f>MIN(B212,'Task 2'!D212*11)</f>
        <v>33.366666666666667</v>
      </c>
      <c r="D212" s="13">
        <f>MIN(B212-C212,'Task 2'!D212*6)</f>
        <v>18.2</v>
      </c>
      <c r="E212" s="13">
        <f t="shared" si="3"/>
        <v>1028.4333333333334</v>
      </c>
      <c r="F212" s="7" t="s">
        <v>843</v>
      </c>
    </row>
    <row r="213" spans="1:6" x14ac:dyDescent="0.3">
      <c r="A213" s="7" t="s">
        <v>265</v>
      </c>
      <c r="B213" s="7">
        <v>270</v>
      </c>
      <c r="C213" s="13">
        <f>MIN(B213,'Task 2'!D213*11)</f>
        <v>28.233333333333334</v>
      </c>
      <c r="D213" s="13">
        <f>MIN(B213-C213,'Task 2'!D213*6)</f>
        <v>15.400000000000002</v>
      </c>
      <c r="E213" s="13">
        <f t="shared" si="3"/>
        <v>226.36666666666665</v>
      </c>
      <c r="F213" s="7" t="s">
        <v>843</v>
      </c>
    </row>
    <row r="214" spans="1:6" x14ac:dyDescent="0.3">
      <c r="A214" s="7" t="s">
        <v>266</v>
      </c>
      <c r="B214" s="7">
        <v>180</v>
      </c>
      <c r="C214" s="13">
        <f>MIN(B214,'Task 2'!D214*11)</f>
        <v>59.399999999999991</v>
      </c>
      <c r="D214" s="13">
        <f>MIN(B214-C214,'Task 2'!D214*6)</f>
        <v>32.4</v>
      </c>
      <c r="E214" s="13">
        <f t="shared" si="3"/>
        <v>88.200000000000017</v>
      </c>
      <c r="F214" s="7" t="s">
        <v>843</v>
      </c>
    </row>
    <row r="215" spans="1:6" x14ac:dyDescent="0.3">
      <c r="A215" s="7" t="s">
        <v>267</v>
      </c>
      <c r="B215" s="7">
        <v>1440</v>
      </c>
      <c r="C215" s="13">
        <f>MIN(B215,'Task 2'!D215*11)</f>
        <v>43.633333333333333</v>
      </c>
      <c r="D215" s="13">
        <f>MIN(B215-C215,'Task 2'!D215*6)</f>
        <v>23.8</v>
      </c>
      <c r="E215" s="13">
        <f t="shared" si="3"/>
        <v>1372.5666666666666</v>
      </c>
      <c r="F215" s="7" t="s">
        <v>843</v>
      </c>
    </row>
    <row r="216" spans="1:6" x14ac:dyDescent="0.3">
      <c r="A216" s="7" t="s">
        <v>268</v>
      </c>
      <c r="B216" s="7">
        <v>540</v>
      </c>
      <c r="C216" s="13">
        <f>MIN(B216,'Task 2'!D216*11)</f>
        <v>138.6</v>
      </c>
      <c r="D216" s="13">
        <f>MIN(B216-C216,'Task 2'!D216*6)</f>
        <v>75.599999999999994</v>
      </c>
      <c r="E216" s="13">
        <f t="shared" si="3"/>
        <v>325.79999999999995</v>
      </c>
      <c r="F216" s="7" t="s">
        <v>843</v>
      </c>
    </row>
    <row r="217" spans="1:6" x14ac:dyDescent="0.3">
      <c r="A217" s="7" t="s">
        <v>269</v>
      </c>
      <c r="B217" s="7">
        <v>540</v>
      </c>
      <c r="C217" s="13">
        <f>MIN(B217,'Task 2'!D217*11)</f>
        <v>96.066666666666677</v>
      </c>
      <c r="D217" s="13">
        <f>MIN(B217-C217,'Task 2'!D217*6)</f>
        <v>52.400000000000006</v>
      </c>
      <c r="E217" s="13">
        <f t="shared" si="3"/>
        <v>391.5333333333333</v>
      </c>
      <c r="F217" s="7" t="s">
        <v>843</v>
      </c>
    </row>
    <row r="218" spans="1:6" x14ac:dyDescent="0.3">
      <c r="A218" s="7" t="s">
        <v>270</v>
      </c>
      <c r="B218" s="7">
        <v>540</v>
      </c>
      <c r="C218" s="13">
        <f>MIN(B218,'Task 2'!D218*11)</f>
        <v>83.233333333333334</v>
      </c>
      <c r="D218" s="13">
        <f>MIN(B218-C218,'Task 2'!D218*6)</f>
        <v>45.4</v>
      </c>
      <c r="E218" s="13">
        <f t="shared" si="3"/>
        <v>411.36666666666667</v>
      </c>
      <c r="F218" s="7" t="s">
        <v>843</v>
      </c>
    </row>
    <row r="219" spans="1:6" x14ac:dyDescent="0.3">
      <c r="A219" s="7" t="s">
        <v>271</v>
      </c>
      <c r="B219" s="7">
        <v>540</v>
      </c>
      <c r="C219" s="13">
        <f>MIN(B219,'Task 2'!D219*11)</f>
        <v>71.5</v>
      </c>
      <c r="D219" s="13">
        <f>MIN(B219-C219,'Task 2'!D219*6)</f>
        <v>39</v>
      </c>
      <c r="E219" s="13">
        <f t="shared" si="3"/>
        <v>429.5</v>
      </c>
      <c r="F219" s="7" t="s">
        <v>843</v>
      </c>
    </row>
    <row r="220" spans="1:6" x14ac:dyDescent="0.3">
      <c r="A220" s="7" t="s">
        <v>272</v>
      </c>
      <c r="B220" s="7">
        <v>270</v>
      </c>
      <c r="C220" s="13">
        <f>MIN(B220,'Task 2'!D220*11)</f>
        <v>32.266666666666666</v>
      </c>
      <c r="D220" s="13">
        <f>MIN(B220-C220,'Task 2'!D220*6)</f>
        <v>17.600000000000001</v>
      </c>
      <c r="E220" s="13">
        <f t="shared" si="3"/>
        <v>220.13333333333335</v>
      </c>
      <c r="F220" s="7" t="s">
        <v>843</v>
      </c>
    </row>
    <row r="221" spans="1:6" x14ac:dyDescent="0.3">
      <c r="A221" s="7" t="s">
        <v>273</v>
      </c>
      <c r="B221" s="7">
        <v>540</v>
      </c>
      <c r="C221" s="13">
        <f>MIN(B221,'Task 2'!D221*11)</f>
        <v>75.90000000000002</v>
      </c>
      <c r="D221" s="13">
        <f>MIN(B221-C221,'Task 2'!D221*6)</f>
        <v>41.400000000000006</v>
      </c>
      <c r="E221" s="13">
        <f t="shared" si="3"/>
        <v>422.69999999999993</v>
      </c>
      <c r="F221" s="7" t="s">
        <v>843</v>
      </c>
    </row>
    <row r="222" spans="1:6" x14ac:dyDescent="0.3">
      <c r="A222" s="7" t="s">
        <v>274</v>
      </c>
      <c r="B222" s="7">
        <v>180</v>
      </c>
      <c r="C222" s="13">
        <f>MIN(B222,'Task 2'!D222*11)</f>
        <v>56.099999999999994</v>
      </c>
      <c r="D222" s="13">
        <f>MIN(B222-C222,'Task 2'!D222*6)</f>
        <v>30.599999999999998</v>
      </c>
      <c r="E222" s="13">
        <f t="shared" si="3"/>
        <v>93.300000000000011</v>
      </c>
      <c r="F222" s="7" t="s">
        <v>843</v>
      </c>
    </row>
    <row r="223" spans="1:6" x14ac:dyDescent="0.3">
      <c r="A223" s="7" t="s">
        <v>275</v>
      </c>
      <c r="B223" s="7">
        <v>270</v>
      </c>
      <c r="C223" s="13">
        <f>MIN(B223,'Task 2'!D223*11)</f>
        <v>50.966666666666661</v>
      </c>
      <c r="D223" s="13">
        <f>MIN(B223-C223,'Task 2'!D223*6)</f>
        <v>27.799999999999997</v>
      </c>
      <c r="E223" s="13">
        <f t="shared" si="3"/>
        <v>191.23333333333335</v>
      </c>
      <c r="F223" s="7" t="s">
        <v>843</v>
      </c>
    </row>
    <row r="224" spans="1:6" x14ac:dyDescent="0.3">
      <c r="A224" s="7" t="s">
        <v>276</v>
      </c>
      <c r="B224" s="7">
        <v>1080</v>
      </c>
      <c r="C224" s="13">
        <f>MIN(B224,'Task 2'!D224*11)</f>
        <v>32.633333333333333</v>
      </c>
      <c r="D224" s="13">
        <f>MIN(B224-C224,'Task 2'!D224*6)</f>
        <v>17.8</v>
      </c>
      <c r="E224" s="13">
        <f t="shared" si="3"/>
        <v>1029.5666666666666</v>
      </c>
      <c r="F224" s="7" t="s">
        <v>843</v>
      </c>
    </row>
    <row r="225" spans="1:6" x14ac:dyDescent="0.3">
      <c r="A225" s="7" t="s">
        <v>277</v>
      </c>
      <c r="B225" s="7">
        <v>540</v>
      </c>
      <c r="C225" s="13">
        <f>MIN(B225,'Task 2'!D225*11)</f>
        <v>98.266666666666652</v>
      </c>
      <c r="D225" s="13">
        <f>MIN(B225-C225,'Task 2'!D225*6)</f>
        <v>53.599999999999994</v>
      </c>
      <c r="E225" s="13">
        <f t="shared" si="3"/>
        <v>388.13333333333333</v>
      </c>
      <c r="F225" s="7" t="s">
        <v>843</v>
      </c>
    </row>
    <row r="226" spans="1:6" x14ac:dyDescent="0.3">
      <c r="A226" s="7" t="s">
        <v>278</v>
      </c>
      <c r="B226" s="7">
        <v>180</v>
      </c>
      <c r="C226" s="13">
        <f>MIN(B226,'Task 2'!D226*11)</f>
        <v>63.43333333333333</v>
      </c>
      <c r="D226" s="13">
        <f>MIN(B226-C226,'Task 2'!D226*6)</f>
        <v>34.6</v>
      </c>
      <c r="E226" s="13">
        <f t="shared" si="3"/>
        <v>81.966666666666669</v>
      </c>
      <c r="F226" s="7" t="s">
        <v>843</v>
      </c>
    </row>
    <row r="227" spans="1:6" x14ac:dyDescent="0.3">
      <c r="A227" s="7" t="s">
        <v>279</v>
      </c>
      <c r="B227" s="7">
        <v>180</v>
      </c>
      <c r="C227" s="13">
        <f>MIN(B227,'Task 2'!D227*11)</f>
        <v>57.93333333333333</v>
      </c>
      <c r="D227" s="13">
        <f>MIN(B227-C227,'Task 2'!D227*6)</f>
        <v>31.6</v>
      </c>
      <c r="E227" s="13">
        <f t="shared" si="3"/>
        <v>90.466666666666669</v>
      </c>
      <c r="F227" s="7" t="s">
        <v>843</v>
      </c>
    </row>
    <row r="228" spans="1:6" x14ac:dyDescent="0.3">
      <c r="A228" s="7" t="s">
        <v>280</v>
      </c>
      <c r="B228" s="7">
        <v>810</v>
      </c>
      <c r="C228" s="13">
        <f>MIN(B228,'Task 2'!D228*11)</f>
        <v>89.466666666666669</v>
      </c>
      <c r="D228" s="13">
        <f>MIN(B228-C228,'Task 2'!D228*6)</f>
        <v>48.8</v>
      </c>
      <c r="E228" s="13">
        <f t="shared" si="3"/>
        <v>671.73333333333335</v>
      </c>
      <c r="F228" s="7" t="s">
        <v>843</v>
      </c>
    </row>
    <row r="229" spans="1:6" x14ac:dyDescent="0.3">
      <c r="A229" s="7" t="s">
        <v>281</v>
      </c>
      <c r="B229" s="7">
        <v>180</v>
      </c>
      <c r="C229" s="13">
        <f>MIN(B229,'Task 2'!D229*11)</f>
        <v>59.033333333333339</v>
      </c>
      <c r="D229" s="13">
        <f>MIN(B229-C229,'Task 2'!D229*6)</f>
        <v>32.200000000000003</v>
      </c>
      <c r="E229" s="13">
        <f t="shared" si="3"/>
        <v>88.766666666666666</v>
      </c>
      <c r="F229" s="7" t="s">
        <v>843</v>
      </c>
    </row>
    <row r="230" spans="1:6" x14ac:dyDescent="0.3">
      <c r="A230" s="7" t="s">
        <v>282</v>
      </c>
      <c r="B230" s="7">
        <v>270</v>
      </c>
      <c r="C230" s="13">
        <f>MIN(B230,'Task 2'!D230*11)</f>
        <v>49.866666666666674</v>
      </c>
      <c r="D230" s="13">
        <f>MIN(B230-C230,'Task 2'!D230*6)</f>
        <v>27.200000000000003</v>
      </c>
      <c r="E230" s="13">
        <f t="shared" si="3"/>
        <v>192.93333333333334</v>
      </c>
      <c r="F230" s="7" t="s">
        <v>843</v>
      </c>
    </row>
    <row r="231" spans="1:6" x14ac:dyDescent="0.3">
      <c r="A231" s="7" t="s">
        <v>283</v>
      </c>
      <c r="B231" s="7">
        <v>270</v>
      </c>
      <c r="C231" s="13">
        <f>MIN(B231,'Task 2'!D231*11)</f>
        <v>58.3</v>
      </c>
      <c r="D231" s="13">
        <f>MIN(B231-C231,'Task 2'!D231*6)</f>
        <v>31.799999999999997</v>
      </c>
      <c r="E231" s="13">
        <f t="shared" si="3"/>
        <v>179.89999999999998</v>
      </c>
      <c r="F231" s="7" t="s">
        <v>843</v>
      </c>
    </row>
    <row r="232" spans="1:6" x14ac:dyDescent="0.3">
      <c r="A232" s="7" t="s">
        <v>284</v>
      </c>
      <c r="B232" s="7">
        <v>270</v>
      </c>
      <c r="C232" s="13">
        <f>MIN(B232,'Task 2'!D232*11)</f>
        <v>43.266666666666666</v>
      </c>
      <c r="D232" s="13">
        <f>MIN(B232-C232,'Task 2'!D232*6)</f>
        <v>23.6</v>
      </c>
      <c r="E232" s="13">
        <f t="shared" si="3"/>
        <v>203.13333333333335</v>
      </c>
      <c r="F232" s="7" t="s">
        <v>843</v>
      </c>
    </row>
    <row r="233" spans="1:6" x14ac:dyDescent="0.3">
      <c r="A233" s="7" t="s">
        <v>285</v>
      </c>
      <c r="B233" s="7">
        <v>270</v>
      </c>
      <c r="C233" s="13">
        <f>MIN(B233,'Task 2'!D233*11)</f>
        <v>31.166666666666668</v>
      </c>
      <c r="D233" s="13">
        <f>MIN(B233-C233,'Task 2'!D233*6)</f>
        <v>17</v>
      </c>
      <c r="E233" s="13">
        <f t="shared" si="3"/>
        <v>221.83333333333334</v>
      </c>
      <c r="F233" s="7" t="s">
        <v>843</v>
      </c>
    </row>
    <row r="234" spans="1:6" x14ac:dyDescent="0.3">
      <c r="A234" s="7" t="s">
        <v>286</v>
      </c>
      <c r="B234" s="7">
        <v>1440</v>
      </c>
      <c r="C234" s="13">
        <f>MIN(B234,'Task 2'!D234*11)</f>
        <v>31.900000000000006</v>
      </c>
      <c r="D234" s="13">
        <f>MIN(B234-C234,'Task 2'!D234*6)</f>
        <v>17.400000000000002</v>
      </c>
      <c r="E234" s="13">
        <f t="shared" si="3"/>
        <v>1390.6999999999998</v>
      </c>
      <c r="F234" s="7" t="s">
        <v>843</v>
      </c>
    </row>
    <row r="235" spans="1:6" x14ac:dyDescent="0.3">
      <c r="A235" s="7" t="s">
        <v>287</v>
      </c>
      <c r="B235" s="7">
        <v>810</v>
      </c>
      <c r="C235" s="13">
        <f>MIN(B235,'Task 2'!D235*11)</f>
        <v>107.80000000000001</v>
      </c>
      <c r="D235" s="13">
        <f>MIN(B235-C235,'Task 2'!D235*6)</f>
        <v>58.800000000000004</v>
      </c>
      <c r="E235" s="13">
        <f t="shared" si="3"/>
        <v>643.40000000000009</v>
      </c>
      <c r="F235" s="7" t="s">
        <v>843</v>
      </c>
    </row>
    <row r="236" spans="1:6" x14ac:dyDescent="0.3">
      <c r="A236" s="7" t="s">
        <v>288</v>
      </c>
      <c r="B236" s="7">
        <v>1440</v>
      </c>
      <c r="C236" s="13">
        <f>MIN(B236,'Task 2'!D236*11)</f>
        <v>35.566666666666663</v>
      </c>
      <c r="D236" s="13">
        <f>MIN(B236-C236,'Task 2'!D236*6)</f>
        <v>19.399999999999999</v>
      </c>
      <c r="E236" s="13">
        <f t="shared" si="3"/>
        <v>1385.0333333333333</v>
      </c>
      <c r="F236" s="7" t="s">
        <v>843</v>
      </c>
    </row>
    <row r="237" spans="1:6" x14ac:dyDescent="0.3">
      <c r="A237" s="7" t="s">
        <v>289</v>
      </c>
      <c r="B237" s="7">
        <v>270</v>
      </c>
      <c r="C237" s="13">
        <f>MIN(B237,'Task 2'!D237*11)</f>
        <v>49.133333333333326</v>
      </c>
      <c r="D237" s="13">
        <f>MIN(B237-C237,'Task 2'!D237*6)</f>
        <v>26.799999999999997</v>
      </c>
      <c r="E237" s="13">
        <f t="shared" si="3"/>
        <v>194.06666666666666</v>
      </c>
      <c r="F237" s="7" t="s">
        <v>843</v>
      </c>
    </row>
    <row r="238" spans="1:6" x14ac:dyDescent="0.3">
      <c r="A238" s="7" t="s">
        <v>290</v>
      </c>
      <c r="B238" s="7">
        <v>1080</v>
      </c>
      <c r="C238" s="13">
        <f>MIN(B238,'Task 2'!D238*11)</f>
        <v>27.133333333333333</v>
      </c>
      <c r="D238" s="13">
        <f>MIN(B238-C238,'Task 2'!D238*6)</f>
        <v>14.8</v>
      </c>
      <c r="E238" s="13">
        <f t="shared" si="3"/>
        <v>1038.0666666666666</v>
      </c>
      <c r="F238" s="7" t="s">
        <v>843</v>
      </c>
    </row>
    <row r="239" spans="1:6" x14ac:dyDescent="0.3">
      <c r="A239" s="7" t="s">
        <v>291</v>
      </c>
      <c r="B239" s="7">
        <v>1080</v>
      </c>
      <c r="C239" s="13">
        <f>MIN(B239,'Task 2'!D239*11)</f>
        <v>27.866666666666671</v>
      </c>
      <c r="D239" s="13">
        <f>MIN(B239-C239,'Task 2'!D239*6)</f>
        <v>15.200000000000003</v>
      </c>
      <c r="E239" s="13">
        <f t="shared" si="3"/>
        <v>1036.9333333333334</v>
      </c>
      <c r="F239" s="7" t="s">
        <v>843</v>
      </c>
    </row>
    <row r="240" spans="1:6" x14ac:dyDescent="0.3">
      <c r="A240" s="7" t="s">
        <v>292</v>
      </c>
      <c r="B240" s="7">
        <v>1080</v>
      </c>
      <c r="C240" s="13">
        <f>MIN(B240,'Task 2'!D240*11)</f>
        <v>33.366666666666667</v>
      </c>
      <c r="D240" s="13">
        <f>MIN(B240-C240,'Task 2'!D240*6)</f>
        <v>18.2</v>
      </c>
      <c r="E240" s="13">
        <f t="shared" si="3"/>
        <v>1028.4333333333334</v>
      </c>
      <c r="F240" s="7" t="s">
        <v>843</v>
      </c>
    </row>
    <row r="241" spans="1:6" x14ac:dyDescent="0.3">
      <c r="A241" s="7" t="s">
        <v>293</v>
      </c>
      <c r="B241" s="7">
        <v>1080</v>
      </c>
      <c r="C241" s="13">
        <f>MIN(B241,'Task 2'!D241*11)</f>
        <v>22.733333333333334</v>
      </c>
      <c r="D241" s="13">
        <f>MIN(B241-C241,'Task 2'!D241*6)</f>
        <v>12.400000000000002</v>
      </c>
      <c r="E241" s="13">
        <f t="shared" si="3"/>
        <v>1044.8666666666666</v>
      </c>
      <c r="F241" s="7" t="s">
        <v>843</v>
      </c>
    </row>
    <row r="242" spans="1:6" x14ac:dyDescent="0.3">
      <c r="A242" s="7" t="s">
        <v>294</v>
      </c>
      <c r="B242" s="7">
        <v>270</v>
      </c>
      <c r="C242" s="13">
        <f>MIN(B242,'Task 2'!D242*11)</f>
        <v>27.5</v>
      </c>
      <c r="D242" s="13">
        <f>MIN(B242-C242,'Task 2'!D242*6)</f>
        <v>15</v>
      </c>
      <c r="E242" s="13">
        <f t="shared" si="3"/>
        <v>227.5</v>
      </c>
      <c r="F242" s="7" t="s">
        <v>843</v>
      </c>
    </row>
    <row r="243" spans="1:6" x14ac:dyDescent="0.3">
      <c r="A243" s="7" t="s">
        <v>295</v>
      </c>
      <c r="B243" s="7">
        <v>270</v>
      </c>
      <c r="C243" s="13">
        <f>MIN(B243,'Task 2'!D243*11)</f>
        <v>41.79999999999999</v>
      </c>
      <c r="D243" s="13">
        <f>MIN(B243-C243,'Task 2'!D243*6)</f>
        <v>22.799999999999997</v>
      </c>
      <c r="E243" s="13">
        <f t="shared" si="3"/>
        <v>205.40000000000003</v>
      </c>
      <c r="F243" s="7" t="s">
        <v>843</v>
      </c>
    </row>
    <row r="244" spans="1:6" x14ac:dyDescent="0.3">
      <c r="A244" s="7" t="s">
        <v>296</v>
      </c>
      <c r="B244" s="7">
        <v>360</v>
      </c>
      <c r="C244" s="13">
        <f>MIN(B244,'Task 2'!D244*11)</f>
        <v>58.3</v>
      </c>
      <c r="D244" s="13">
        <f>MIN(B244-C244,'Task 2'!D244*6)</f>
        <v>31.799999999999997</v>
      </c>
      <c r="E244" s="13">
        <f t="shared" si="3"/>
        <v>269.89999999999998</v>
      </c>
      <c r="F244" s="7" t="s">
        <v>843</v>
      </c>
    </row>
    <row r="245" spans="1:6" x14ac:dyDescent="0.3">
      <c r="A245" s="7" t="s">
        <v>297</v>
      </c>
      <c r="B245" s="7">
        <v>270</v>
      </c>
      <c r="C245" s="13">
        <f>MIN(B245,'Task 2'!D245*11)</f>
        <v>35.199999999999996</v>
      </c>
      <c r="D245" s="13">
        <f>MIN(B245-C245,'Task 2'!D245*6)</f>
        <v>19.2</v>
      </c>
      <c r="E245" s="13">
        <f t="shared" si="3"/>
        <v>215.60000000000002</v>
      </c>
      <c r="F245" s="7" t="s">
        <v>843</v>
      </c>
    </row>
    <row r="246" spans="1:6" x14ac:dyDescent="0.3">
      <c r="A246" s="7" t="s">
        <v>298</v>
      </c>
      <c r="B246" s="7">
        <v>270</v>
      </c>
      <c r="C246" s="13">
        <f>MIN(B246,'Task 2'!D246*11)</f>
        <v>39.233333333333334</v>
      </c>
      <c r="D246" s="13">
        <f>MIN(B246-C246,'Task 2'!D246*6)</f>
        <v>21.4</v>
      </c>
      <c r="E246" s="13">
        <f t="shared" si="3"/>
        <v>209.36666666666665</v>
      </c>
      <c r="F246" s="7" t="s">
        <v>843</v>
      </c>
    </row>
    <row r="247" spans="1:6" x14ac:dyDescent="0.3">
      <c r="A247" s="7" t="s">
        <v>299</v>
      </c>
      <c r="B247" s="7">
        <v>180</v>
      </c>
      <c r="C247" s="13">
        <f>MIN(B247,'Task 2'!D247*11)</f>
        <v>53.533333333333331</v>
      </c>
      <c r="D247" s="13">
        <f>MIN(B247-C247,'Task 2'!D247*6)</f>
        <v>29.199999999999996</v>
      </c>
      <c r="E247" s="13">
        <f t="shared" si="3"/>
        <v>97.26666666666668</v>
      </c>
      <c r="F247" s="7" t="s">
        <v>843</v>
      </c>
    </row>
    <row r="248" spans="1:6" x14ac:dyDescent="0.3">
      <c r="A248" s="7" t="s">
        <v>300</v>
      </c>
      <c r="B248" s="7">
        <v>540</v>
      </c>
      <c r="C248" s="13">
        <f>MIN(B248,'Task 2'!D248*11)</f>
        <v>66</v>
      </c>
      <c r="D248" s="13">
        <f>MIN(B248-C248,'Task 2'!D248*6)</f>
        <v>36</v>
      </c>
      <c r="E248" s="13">
        <f t="shared" si="3"/>
        <v>438</v>
      </c>
      <c r="F248" s="7" t="s">
        <v>843</v>
      </c>
    </row>
    <row r="249" spans="1:6" x14ac:dyDescent="0.3">
      <c r="A249" s="7" t="s">
        <v>301</v>
      </c>
      <c r="B249" s="7">
        <v>1080</v>
      </c>
      <c r="C249" s="13">
        <f>MIN(B249,'Task 2'!D249*11)</f>
        <v>27.866666666666667</v>
      </c>
      <c r="D249" s="13">
        <f>MIN(B249-C249,'Task 2'!D249*6)</f>
        <v>15.2</v>
      </c>
      <c r="E249" s="13">
        <f t="shared" si="3"/>
        <v>1036.9333333333334</v>
      </c>
      <c r="F249" s="7" t="s">
        <v>843</v>
      </c>
    </row>
    <row r="250" spans="1:6" x14ac:dyDescent="0.3">
      <c r="A250" s="7" t="s">
        <v>302</v>
      </c>
      <c r="B250" s="7">
        <v>270</v>
      </c>
      <c r="C250" s="13">
        <f>MIN(B250,'Task 2'!D250*11)</f>
        <v>33</v>
      </c>
      <c r="D250" s="13">
        <f>MIN(B250-C250,'Task 2'!D250*6)</f>
        <v>18</v>
      </c>
      <c r="E250" s="13">
        <f t="shared" si="3"/>
        <v>219</v>
      </c>
      <c r="F250" s="7" t="s">
        <v>843</v>
      </c>
    </row>
    <row r="251" spans="1:6" x14ac:dyDescent="0.3">
      <c r="A251" s="7" t="s">
        <v>303</v>
      </c>
      <c r="B251" s="7">
        <v>540</v>
      </c>
      <c r="C251" s="13">
        <f>MIN(B251,'Task 2'!D251*11)</f>
        <v>87.266666666666666</v>
      </c>
      <c r="D251" s="13">
        <f>MIN(B251-C251,'Task 2'!D251*6)</f>
        <v>47.6</v>
      </c>
      <c r="E251" s="13">
        <f t="shared" si="3"/>
        <v>405.13333333333333</v>
      </c>
      <c r="F251" s="7" t="s">
        <v>843</v>
      </c>
    </row>
    <row r="252" spans="1:6" x14ac:dyDescent="0.3">
      <c r="A252" s="7" t="s">
        <v>304</v>
      </c>
      <c r="B252" s="7">
        <v>270</v>
      </c>
      <c r="C252" s="13">
        <f>MIN(B252,'Task 2'!D252*11)</f>
        <v>42.533333333333339</v>
      </c>
      <c r="D252" s="13">
        <f>MIN(B252-C252,'Task 2'!D252*6)</f>
        <v>23.200000000000003</v>
      </c>
      <c r="E252" s="13">
        <f t="shared" si="3"/>
        <v>204.26666666666665</v>
      </c>
      <c r="F252" s="7" t="s">
        <v>843</v>
      </c>
    </row>
    <row r="253" spans="1:6" x14ac:dyDescent="0.3">
      <c r="A253" s="7" t="s">
        <v>305</v>
      </c>
      <c r="B253" s="7">
        <v>180</v>
      </c>
      <c r="C253" s="13">
        <f>MIN(B253,'Task 2'!D253*11)</f>
        <v>40.333333333333329</v>
      </c>
      <c r="D253" s="13">
        <f>MIN(B253-C253,'Task 2'!D253*6)</f>
        <v>22</v>
      </c>
      <c r="E253" s="13">
        <f t="shared" si="3"/>
        <v>117.66666666666669</v>
      </c>
      <c r="F253" s="7" t="s">
        <v>843</v>
      </c>
    </row>
    <row r="254" spans="1:6" x14ac:dyDescent="0.3">
      <c r="A254" s="7" t="s">
        <v>306</v>
      </c>
      <c r="B254" s="7">
        <v>270</v>
      </c>
      <c r="C254" s="13">
        <f>MIN(B254,'Task 2'!D254*11)</f>
        <v>45.100000000000009</v>
      </c>
      <c r="D254" s="13">
        <f>MIN(B254-C254,'Task 2'!D254*6)</f>
        <v>24.6</v>
      </c>
      <c r="E254" s="13">
        <f t="shared" si="3"/>
        <v>200.29999999999998</v>
      </c>
      <c r="F254" s="7" t="s">
        <v>843</v>
      </c>
    </row>
    <row r="255" spans="1:6" x14ac:dyDescent="0.3">
      <c r="A255" s="7" t="s">
        <v>307</v>
      </c>
      <c r="B255" s="7">
        <v>270</v>
      </c>
      <c r="C255" s="13">
        <f>MIN(B255,'Task 2'!D255*11)</f>
        <v>27.133333333333333</v>
      </c>
      <c r="D255" s="13">
        <f>MIN(B255-C255,'Task 2'!D255*6)</f>
        <v>14.8</v>
      </c>
      <c r="E255" s="13">
        <f t="shared" si="3"/>
        <v>228.06666666666666</v>
      </c>
      <c r="F255" s="7" t="s">
        <v>843</v>
      </c>
    </row>
    <row r="256" spans="1:6" x14ac:dyDescent="0.3">
      <c r="A256" s="7" t="s">
        <v>308</v>
      </c>
      <c r="B256" s="7">
        <v>180</v>
      </c>
      <c r="C256" s="13">
        <f>MIN(B256,'Task 2'!D256*11)</f>
        <v>15.033333333333337</v>
      </c>
      <c r="D256" s="13">
        <f>MIN(B256-C256,'Task 2'!D256*6)</f>
        <v>8.2000000000000011</v>
      </c>
      <c r="E256" s="13">
        <f t="shared" si="3"/>
        <v>156.76666666666668</v>
      </c>
      <c r="F256" s="7" t="s">
        <v>843</v>
      </c>
    </row>
    <row r="257" spans="1:6" x14ac:dyDescent="0.3">
      <c r="A257" s="7" t="s">
        <v>309</v>
      </c>
      <c r="B257" s="7">
        <v>270</v>
      </c>
      <c r="C257" s="13">
        <f>MIN(B257,'Task 2'!D257*11)</f>
        <v>30.066666666666663</v>
      </c>
      <c r="D257" s="13">
        <f>MIN(B257-C257,'Task 2'!D257*6)</f>
        <v>16.399999999999999</v>
      </c>
      <c r="E257" s="13">
        <f t="shared" si="3"/>
        <v>223.53333333333333</v>
      </c>
      <c r="F257" s="7" t="s">
        <v>843</v>
      </c>
    </row>
    <row r="258" spans="1:6" x14ac:dyDescent="0.3">
      <c r="A258" s="7" t="s">
        <v>310</v>
      </c>
      <c r="B258" s="7">
        <v>270</v>
      </c>
      <c r="C258" s="13">
        <f>MIN(B258,'Task 2'!D258*11)</f>
        <v>28.233333333333334</v>
      </c>
      <c r="D258" s="13">
        <f>MIN(B258-C258,'Task 2'!D258*6)</f>
        <v>15.400000000000002</v>
      </c>
      <c r="E258" s="13">
        <f t="shared" si="3"/>
        <v>226.36666666666665</v>
      </c>
      <c r="F258" s="7" t="s">
        <v>843</v>
      </c>
    </row>
    <row r="259" spans="1:6" x14ac:dyDescent="0.3">
      <c r="A259" s="7" t="s">
        <v>311</v>
      </c>
      <c r="B259" s="7">
        <v>180</v>
      </c>
      <c r="C259" s="13">
        <f>MIN(B259,'Task 2'!D259*11)</f>
        <v>48.766666666666666</v>
      </c>
      <c r="D259" s="13">
        <f>MIN(B259-C259,'Task 2'!D259*6)</f>
        <v>26.6</v>
      </c>
      <c r="E259" s="13">
        <f t="shared" ref="E259:E322" si="4">B259-C259-D259</f>
        <v>104.63333333333335</v>
      </c>
      <c r="F259" s="7" t="s">
        <v>843</v>
      </c>
    </row>
    <row r="260" spans="1:6" x14ac:dyDescent="0.3">
      <c r="A260" s="7" t="s">
        <v>312</v>
      </c>
      <c r="B260" s="7">
        <v>180</v>
      </c>
      <c r="C260" s="13">
        <f>MIN(B260,'Task 2'!D260*11)</f>
        <v>44.366666666666674</v>
      </c>
      <c r="D260" s="13">
        <f>MIN(B260-C260,'Task 2'!D260*6)</f>
        <v>24.200000000000003</v>
      </c>
      <c r="E260" s="13">
        <f t="shared" si="4"/>
        <v>111.43333333333332</v>
      </c>
      <c r="F260" s="7" t="s">
        <v>843</v>
      </c>
    </row>
    <row r="261" spans="1:6" x14ac:dyDescent="0.3">
      <c r="A261" s="7" t="s">
        <v>313</v>
      </c>
      <c r="B261" s="7">
        <v>270</v>
      </c>
      <c r="C261" s="13">
        <f>MIN(B261,'Task 2'!D261*11)</f>
        <v>37.033333333333331</v>
      </c>
      <c r="D261" s="13">
        <f>MIN(B261-C261,'Task 2'!D261*6)</f>
        <v>20.2</v>
      </c>
      <c r="E261" s="13">
        <f t="shared" si="4"/>
        <v>212.76666666666668</v>
      </c>
      <c r="F261" s="7" t="s">
        <v>843</v>
      </c>
    </row>
    <row r="262" spans="1:6" x14ac:dyDescent="0.3">
      <c r="A262" s="7" t="s">
        <v>314</v>
      </c>
      <c r="B262" s="7">
        <v>1080</v>
      </c>
      <c r="C262" s="13">
        <f>MIN(B262,'Task 2'!D262*11)</f>
        <v>44</v>
      </c>
      <c r="D262" s="13">
        <f>MIN(B262-C262,'Task 2'!D262*6)</f>
        <v>24</v>
      </c>
      <c r="E262" s="13">
        <f t="shared" si="4"/>
        <v>1012</v>
      </c>
      <c r="F262" s="7" t="s">
        <v>843</v>
      </c>
    </row>
    <row r="263" spans="1:6" x14ac:dyDescent="0.3">
      <c r="A263" s="7" t="s">
        <v>315</v>
      </c>
      <c r="B263" s="7">
        <v>270</v>
      </c>
      <c r="C263" s="13">
        <f>MIN(B263,'Task 2'!D263*11)</f>
        <v>23.1</v>
      </c>
      <c r="D263" s="13">
        <f>MIN(B263-C263,'Task 2'!D263*6)</f>
        <v>12.600000000000001</v>
      </c>
      <c r="E263" s="13">
        <f t="shared" si="4"/>
        <v>234.3</v>
      </c>
      <c r="F263" s="7" t="s">
        <v>843</v>
      </c>
    </row>
    <row r="264" spans="1:6" x14ac:dyDescent="0.3">
      <c r="A264" s="7" t="s">
        <v>316</v>
      </c>
      <c r="B264" s="7">
        <v>270</v>
      </c>
      <c r="C264" s="13">
        <f>MIN(B264,'Task 2'!D264*11)</f>
        <v>39.233333333333334</v>
      </c>
      <c r="D264" s="13">
        <f>MIN(B264-C264,'Task 2'!D264*6)</f>
        <v>21.400000000000002</v>
      </c>
      <c r="E264" s="13">
        <f t="shared" si="4"/>
        <v>209.36666666666665</v>
      </c>
      <c r="F264" s="7" t="s">
        <v>843</v>
      </c>
    </row>
    <row r="265" spans="1:6" x14ac:dyDescent="0.3">
      <c r="A265" s="7" t="s">
        <v>317</v>
      </c>
      <c r="B265" s="7">
        <v>1080</v>
      </c>
      <c r="C265" s="13">
        <f>MIN(B265,'Task 2'!D265*11)</f>
        <v>32.266666666666666</v>
      </c>
      <c r="D265" s="13">
        <f>MIN(B265-C265,'Task 2'!D265*6)</f>
        <v>17.599999999999998</v>
      </c>
      <c r="E265" s="13">
        <f t="shared" si="4"/>
        <v>1030.1333333333334</v>
      </c>
      <c r="F265" s="7" t="s">
        <v>843</v>
      </c>
    </row>
    <row r="266" spans="1:6" x14ac:dyDescent="0.3">
      <c r="A266" s="7" t="s">
        <v>318</v>
      </c>
      <c r="B266" s="7">
        <v>180</v>
      </c>
      <c r="C266" s="13">
        <f>MIN(B266,'Task 2'!D266*11)</f>
        <v>33.733333333333334</v>
      </c>
      <c r="D266" s="13">
        <f>MIN(B266-C266,'Task 2'!D266*6)</f>
        <v>18.399999999999999</v>
      </c>
      <c r="E266" s="13">
        <f t="shared" si="4"/>
        <v>127.86666666666665</v>
      </c>
      <c r="F266" s="7" t="s">
        <v>843</v>
      </c>
    </row>
    <row r="267" spans="1:6" x14ac:dyDescent="0.3">
      <c r="A267" s="7" t="s">
        <v>319</v>
      </c>
      <c r="B267" s="7">
        <v>360</v>
      </c>
      <c r="C267" s="13">
        <f>MIN(B267,'Task 2'!D267*11)</f>
        <v>62.7</v>
      </c>
      <c r="D267" s="13">
        <f>MIN(B267-C267,'Task 2'!D267*6)</f>
        <v>34.200000000000003</v>
      </c>
      <c r="E267" s="13">
        <f t="shared" si="4"/>
        <v>263.10000000000002</v>
      </c>
      <c r="F267" s="7" t="s">
        <v>843</v>
      </c>
    </row>
    <row r="268" spans="1:6" x14ac:dyDescent="0.3">
      <c r="A268" s="7" t="s">
        <v>320</v>
      </c>
      <c r="B268" s="7">
        <v>180</v>
      </c>
      <c r="C268" s="13">
        <f>MIN(B268,'Task 2'!D268*11)</f>
        <v>31.9</v>
      </c>
      <c r="D268" s="13">
        <f>MIN(B268-C268,'Task 2'!D268*6)</f>
        <v>17.399999999999999</v>
      </c>
      <c r="E268" s="13">
        <f t="shared" si="4"/>
        <v>130.69999999999999</v>
      </c>
      <c r="F268" s="7" t="s">
        <v>843</v>
      </c>
    </row>
    <row r="269" spans="1:6" x14ac:dyDescent="0.3">
      <c r="A269" s="7" t="s">
        <v>321</v>
      </c>
      <c r="B269" s="7">
        <v>1080</v>
      </c>
      <c r="C269" s="13">
        <f>MIN(B269,'Task 2'!D269*11)</f>
        <v>39.6</v>
      </c>
      <c r="D269" s="13">
        <f>MIN(B269-C269,'Task 2'!D269*6)</f>
        <v>21.6</v>
      </c>
      <c r="E269" s="13">
        <f t="shared" si="4"/>
        <v>1018.8000000000001</v>
      </c>
      <c r="F269" s="7" t="s">
        <v>843</v>
      </c>
    </row>
    <row r="270" spans="1:6" x14ac:dyDescent="0.3">
      <c r="A270" s="7" t="s">
        <v>322</v>
      </c>
      <c r="B270" s="7">
        <v>540</v>
      </c>
      <c r="C270" s="13">
        <f>MIN(B270,'Task 2'!D270*11)</f>
        <v>58.3</v>
      </c>
      <c r="D270" s="13">
        <f>MIN(B270-C270,'Task 2'!D270*6)</f>
        <v>31.799999999999997</v>
      </c>
      <c r="E270" s="13">
        <f t="shared" si="4"/>
        <v>449.9</v>
      </c>
      <c r="F270" s="7" t="s">
        <v>843</v>
      </c>
    </row>
    <row r="271" spans="1:6" x14ac:dyDescent="0.3">
      <c r="A271" s="7" t="s">
        <v>323</v>
      </c>
      <c r="B271" s="7">
        <v>1080</v>
      </c>
      <c r="C271" s="13">
        <f>MIN(B271,'Task 2'!D271*11)</f>
        <v>50.966666666666661</v>
      </c>
      <c r="D271" s="13">
        <f>MIN(B271-C271,'Task 2'!D271*6)</f>
        <v>27.799999999999997</v>
      </c>
      <c r="E271" s="13">
        <f t="shared" si="4"/>
        <v>1001.2333333333333</v>
      </c>
      <c r="F271" s="7" t="s">
        <v>843</v>
      </c>
    </row>
    <row r="272" spans="1:6" x14ac:dyDescent="0.3">
      <c r="A272" s="7" t="s">
        <v>324</v>
      </c>
      <c r="B272" s="7">
        <v>1440</v>
      </c>
      <c r="C272" s="13">
        <f>MIN(B272,'Task 2'!D272*11)</f>
        <v>25.299999999999997</v>
      </c>
      <c r="D272" s="13">
        <f>MIN(B272-C272,'Task 2'!D272*6)</f>
        <v>13.799999999999999</v>
      </c>
      <c r="E272" s="13">
        <f t="shared" si="4"/>
        <v>1400.9</v>
      </c>
      <c r="F272" s="7" t="s">
        <v>843</v>
      </c>
    </row>
    <row r="273" spans="1:6" x14ac:dyDescent="0.3">
      <c r="A273" s="7" t="s">
        <v>325</v>
      </c>
      <c r="B273" s="7">
        <v>270</v>
      </c>
      <c r="C273" s="13">
        <f>MIN(B273,'Task 2'!D273*11)</f>
        <v>36.300000000000004</v>
      </c>
      <c r="D273" s="13">
        <f>MIN(B273-C273,'Task 2'!D273*6)</f>
        <v>19.8</v>
      </c>
      <c r="E273" s="13">
        <f t="shared" si="4"/>
        <v>213.89999999999998</v>
      </c>
      <c r="F273" s="7" t="s">
        <v>843</v>
      </c>
    </row>
    <row r="274" spans="1:6" x14ac:dyDescent="0.3">
      <c r="A274" s="7" t="s">
        <v>326</v>
      </c>
      <c r="B274" s="7">
        <v>270</v>
      </c>
      <c r="C274" s="13">
        <f>MIN(B274,'Task 2'!D274*11)</f>
        <v>38.866666666666667</v>
      </c>
      <c r="D274" s="13">
        <f>MIN(B274-C274,'Task 2'!D274*6)</f>
        <v>21.2</v>
      </c>
      <c r="E274" s="13">
        <f t="shared" si="4"/>
        <v>209.93333333333334</v>
      </c>
      <c r="F274" s="7" t="s">
        <v>843</v>
      </c>
    </row>
    <row r="275" spans="1:6" x14ac:dyDescent="0.3">
      <c r="A275" s="7" t="s">
        <v>327</v>
      </c>
      <c r="B275" s="7">
        <v>180</v>
      </c>
      <c r="C275" s="13">
        <f>MIN(B275,'Task 2'!D275*11)</f>
        <v>41.800000000000004</v>
      </c>
      <c r="D275" s="13">
        <f>MIN(B275-C275,'Task 2'!D275*6)</f>
        <v>22.8</v>
      </c>
      <c r="E275" s="13">
        <f t="shared" si="4"/>
        <v>115.39999999999999</v>
      </c>
      <c r="F275" s="7" t="s">
        <v>843</v>
      </c>
    </row>
    <row r="276" spans="1:6" x14ac:dyDescent="0.3">
      <c r="A276" s="7" t="s">
        <v>328</v>
      </c>
      <c r="B276" s="7">
        <v>270</v>
      </c>
      <c r="C276" s="13">
        <f>MIN(B276,'Task 2'!D276*11)</f>
        <v>23.833333333333332</v>
      </c>
      <c r="D276" s="13">
        <f>MIN(B276-C276,'Task 2'!D276*6)</f>
        <v>13</v>
      </c>
      <c r="E276" s="13">
        <f t="shared" si="4"/>
        <v>233.16666666666666</v>
      </c>
      <c r="F276" s="7" t="s">
        <v>843</v>
      </c>
    </row>
    <row r="277" spans="1:6" x14ac:dyDescent="0.3">
      <c r="A277" s="7" t="s">
        <v>329</v>
      </c>
      <c r="B277" s="7">
        <v>270</v>
      </c>
      <c r="C277" s="13">
        <f>MIN(B277,'Task 2'!D277*11)</f>
        <v>49.133333333333333</v>
      </c>
      <c r="D277" s="13">
        <f>MIN(B277-C277,'Task 2'!D277*6)</f>
        <v>26.8</v>
      </c>
      <c r="E277" s="13">
        <f t="shared" si="4"/>
        <v>194.06666666666666</v>
      </c>
      <c r="F277" s="7" t="s">
        <v>843</v>
      </c>
    </row>
    <row r="278" spans="1:6" x14ac:dyDescent="0.3">
      <c r="A278" s="7" t="s">
        <v>330</v>
      </c>
      <c r="B278" s="7">
        <v>270</v>
      </c>
      <c r="C278" s="13">
        <f>MIN(B278,'Task 2'!D278*11)</f>
        <v>38.133333333333333</v>
      </c>
      <c r="D278" s="13">
        <f>MIN(B278-C278,'Task 2'!D278*6)</f>
        <v>20.8</v>
      </c>
      <c r="E278" s="13">
        <f t="shared" si="4"/>
        <v>211.06666666666666</v>
      </c>
      <c r="F278" s="7" t="s">
        <v>843</v>
      </c>
    </row>
    <row r="279" spans="1:6" x14ac:dyDescent="0.3">
      <c r="A279" s="7" t="s">
        <v>331</v>
      </c>
      <c r="B279" s="7">
        <v>270</v>
      </c>
      <c r="C279" s="13">
        <f>MIN(B279,'Task 2'!D279*11)</f>
        <v>39.6</v>
      </c>
      <c r="D279" s="13">
        <f>MIN(B279-C279,'Task 2'!D279*6)</f>
        <v>21.6</v>
      </c>
      <c r="E279" s="13">
        <f t="shared" si="4"/>
        <v>208.8</v>
      </c>
      <c r="F279" s="7" t="s">
        <v>843</v>
      </c>
    </row>
    <row r="280" spans="1:6" x14ac:dyDescent="0.3">
      <c r="A280" s="7" t="s">
        <v>332</v>
      </c>
      <c r="B280" s="7">
        <v>270</v>
      </c>
      <c r="C280" s="13">
        <f>MIN(B280,'Task 2'!D280*11)</f>
        <v>38.5</v>
      </c>
      <c r="D280" s="13">
        <f>MIN(B280-C280,'Task 2'!D280*6)</f>
        <v>21</v>
      </c>
      <c r="E280" s="13">
        <f t="shared" si="4"/>
        <v>210.5</v>
      </c>
      <c r="F280" s="7" t="s">
        <v>843</v>
      </c>
    </row>
    <row r="281" spans="1:6" x14ac:dyDescent="0.3">
      <c r="A281" s="7" t="s">
        <v>333</v>
      </c>
      <c r="B281" s="7">
        <v>540</v>
      </c>
      <c r="C281" s="13">
        <f>MIN(B281,'Task 2'!D281*11)</f>
        <v>50.966666666666669</v>
      </c>
      <c r="D281" s="13">
        <f>MIN(B281-C281,'Task 2'!D281*6)</f>
        <v>27.800000000000004</v>
      </c>
      <c r="E281" s="13">
        <f t="shared" si="4"/>
        <v>461.23333333333329</v>
      </c>
      <c r="F281" s="7" t="s">
        <v>843</v>
      </c>
    </row>
    <row r="282" spans="1:6" x14ac:dyDescent="0.3">
      <c r="A282" s="7" t="s">
        <v>334</v>
      </c>
      <c r="B282" s="7">
        <v>270</v>
      </c>
      <c r="C282" s="13">
        <f>MIN(B282,'Task 2'!D282*11)</f>
        <v>48.399999999999991</v>
      </c>
      <c r="D282" s="13">
        <f>MIN(B282-C282,'Task 2'!D282*6)</f>
        <v>26.4</v>
      </c>
      <c r="E282" s="13">
        <f t="shared" si="4"/>
        <v>195.20000000000002</v>
      </c>
      <c r="F282" s="7" t="s">
        <v>843</v>
      </c>
    </row>
    <row r="283" spans="1:6" x14ac:dyDescent="0.3">
      <c r="A283" s="7" t="s">
        <v>335</v>
      </c>
      <c r="B283" s="7">
        <v>270</v>
      </c>
      <c r="C283" s="13">
        <f>MIN(B283,'Task 2'!D283*11)</f>
        <v>44.366666666666667</v>
      </c>
      <c r="D283" s="13">
        <f>MIN(B283-C283,'Task 2'!D283*6)</f>
        <v>24.2</v>
      </c>
      <c r="E283" s="13">
        <f t="shared" si="4"/>
        <v>201.43333333333334</v>
      </c>
      <c r="F283" s="7" t="s">
        <v>843</v>
      </c>
    </row>
    <row r="284" spans="1:6" x14ac:dyDescent="0.3">
      <c r="A284" s="7" t="s">
        <v>336</v>
      </c>
      <c r="B284" s="7">
        <v>270</v>
      </c>
      <c r="C284" s="13">
        <f>MIN(B284,'Task 2'!D284*11)</f>
        <v>39.966666666666669</v>
      </c>
      <c r="D284" s="13">
        <f>MIN(B284-C284,'Task 2'!D284*6)</f>
        <v>21.8</v>
      </c>
      <c r="E284" s="13">
        <f t="shared" si="4"/>
        <v>208.23333333333332</v>
      </c>
      <c r="F284" s="7" t="s">
        <v>843</v>
      </c>
    </row>
    <row r="285" spans="1:6" x14ac:dyDescent="0.3">
      <c r="A285" s="7" t="s">
        <v>337</v>
      </c>
      <c r="B285" s="7">
        <v>270</v>
      </c>
      <c r="C285" s="13">
        <f>MIN(B285,'Task 2'!D285*11)</f>
        <v>37.766666666666666</v>
      </c>
      <c r="D285" s="13">
        <f>MIN(B285-C285,'Task 2'!D285*6)</f>
        <v>20.6</v>
      </c>
      <c r="E285" s="13">
        <f t="shared" si="4"/>
        <v>211.63333333333335</v>
      </c>
      <c r="F285" s="7" t="s">
        <v>843</v>
      </c>
    </row>
    <row r="286" spans="1:6" x14ac:dyDescent="0.3">
      <c r="A286" s="7" t="s">
        <v>338</v>
      </c>
      <c r="B286" s="7">
        <v>270</v>
      </c>
      <c r="C286" s="13">
        <f>MIN(B286,'Task 2'!D286*11)</f>
        <v>24.933333333333334</v>
      </c>
      <c r="D286" s="13">
        <f>MIN(B286-C286,'Task 2'!D286*6)</f>
        <v>13.6</v>
      </c>
      <c r="E286" s="13">
        <f t="shared" si="4"/>
        <v>231.46666666666667</v>
      </c>
      <c r="F286" s="7" t="s">
        <v>843</v>
      </c>
    </row>
    <row r="287" spans="1:6" x14ac:dyDescent="0.3">
      <c r="A287" s="7" t="s">
        <v>339</v>
      </c>
      <c r="B287" s="7">
        <v>180</v>
      </c>
      <c r="C287" s="13">
        <f>MIN(B287,'Task 2'!D287*11)</f>
        <v>13.933333333333334</v>
      </c>
      <c r="D287" s="13">
        <f>MIN(B287-C287,'Task 2'!D287*6)</f>
        <v>7.6</v>
      </c>
      <c r="E287" s="13">
        <f t="shared" si="4"/>
        <v>158.46666666666667</v>
      </c>
      <c r="F287" s="7" t="s">
        <v>843</v>
      </c>
    </row>
    <row r="288" spans="1:6" x14ac:dyDescent="0.3">
      <c r="A288" s="7" t="s">
        <v>340</v>
      </c>
      <c r="B288" s="7">
        <v>180</v>
      </c>
      <c r="C288" s="13">
        <f>MIN(B288,'Task 2'!D288*11)</f>
        <v>28.233333333333331</v>
      </c>
      <c r="D288" s="13">
        <f>MIN(B288-C288,'Task 2'!D288*6)</f>
        <v>15.399999999999999</v>
      </c>
      <c r="E288" s="13">
        <f t="shared" si="4"/>
        <v>136.36666666666667</v>
      </c>
      <c r="F288" s="7" t="s">
        <v>843</v>
      </c>
    </row>
    <row r="289" spans="1:6" x14ac:dyDescent="0.3">
      <c r="A289" s="7" t="s">
        <v>341</v>
      </c>
      <c r="B289" s="7">
        <v>180</v>
      </c>
      <c r="C289" s="13">
        <f>MIN(B289,'Task 2'!D289*11)</f>
        <v>59.766666666666659</v>
      </c>
      <c r="D289" s="13">
        <f>MIN(B289-C289,'Task 2'!D289*6)</f>
        <v>32.599999999999994</v>
      </c>
      <c r="E289" s="13">
        <f t="shared" si="4"/>
        <v>87.633333333333354</v>
      </c>
      <c r="F289" s="7" t="s">
        <v>843</v>
      </c>
    </row>
    <row r="290" spans="1:6" x14ac:dyDescent="0.3">
      <c r="A290" s="7" t="s">
        <v>342</v>
      </c>
      <c r="B290" s="7">
        <v>270</v>
      </c>
      <c r="C290" s="13">
        <f>MIN(B290,'Task 2'!D290*11)</f>
        <v>26.766666666666669</v>
      </c>
      <c r="D290" s="13">
        <f>MIN(B290-C290,'Task 2'!D290*6)</f>
        <v>14.600000000000001</v>
      </c>
      <c r="E290" s="13">
        <f t="shared" si="4"/>
        <v>228.63333333333333</v>
      </c>
      <c r="F290" s="7" t="s">
        <v>843</v>
      </c>
    </row>
    <row r="291" spans="1:6" x14ac:dyDescent="0.3">
      <c r="A291" s="7" t="s">
        <v>343</v>
      </c>
      <c r="B291" s="7">
        <v>270</v>
      </c>
      <c r="C291" s="13">
        <f>MIN(B291,'Task 2'!D291*11)</f>
        <v>24.933333333333334</v>
      </c>
      <c r="D291" s="13">
        <f>MIN(B291-C291,'Task 2'!D291*6)</f>
        <v>13.6</v>
      </c>
      <c r="E291" s="13">
        <f t="shared" si="4"/>
        <v>231.46666666666667</v>
      </c>
      <c r="F291" s="7" t="s">
        <v>843</v>
      </c>
    </row>
    <row r="292" spans="1:6" x14ac:dyDescent="0.3">
      <c r="A292" s="7" t="s">
        <v>344</v>
      </c>
      <c r="B292" s="7">
        <v>1440</v>
      </c>
      <c r="C292" s="13">
        <f>MIN(B292,'Task 2'!D292*11)</f>
        <v>22.733333333333331</v>
      </c>
      <c r="D292" s="13">
        <f>MIN(B292-C292,'Task 2'!D292*6)</f>
        <v>12.399999999999999</v>
      </c>
      <c r="E292" s="13">
        <f t="shared" si="4"/>
        <v>1404.8666666666666</v>
      </c>
      <c r="F292" s="7" t="s">
        <v>843</v>
      </c>
    </row>
    <row r="293" spans="1:6" x14ac:dyDescent="0.3">
      <c r="A293" s="7" t="s">
        <v>345</v>
      </c>
      <c r="B293" s="7">
        <v>270</v>
      </c>
      <c r="C293" s="13">
        <f>MIN(B293,'Task 2'!D293*11)</f>
        <v>27.133333333333333</v>
      </c>
      <c r="D293" s="13">
        <f>MIN(B293-C293,'Task 2'!D293*6)</f>
        <v>14.8</v>
      </c>
      <c r="E293" s="13">
        <f t="shared" si="4"/>
        <v>228.06666666666666</v>
      </c>
      <c r="F293" s="7" t="s">
        <v>843</v>
      </c>
    </row>
    <row r="294" spans="1:6" x14ac:dyDescent="0.3">
      <c r="A294" s="7" t="s">
        <v>346</v>
      </c>
      <c r="B294" s="7">
        <v>270</v>
      </c>
      <c r="C294" s="13">
        <f>MIN(B294,'Task 2'!D294*11)</f>
        <v>37.033333333333331</v>
      </c>
      <c r="D294" s="13">
        <f>MIN(B294-C294,'Task 2'!D294*6)</f>
        <v>20.2</v>
      </c>
      <c r="E294" s="13">
        <f t="shared" si="4"/>
        <v>212.76666666666668</v>
      </c>
      <c r="F294" s="7" t="s">
        <v>843</v>
      </c>
    </row>
    <row r="295" spans="1:6" x14ac:dyDescent="0.3">
      <c r="A295" s="7" t="s">
        <v>347</v>
      </c>
      <c r="B295" s="7">
        <v>360</v>
      </c>
      <c r="C295" s="13">
        <f>MIN(B295,'Task 2'!D295*11)</f>
        <v>51.7</v>
      </c>
      <c r="D295" s="13">
        <f>MIN(B295-C295,'Task 2'!D295*6)</f>
        <v>28.200000000000003</v>
      </c>
      <c r="E295" s="13">
        <f t="shared" si="4"/>
        <v>280.10000000000002</v>
      </c>
      <c r="F295" s="7" t="s">
        <v>843</v>
      </c>
    </row>
    <row r="296" spans="1:6" x14ac:dyDescent="0.3">
      <c r="A296" s="7" t="s">
        <v>348</v>
      </c>
      <c r="B296" s="7">
        <v>270</v>
      </c>
      <c r="C296" s="13">
        <f>MIN(B296,'Task 2'!D296*11)</f>
        <v>28.6</v>
      </c>
      <c r="D296" s="13">
        <f>MIN(B296-C296,'Task 2'!D296*6)</f>
        <v>15.600000000000001</v>
      </c>
      <c r="E296" s="13">
        <f t="shared" si="4"/>
        <v>225.8</v>
      </c>
      <c r="F296" s="7" t="s">
        <v>843</v>
      </c>
    </row>
    <row r="297" spans="1:6" x14ac:dyDescent="0.3">
      <c r="A297" s="7" t="s">
        <v>349</v>
      </c>
      <c r="B297" s="7">
        <v>180</v>
      </c>
      <c r="C297" s="13">
        <f>MIN(B297,'Task 2'!D297*11)</f>
        <v>33.366666666666667</v>
      </c>
      <c r="D297" s="13">
        <f>MIN(B297-C297,'Task 2'!D297*6)</f>
        <v>18.2</v>
      </c>
      <c r="E297" s="13">
        <f t="shared" si="4"/>
        <v>128.43333333333334</v>
      </c>
      <c r="F297" s="7" t="s">
        <v>843</v>
      </c>
    </row>
    <row r="298" spans="1:6" x14ac:dyDescent="0.3">
      <c r="A298" s="7" t="s">
        <v>350</v>
      </c>
      <c r="B298" s="7">
        <v>270</v>
      </c>
      <c r="C298" s="13">
        <f>MIN(B298,'Task 2'!D298*11)</f>
        <v>31.533333333333335</v>
      </c>
      <c r="D298" s="13">
        <f>MIN(B298-C298,'Task 2'!D298*6)</f>
        <v>17.2</v>
      </c>
      <c r="E298" s="13">
        <f t="shared" si="4"/>
        <v>221.26666666666668</v>
      </c>
      <c r="F298" s="7" t="s">
        <v>843</v>
      </c>
    </row>
    <row r="299" spans="1:6" x14ac:dyDescent="0.3">
      <c r="A299" s="7" t="s">
        <v>351</v>
      </c>
      <c r="B299" s="7">
        <v>1440</v>
      </c>
      <c r="C299" s="13">
        <f>MIN(B299,'Task 2'!D299*11)</f>
        <v>17.966666666666665</v>
      </c>
      <c r="D299" s="13">
        <f>MIN(B299-C299,'Task 2'!D299*6)</f>
        <v>9.7999999999999989</v>
      </c>
      <c r="E299" s="13">
        <f t="shared" si="4"/>
        <v>1412.2333333333333</v>
      </c>
      <c r="F299" s="7" t="s">
        <v>843</v>
      </c>
    </row>
    <row r="300" spans="1:6" x14ac:dyDescent="0.3">
      <c r="A300" s="7" t="s">
        <v>352</v>
      </c>
      <c r="B300" s="7">
        <v>270</v>
      </c>
      <c r="C300" s="13">
        <f>MIN(B300,'Task 2'!D300*11)</f>
        <v>17.233333333333334</v>
      </c>
      <c r="D300" s="13">
        <f>MIN(B300-C300,'Task 2'!D300*6)</f>
        <v>9.4</v>
      </c>
      <c r="E300" s="13">
        <f t="shared" si="4"/>
        <v>243.36666666666665</v>
      </c>
      <c r="F300" s="7" t="s">
        <v>843</v>
      </c>
    </row>
    <row r="301" spans="1:6" x14ac:dyDescent="0.3">
      <c r="A301" s="7" t="s">
        <v>353</v>
      </c>
      <c r="B301" s="7">
        <v>180</v>
      </c>
      <c r="C301" s="13">
        <f>MIN(B301,'Task 2'!D301*11)</f>
        <v>49.133333333333326</v>
      </c>
      <c r="D301" s="13">
        <f>MIN(B301-C301,'Task 2'!D301*6)</f>
        <v>26.799999999999997</v>
      </c>
      <c r="E301" s="13">
        <f t="shared" si="4"/>
        <v>104.06666666666668</v>
      </c>
      <c r="F301" s="7" t="s">
        <v>843</v>
      </c>
    </row>
    <row r="302" spans="1:6" x14ac:dyDescent="0.3">
      <c r="A302" s="7" t="s">
        <v>354</v>
      </c>
      <c r="B302" s="7">
        <v>180</v>
      </c>
      <c r="C302" s="13">
        <f>MIN(B302,'Task 2'!D302*11)</f>
        <v>38.133333333333333</v>
      </c>
      <c r="D302" s="13">
        <f>MIN(B302-C302,'Task 2'!D302*6)</f>
        <v>20.8</v>
      </c>
      <c r="E302" s="13">
        <f t="shared" si="4"/>
        <v>121.06666666666668</v>
      </c>
      <c r="F302" s="7" t="s">
        <v>843</v>
      </c>
    </row>
    <row r="303" spans="1:6" x14ac:dyDescent="0.3">
      <c r="A303" s="7" t="s">
        <v>355</v>
      </c>
      <c r="B303" s="7">
        <v>270</v>
      </c>
      <c r="C303" s="13">
        <f>MIN(B303,'Task 2'!D303*11)</f>
        <v>29.699999999999996</v>
      </c>
      <c r="D303" s="13">
        <f>MIN(B303-C303,'Task 2'!D303*6)</f>
        <v>16.2</v>
      </c>
      <c r="E303" s="13">
        <f t="shared" si="4"/>
        <v>224.10000000000002</v>
      </c>
      <c r="F303" s="7" t="s">
        <v>843</v>
      </c>
    </row>
    <row r="304" spans="1:6" x14ac:dyDescent="0.3">
      <c r="A304" s="7" t="s">
        <v>356</v>
      </c>
      <c r="B304" s="7">
        <v>270</v>
      </c>
      <c r="C304" s="13">
        <f>MIN(B304,'Task 2'!D304*11)</f>
        <v>27.866666666666667</v>
      </c>
      <c r="D304" s="13">
        <f>MIN(B304-C304,'Task 2'!D304*6)</f>
        <v>15.2</v>
      </c>
      <c r="E304" s="13">
        <f t="shared" si="4"/>
        <v>226.93333333333334</v>
      </c>
      <c r="F304" s="7" t="s">
        <v>843</v>
      </c>
    </row>
    <row r="305" spans="1:6" x14ac:dyDescent="0.3">
      <c r="A305" s="7" t="s">
        <v>357</v>
      </c>
      <c r="B305" s="7">
        <v>270</v>
      </c>
      <c r="C305" s="13">
        <f>MIN(B305,'Task 2'!D305*11)</f>
        <v>15.400000000000002</v>
      </c>
      <c r="D305" s="13">
        <f>MIN(B305-C305,'Task 2'!D305*6)</f>
        <v>8.4</v>
      </c>
      <c r="E305" s="13">
        <f t="shared" si="4"/>
        <v>246.2</v>
      </c>
      <c r="F305" s="7" t="s">
        <v>843</v>
      </c>
    </row>
    <row r="306" spans="1:6" x14ac:dyDescent="0.3">
      <c r="A306" s="7" t="s">
        <v>358</v>
      </c>
      <c r="B306" s="7">
        <v>270</v>
      </c>
      <c r="C306" s="13">
        <f>MIN(B306,'Task 2'!D306*11)</f>
        <v>11.733333333333333</v>
      </c>
      <c r="D306" s="13">
        <f>MIN(B306-C306,'Task 2'!D306*6)</f>
        <v>6.4</v>
      </c>
      <c r="E306" s="13">
        <f t="shared" si="4"/>
        <v>251.86666666666665</v>
      </c>
      <c r="F306" s="7" t="s">
        <v>843</v>
      </c>
    </row>
    <row r="307" spans="1:6" x14ac:dyDescent="0.3">
      <c r="A307" s="7" t="s">
        <v>359</v>
      </c>
      <c r="B307" s="7">
        <v>270</v>
      </c>
      <c r="C307" s="13">
        <f>MIN(B307,'Task 2'!D307*11)</f>
        <v>43.633333333333333</v>
      </c>
      <c r="D307" s="13">
        <f>MIN(B307-C307,'Task 2'!D307*6)</f>
        <v>23.799999999999997</v>
      </c>
      <c r="E307" s="13">
        <f t="shared" si="4"/>
        <v>202.56666666666666</v>
      </c>
      <c r="F307" s="7" t="s">
        <v>843</v>
      </c>
    </row>
    <row r="308" spans="1:6" x14ac:dyDescent="0.3">
      <c r="A308" s="7" t="s">
        <v>360</v>
      </c>
      <c r="B308" s="7">
        <v>540</v>
      </c>
      <c r="C308" s="13">
        <f>MIN(B308,'Task 2'!D308*11)</f>
        <v>71.133333333333326</v>
      </c>
      <c r="D308" s="13">
        <f>MIN(B308-C308,'Task 2'!D308*6)</f>
        <v>38.799999999999997</v>
      </c>
      <c r="E308" s="13">
        <f t="shared" si="4"/>
        <v>430.06666666666666</v>
      </c>
      <c r="F308" s="7" t="s">
        <v>843</v>
      </c>
    </row>
    <row r="309" spans="1:6" x14ac:dyDescent="0.3">
      <c r="A309" s="7" t="s">
        <v>361</v>
      </c>
      <c r="B309" s="7">
        <v>180</v>
      </c>
      <c r="C309" s="13">
        <f>MIN(B309,'Task 2'!D309*11)</f>
        <v>57.56666666666667</v>
      </c>
      <c r="D309" s="13">
        <f>MIN(B309-C309,'Task 2'!D309*6)</f>
        <v>31.4</v>
      </c>
      <c r="E309" s="13">
        <f t="shared" si="4"/>
        <v>91.033333333333331</v>
      </c>
      <c r="F309" s="7" t="s">
        <v>843</v>
      </c>
    </row>
    <row r="310" spans="1:6" x14ac:dyDescent="0.3">
      <c r="A310" s="7" t="s">
        <v>362</v>
      </c>
      <c r="B310" s="7">
        <v>180</v>
      </c>
      <c r="C310" s="13">
        <f>MIN(B310,'Task 2'!D310*11)</f>
        <v>32.266666666666666</v>
      </c>
      <c r="D310" s="13">
        <f>MIN(B310-C310,'Task 2'!D310*6)</f>
        <v>17.600000000000001</v>
      </c>
      <c r="E310" s="13">
        <f t="shared" si="4"/>
        <v>130.13333333333335</v>
      </c>
      <c r="F310" s="7" t="s">
        <v>843</v>
      </c>
    </row>
    <row r="311" spans="1:6" x14ac:dyDescent="0.3">
      <c r="A311" s="7" t="s">
        <v>363</v>
      </c>
      <c r="B311" s="7">
        <v>180</v>
      </c>
      <c r="C311" s="13">
        <f>MIN(B311,'Task 2'!D311*11)</f>
        <v>28.233333333333331</v>
      </c>
      <c r="D311" s="13">
        <f>MIN(B311-C311,'Task 2'!D311*6)</f>
        <v>15.399999999999999</v>
      </c>
      <c r="E311" s="13">
        <f t="shared" si="4"/>
        <v>136.36666666666667</v>
      </c>
      <c r="F311" s="7" t="s">
        <v>843</v>
      </c>
    </row>
    <row r="312" spans="1:6" x14ac:dyDescent="0.3">
      <c r="A312" s="7" t="s">
        <v>364</v>
      </c>
      <c r="B312" s="7">
        <v>180</v>
      </c>
      <c r="C312" s="13">
        <f>MIN(B312,'Task 2'!D312*11)</f>
        <v>37.766666666666666</v>
      </c>
      <c r="D312" s="13">
        <f>MIN(B312-C312,'Task 2'!D312*6)</f>
        <v>20.6</v>
      </c>
      <c r="E312" s="13">
        <f t="shared" si="4"/>
        <v>121.63333333333335</v>
      </c>
      <c r="F312" s="7" t="s">
        <v>843</v>
      </c>
    </row>
    <row r="313" spans="1:6" x14ac:dyDescent="0.3">
      <c r="A313" s="7" t="s">
        <v>365</v>
      </c>
      <c r="B313" s="7">
        <v>180</v>
      </c>
      <c r="C313" s="13">
        <f>MIN(B313,'Task 2'!D313*11)</f>
        <v>36.300000000000004</v>
      </c>
      <c r="D313" s="13">
        <f>MIN(B313-C313,'Task 2'!D313*6)</f>
        <v>19.8</v>
      </c>
      <c r="E313" s="13">
        <f t="shared" si="4"/>
        <v>123.89999999999999</v>
      </c>
      <c r="F313" s="7" t="s">
        <v>843</v>
      </c>
    </row>
    <row r="314" spans="1:6" x14ac:dyDescent="0.3">
      <c r="A314" s="7" t="s">
        <v>366</v>
      </c>
      <c r="B314" s="7">
        <v>270</v>
      </c>
      <c r="C314" s="13">
        <f>MIN(B314,'Task 2'!D314*11)</f>
        <v>19.799999999999997</v>
      </c>
      <c r="D314" s="13">
        <f>MIN(B314-C314,'Task 2'!D314*6)</f>
        <v>10.799999999999999</v>
      </c>
      <c r="E314" s="13">
        <f t="shared" si="4"/>
        <v>239.39999999999998</v>
      </c>
      <c r="F314" s="7" t="s">
        <v>843</v>
      </c>
    </row>
    <row r="315" spans="1:6" x14ac:dyDescent="0.3">
      <c r="A315" s="7" t="s">
        <v>367</v>
      </c>
      <c r="B315" s="7">
        <v>270</v>
      </c>
      <c r="C315" s="13">
        <f>MIN(B315,'Task 2'!D315*11)</f>
        <v>24.566666666666666</v>
      </c>
      <c r="D315" s="13">
        <f>MIN(B315-C315,'Task 2'!D315*6)</f>
        <v>13.4</v>
      </c>
      <c r="E315" s="13">
        <f t="shared" si="4"/>
        <v>232.03333333333333</v>
      </c>
      <c r="F315" s="7" t="s">
        <v>843</v>
      </c>
    </row>
    <row r="316" spans="1:6" x14ac:dyDescent="0.3">
      <c r="A316" s="7" t="s">
        <v>368</v>
      </c>
      <c r="B316" s="7">
        <v>270</v>
      </c>
      <c r="C316" s="13">
        <f>MIN(B316,'Task 2'!D316*11)</f>
        <v>17.966666666666669</v>
      </c>
      <c r="D316" s="13">
        <f>MIN(B316-C316,'Task 2'!D316*6)</f>
        <v>9.8000000000000007</v>
      </c>
      <c r="E316" s="13">
        <f t="shared" si="4"/>
        <v>242.23333333333332</v>
      </c>
      <c r="F316" s="7" t="s">
        <v>843</v>
      </c>
    </row>
    <row r="317" spans="1:6" x14ac:dyDescent="0.3">
      <c r="A317" s="7" t="s">
        <v>369</v>
      </c>
      <c r="B317" s="7">
        <v>180</v>
      </c>
      <c r="C317" s="13">
        <f>MIN(B317,'Task 2'!D317*11)</f>
        <v>25.666666666666668</v>
      </c>
      <c r="D317" s="13">
        <f>MIN(B317-C317,'Task 2'!D317*6)</f>
        <v>14</v>
      </c>
      <c r="E317" s="13">
        <f t="shared" si="4"/>
        <v>140.33333333333334</v>
      </c>
      <c r="F317" s="7" t="s">
        <v>843</v>
      </c>
    </row>
    <row r="318" spans="1:6" x14ac:dyDescent="0.3">
      <c r="A318" s="7" t="s">
        <v>370</v>
      </c>
      <c r="B318" s="7">
        <v>270</v>
      </c>
      <c r="C318" s="13">
        <f>MIN(B318,'Task 2'!D318*11)</f>
        <v>14.3</v>
      </c>
      <c r="D318" s="13">
        <f>MIN(B318-C318,'Task 2'!D318*6)</f>
        <v>7.8000000000000007</v>
      </c>
      <c r="E318" s="13">
        <f t="shared" si="4"/>
        <v>247.89999999999998</v>
      </c>
      <c r="F318" s="7" t="s">
        <v>843</v>
      </c>
    </row>
    <row r="319" spans="1:6" x14ac:dyDescent="0.3">
      <c r="A319" s="7" t="s">
        <v>371</v>
      </c>
      <c r="B319" s="7">
        <v>810</v>
      </c>
      <c r="C319" s="13">
        <f>MIN(B319,'Task 2'!D319*11)</f>
        <v>86.533333333333331</v>
      </c>
      <c r="D319" s="13">
        <f>MIN(B319-C319,'Task 2'!D319*6)</f>
        <v>47.2</v>
      </c>
      <c r="E319" s="13">
        <f t="shared" si="4"/>
        <v>676.26666666666665</v>
      </c>
      <c r="F319" s="7" t="s">
        <v>843</v>
      </c>
    </row>
    <row r="320" spans="1:6" x14ac:dyDescent="0.3">
      <c r="A320" s="7" t="s">
        <v>372</v>
      </c>
      <c r="B320" s="7">
        <v>180</v>
      </c>
      <c r="C320" s="13">
        <f>MIN(B320,'Task 2'!D320*11)</f>
        <v>42.533333333333331</v>
      </c>
      <c r="D320" s="13">
        <f>MIN(B320-C320,'Task 2'!D320*6)</f>
        <v>23.2</v>
      </c>
      <c r="E320" s="13">
        <f t="shared" si="4"/>
        <v>114.26666666666667</v>
      </c>
      <c r="F320" s="7" t="s">
        <v>843</v>
      </c>
    </row>
    <row r="321" spans="1:6" x14ac:dyDescent="0.3">
      <c r="A321" s="7" t="s">
        <v>373</v>
      </c>
      <c r="B321" s="7">
        <v>270</v>
      </c>
      <c r="C321" s="13">
        <f>MIN(B321,'Task 2'!D321*11)</f>
        <v>28.233333333333334</v>
      </c>
      <c r="D321" s="13">
        <f>MIN(B321-C321,'Task 2'!D321*6)</f>
        <v>15.400000000000002</v>
      </c>
      <c r="E321" s="13">
        <f t="shared" si="4"/>
        <v>226.36666666666665</v>
      </c>
      <c r="F321" s="7" t="s">
        <v>843</v>
      </c>
    </row>
    <row r="322" spans="1:6" x14ac:dyDescent="0.3">
      <c r="A322" s="7" t="s">
        <v>374</v>
      </c>
      <c r="B322" s="7">
        <v>270</v>
      </c>
      <c r="C322" s="13">
        <f>MIN(B322,'Task 2'!D322*11)</f>
        <v>44.733333333333334</v>
      </c>
      <c r="D322" s="13">
        <f>MIN(B322-C322,'Task 2'!D322*6)</f>
        <v>24.4</v>
      </c>
      <c r="E322" s="13">
        <f t="shared" si="4"/>
        <v>200.86666666666665</v>
      </c>
      <c r="F322" s="7" t="s">
        <v>843</v>
      </c>
    </row>
    <row r="323" spans="1:6" x14ac:dyDescent="0.3">
      <c r="A323" s="7" t="s">
        <v>375</v>
      </c>
      <c r="B323" s="7">
        <v>270</v>
      </c>
      <c r="C323" s="13">
        <f>MIN(B323,'Task 2'!D323*11)</f>
        <v>11</v>
      </c>
      <c r="D323" s="13">
        <f>MIN(B323-C323,'Task 2'!D323*6)</f>
        <v>6</v>
      </c>
      <c r="E323" s="13">
        <f t="shared" ref="E323:E386" si="5">B323-C323-D323</f>
        <v>253</v>
      </c>
      <c r="F323" s="7" t="s">
        <v>843</v>
      </c>
    </row>
    <row r="324" spans="1:6" x14ac:dyDescent="0.3">
      <c r="A324" s="7" t="s">
        <v>376</v>
      </c>
      <c r="B324" s="7">
        <v>180</v>
      </c>
      <c r="C324" s="13">
        <f>MIN(B324,'Task 2'!D324*11)</f>
        <v>25.666666666666668</v>
      </c>
      <c r="D324" s="13">
        <f>MIN(B324-C324,'Task 2'!D324*6)</f>
        <v>14</v>
      </c>
      <c r="E324" s="13">
        <f t="shared" si="5"/>
        <v>140.33333333333334</v>
      </c>
      <c r="F324" s="7" t="s">
        <v>843</v>
      </c>
    </row>
    <row r="325" spans="1:6" x14ac:dyDescent="0.3">
      <c r="A325" s="7" t="s">
        <v>377</v>
      </c>
      <c r="B325" s="7">
        <v>270</v>
      </c>
      <c r="C325" s="13">
        <f>MIN(B325,'Task 2'!D325*11)</f>
        <v>42.900000000000006</v>
      </c>
      <c r="D325" s="13">
        <f>MIN(B325-C325,'Task 2'!D325*6)</f>
        <v>23.400000000000002</v>
      </c>
      <c r="E325" s="13">
        <f t="shared" si="5"/>
        <v>203.7</v>
      </c>
      <c r="F325" s="7" t="s">
        <v>843</v>
      </c>
    </row>
    <row r="326" spans="1:6" x14ac:dyDescent="0.3">
      <c r="A326" s="7" t="s">
        <v>378</v>
      </c>
      <c r="B326" s="7">
        <v>180</v>
      </c>
      <c r="C326" s="13">
        <f>MIN(B326,'Task 2'!D326*11)</f>
        <v>41.433333333333337</v>
      </c>
      <c r="D326" s="13">
        <f>MIN(B326-C326,'Task 2'!D326*6)</f>
        <v>22.6</v>
      </c>
      <c r="E326" s="13">
        <f t="shared" si="5"/>
        <v>115.96666666666667</v>
      </c>
      <c r="F326" s="7" t="s">
        <v>843</v>
      </c>
    </row>
    <row r="327" spans="1:6" x14ac:dyDescent="0.3">
      <c r="A327" s="7" t="s">
        <v>379</v>
      </c>
      <c r="B327" s="7">
        <v>270</v>
      </c>
      <c r="C327" s="13">
        <f>MIN(B327,'Task 2'!D327*11)</f>
        <v>35.56666666666667</v>
      </c>
      <c r="D327" s="13">
        <f>MIN(B327-C327,'Task 2'!D327*6)</f>
        <v>19.400000000000002</v>
      </c>
      <c r="E327" s="13">
        <f t="shared" si="5"/>
        <v>215.03333333333333</v>
      </c>
      <c r="F327" s="7" t="s">
        <v>843</v>
      </c>
    </row>
    <row r="328" spans="1:6" x14ac:dyDescent="0.3">
      <c r="A328" s="7" t="s">
        <v>380</v>
      </c>
      <c r="B328" s="7">
        <v>270</v>
      </c>
      <c r="C328" s="13">
        <f>MIN(B328,'Task 2'!D328*11)</f>
        <v>37.766666666666666</v>
      </c>
      <c r="D328" s="13">
        <f>MIN(B328-C328,'Task 2'!D328*6)</f>
        <v>20.6</v>
      </c>
      <c r="E328" s="13">
        <f t="shared" si="5"/>
        <v>211.63333333333335</v>
      </c>
      <c r="F328" s="7" t="s">
        <v>843</v>
      </c>
    </row>
    <row r="329" spans="1:6" x14ac:dyDescent="0.3">
      <c r="A329" s="7" t="s">
        <v>381</v>
      </c>
      <c r="B329" s="7">
        <v>270</v>
      </c>
      <c r="C329" s="13">
        <f>MIN(B329,'Task 2'!D329*11)</f>
        <v>35.20000000000001</v>
      </c>
      <c r="D329" s="13">
        <f>MIN(B329-C329,'Task 2'!D329*6)</f>
        <v>19.200000000000003</v>
      </c>
      <c r="E329" s="13">
        <f t="shared" si="5"/>
        <v>215.59999999999997</v>
      </c>
      <c r="F329" s="7" t="s">
        <v>843</v>
      </c>
    </row>
    <row r="330" spans="1:6" x14ac:dyDescent="0.3">
      <c r="A330" s="7" t="s">
        <v>382</v>
      </c>
      <c r="B330" s="7">
        <v>180</v>
      </c>
      <c r="C330" s="13">
        <f>MIN(B330,'Task 2'!D330*11)</f>
        <v>28.966666666666665</v>
      </c>
      <c r="D330" s="13">
        <f>MIN(B330-C330,'Task 2'!D330*6)</f>
        <v>15.8</v>
      </c>
      <c r="E330" s="13">
        <f t="shared" si="5"/>
        <v>135.23333333333332</v>
      </c>
      <c r="F330" s="7" t="s">
        <v>843</v>
      </c>
    </row>
    <row r="331" spans="1:6" x14ac:dyDescent="0.3">
      <c r="A331" s="7" t="s">
        <v>383</v>
      </c>
      <c r="B331" s="7">
        <v>180</v>
      </c>
      <c r="C331" s="13">
        <f>MIN(B331,'Task 2'!D331*11)</f>
        <v>26.4</v>
      </c>
      <c r="D331" s="13">
        <f>MIN(B331-C331,'Task 2'!D331*6)</f>
        <v>14.399999999999999</v>
      </c>
      <c r="E331" s="13">
        <f t="shared" si="5"/>
        <v>139.19999999999999</v>
      </c>
      <c r="F331" s="7" t="s">
        <v>843</v>
      </c>
    </row>
    <row r="332" spans="1:6" x14ac:dyDescent="0.3">
      <c r="A332" s="7" t="s">
        <v>384</v>
      </c>
      <c r="B332" s="7">
        <v>270</v>
      </c>
      <c r="C332" s="13">
        <f>MIN(B332,'Task 2'!D332*11)</f>
        <v>39.233333333333334</v>
      </c>
      <c r="D332" s="13">
        <f>MIN(B332-C332,'Task 2'!D332*6)</f>
        <v>21.4</v>
      </c>
      <c r="E332" s="13">
        <f t="shared" si="5"/>
        <v>209.36666666666665</v>
      </c>
      <c r="F332" s="7" t="s">
        <v>843</v>
      </c>
    </row>
    <row r="333" spans="1:6" x14ac:dyDescent="0.3">
      <c r="A333" s="7" t="s">
        <v>385</v>
      </c>
      <c r="B333" s="7">
        <v>270</v>
      </c>
      <c r="C333" s="13">
        <f>MIN(B333,'Task 2'!D333*11)</f>
        <v>25.666666666666668</v>
      </c>
      <c r="D333" s="13">
        <f>MIN(B333-C333,'Task 2'!D333*6)</f>
        <v>14</v>
      </c>
      <c r="E333" s="13">
        <f t="shared" si="5"/>
        <v>230.33333333333334</v>
      </c>
      <c r="F333" s="7" t="s">
        <v>843</v>
      </c>
    </row>
    <row r="334" spans="1:6" x14ac:dyDescent="0.3">
      <c r="A334" s="7" t="s">
        <v>386</v>
      </c>
      <c r="B334" s="7">
        <v>270</v>
      </c>
      <c r="C334" s="13">
        <f>MIN(B334,'Task 2'!D334*11)</f>
        <v>8.4333333333333336</v>
      </c>
      <c r="D334" s="13">
        <f>MIN(B334-C334,'Task 2'!D334*6)</f>
        <v>4.6000000000000005</v>
      </c>
      <c r="E334" s="13">
        <f t="shared" si="5"/>
        <v>256.96666666666664</v>
      </c>
      <c r="F334" s="7" t="s">
        <v>843</v>
      </c>
    </row>
    <row r="335" spans="1:6" x14ac:dyDescent="0.3">
      <c r="A335" s="7" t="s">
        <v>387</v>
      </c>
      <c r="B335" s="7">
        <v>180</v>
      </c>
      <c r="C335" s="13">
        <f>MIN(B335,'Task 2'!D335*11)</f>
        <v>23.833333333333332</v>
      </c>
      <c r="D335" s="13">
        <f>MIN(B335-C335,'Task 2'!D335*6)</f>
        <v>13</v>
      </c>
      <c r="E335" s="13">
        <f t="shared" si="5"/>
        <v>143.16666666666666</v>
      </c>
      <c r="F335" s="7" t="s">
        <v>843</v>
      </c>
    </row>
    <row r="336" spans="1:6" x14ac:dyDescent="0.3">
      <c r="A336" s="7" t="s">
        <v>388</v>
      </c>
      <c r="B336" s="7">
        <v>270</v>
      </c>
      <c r="C336" s="13">
        <f>MIN(B336,'Task 2'!D336*11)</f>
        <v>20.900000000000002</v>
      </c>
      <c r="D336" s="13">
        <f>MIN(B336-C336,'Task 2'!D336*6)</f>
        <v>11.4</v>
      </c>
      <c r="E336" s="13">
        <f t="shared" si="5"/>
        <v>237.7</v>
      </c>
      <c r="F336" s="7" t="s">
        <v>843</v>
      </c>
    </row>
    <row r="337" spans="1:6" x14ac:dyDescent="0.3">
      <c r="A337" s="7" t="s">
        <v>389</v>
      </c>
      <c r="B337" s="7">
        <v>180</v>
      </c>
      <c r="C337" s="13">
        <f>MIN(B337,'Task 2'!D337*11)</f>
        <v>24.200000000000003</v>
      </c>
      <c r="D337" s="13">
        <f>MIN(B337-C337,'Task 2'!D337*6)</f>
        <v>13.200000000000001</v>
      </c>
      <c r="E337" s="13">
        <f t="shared" si="5"/>
        <v>142.60000000000002</v>
      </c>
      <c r="F337" s="7" t="s">
        <v>843</v>
      </c>
    </row>
    <row r="338" spans="1:6" x14ac:dyDescent="0.3">
      <c r="A338" s="7" t="s">
        <v>390</v>
      </c>
      <c r="B338" s="7">
        <v>270</v>
      </c>
      <c r="C338" s="13">
        <f>MIN(B338,'Task 2'!D338*11)</f>
        <v>25.666666666666668</v>
      </c>
      <c r="D338" s="13">
        <f>MIN(B338-C338,'Task 2'!D338*6)</f>
        <v>14</v>
      </c>
      <c r="E338" s="13">
        <f t="shared" si="5"/>
        <v>230.33333333333334</v>
      </c>
      <c r="F338" s="7" t="s">
        <v>843</v>
      </c>
    </row>
    <row r="339" spans="1:6" x14ac:dyDescent="0.3">
      <c r="A339" s="7" t="s">
        <v>391</v>
      </c>
      <c r="B339" s="7">
        <v>270</v>
      </c>
      <c r="C339" s="13">
        <f>MIN(B339,'Task 2'!D339*11)</f>
        <v>17.599999999999998</v>
      </c>
      <c r="D339" s="13">
        <f>MIN(B339-C339,'Task 2'!D339*6)</f>
        <v>9.6</v>
      </c>
      <c r="E339" s="13">
        <f t="shared" si="5"/>
        <v>242.8</v>
      </c>
      <c r="F339" s="7" t="s">
        <v>843</v>
      </c>
    </row>
    <row r="340" spans="1:6" x14ac:dyDescent="0.3">
      <c r="A340" s="7" t="s">
        <v>392</v>
      </c>
      <c r="B340" s="7">
        <v>180</v>
      </c>
      <c r="C340" s="13">
        <f>MIN(B340,'Task 2'!D340*11)</f>
        <v>34.466666666666669</v>
      </c>
      <c r="D340" s="13">
        <f>MIN(B340-C340,'Task 2'!D340*6)</f>
        <v>18.8</v>
      </c>
      <c r="E340" s="13">
        <f t="shared" si="5"/>
        <v>126.73333333333333</v>
      </c>
      <c r="F340" s="7" t="s">
        <v>843</v>
      </c>
    </row>
    <row r="341" spans="1:6" x14ac:dyDescent="0.3">
      <c r="A341" s="7" t="s">
        <v>393</v>
      </c>
      <c r="B341" s="7">
        <v>540</v>
      </c>
      <c r="C341" s="13">
        <f>MIN(B341,'Task 2'!D341*11)</f>
        <v>66.733333333333334</v>
      </c>
      <c r="D341" s="13">
        <f>MIN(B341-C341,'Task 2'!D341*6)</f>
        <v>36.4</v>
      </c>
      <c r="E341" s="13">
        <f t="shared" si="5"/>
        <v>436.86666666666667</v>
      </c>
      <c r="F341" s="7" t="s">
        <v>843</v>
      </c>
    </row>
    <row r="342" spans="1:6" x14ac:dyDescent="0.3">
      <c r="A342" s="7" t="s">
        <v>394</v>
      </c>
      <c r="B342" s="7">
        <v>270</v>
      </c>
      <c r="C342" s="13">
        <f>MIN(B342,'Task 2'!D342*11)</f>
        <v>33</v>
      </c>
      <c r="D342" s="13">
        <f>MIN(B342-C342,'Task 2'!D342*6)</f>
        <v>18</v>
      </c>
      <c r="E342" s="13">
        <f t="shared" si="5"/>
        <v>219</v>
      </c>
      <c r="F342" s="7" t="s">
        <v>843</v>
      </c>
    </row>
    <row r="343" spans="1:6" x14ac:dyDescent="0.3">
      <c r="A343" s="7" t="s">
        <v>395</v>
      </c>
      <c r="B343" s="7">
        <v>180</v>
      </c>
      <c r="C343" s="13">
        <f>MIN(B343,'Task 2'!D343*11)</f>
        <v>24.200000000000003</v>
      </c>
      <c r="D343" s="13">
        <f>MIN(B343-C343,'Task 2'!D343*6)</f>
        <v>13.200000000000001</v>
      </c>
      <c r="E343" s="13">
        <f t="shared" si="5"/>
        <v>142.60000000000002</v>
      </c>
      <c r="F343" s="7" t="s">
        <v>843</v>
      </c>
    </row>
    <row r="344" spans="1:6" x14ac:dyDescent="0.3">
      <c r="A344" s="7" t="s">
        <v>396</v>
      </c>
      <c r="B344" s="7">
        <v>270</v>
      </c>
      <c r="C344" s="13">
        <f>MIN(B344,'Task 2'!D344*11)</f>
        <v>24.933333333333326</v>
      </c>
      <c r="D344" s="13">
        <f>MIN(B344-C344,'Task 2'!D344*6)</f>
        <v>13.599999999999998</v>
      </c>
      <c r="E344" s="13">
        <f t="shared" si="5"/>
        <v>231.46666666666667</v>
      </c>
      <c r="F344" s="7" t="s">
        <v>843</v>
      </c>
    </row>
    <row r="345" spans="1:6" x14ac:dyDescent="0.3">
      <c r="A345" s="7" t="s">
        <v>397</v>
      </c>
      <c r="B345" s="7">
        <v>180</v>
      </c>
      <c r="C345" s="13">
        <f>MIN(B345,'Task 2'!D345*11)</f>
        <v>24.566666666666663</v>
      </c>
      <c r="D345" s="13">
        <f>MIN(B345-C345,'Task 2'!D345*6)</f>
        <v>13.399999999999999</v>
      </c>
      <c r="E345" s="13">
        <f t="shared" si="5"/>
        <v>142.03333333333333</v>
      </c>
      <c r="F345" s="7" t="s">
        <v>843</v>
      </c>
    </row>
    <row r="346" spans="1:6" x14ac:dyDescent="0.3">
      <c r="A346" s="7" t="s">
        <v>398</v>
      </c>
      <c r="B346" s="7">
        <v>270</v>
      </c>
      <c r="C346" s="13">
        <f>MIN(B346,'Task 2'!D346*11)</f>
        <v>26.4</v>
      </c>
      <c r="D346" s="13">
        <f>MIN(B346-C346,'Task 2'!D346*6)</f>
        <v>14.399999999999999</v>
      </c>
      <c r="E346" s="13">
        <f t="shared" si="5"/>
        <v>229.2</v>
      </c>
      <c r="F346" s="7" t="s">
        <v>843</v>
      </c>
    </row>
    <row r="347" spans="1:6" x14ac:dyDescent="0.3">
      <c r="A347" s="7" t="s">
        <v>399</v>
      </c>
      <c r="B347" s="7">
        <v>270</v>
      </c>
      <c r="C347" s="13">
        <f>MIN(B347,'Task 2'!D347*11)</f>
        <v>12.466666666666667</v>
      </c>
      <c r="D347" s="13">
        <f>MIN(B347-C347,'Task 2'!D347*6)</f>
        <v>6.8</v>
      </c>
      <c r="E347" s="13">
        <f t="shared" si="5"/>
        <v>250.73333333333335</v>
      </c>
      <c r="F347" s="7" t="s">
        <v>843</v>
      </c>
    </row>
    <row r="348" spans="1:6" x14ac:dyDescent="0.3">
      <c r="A348" s="7" t="s">
        <v>400</v>
      </c>
      <c r="B348" s="7">
        <v>270</v>
      </c>
      <c r="C348" s="13">
        <f>MIN(B348,'Task 2'!D348*11)</f>
        <v>16.5</v>
      </c>
      <c r="D348" s="13">
        <f>MIN(B348-C348,'Task 2'!D348*6)</f>
        <v>9</v>
      </c>
      <c r="E348" s="13">
        <f t="shared" si="5"/>
        <v>244.5</v>
      </c>
      <c r="F348" s="7" t="s">
        <v>843</v>
      </c>
    </row>
    <row r="349" spans="1:6" x14ac:dyDescent="0.3">
      <c r="A349" s="7" t="s">
        <v>401</v>
      </c>
      <c r="B349" s="7">
        <v>1440</v>
      </c>
      <c r="C349" s="13">
        <f>MIN(B349,'Task 2'!D349*11)</f>
        <v>9.5333333333333332</v>
      </c>
      <c r="D349" s="13">
        <f>MIN(B349-C349,'Task 2'!D349*6)</f>
        <v>5.1999999999999993</v>
      </c>
      <c r="E349" s="13">
        <f t="shared" si="5"/>
        <v>1425.2666666666667</v>
      </c>
      <c r="F349" s="7" t="s">
        <v>843</v>
      </c>
    </row>
    <row r="350" spans="1:6" x14ac:dyDescent="0.3">
      <c r="A350" s="7" t="s">
        <v>402</v>
      </c>
      <c r="B350" s="7">
        <v>180</v>
      </c>
      <c r="C350" s="13">
        <f>MIN(B350,'Task 2'!D350*11)</f>
        <v>41.433333333333337</v>
      </c>
      <c r="D350" s="13">
        <f>MIN(B350-C350,'Task 2'!D350*6)</f>
        <v>22.6</v>
      </c>
      <c r="E350" s="13">
        <f t="shared" si="5"/>
        <v>115.96666666666667</v>
      </c>
      <c r="F350" s="7" t="s">
        <v>843</v>
      </c>
    </row>
    <row r="351" spans="1:6" x14ac:dyDescent="0.3">
      <c r="A351" s="7" t="s">
        <v>403</v>
      </c>
      <c r="B351" s="7">
        <v>270</v>
      </c>
      <c r="C351" s="13">
        <f>MIN(B351,'Task 2'!D351*11)</f>
        <v>28.233333333333334</v>
      </c>
      <c r="D351" s="13">
        <f>MIN(B351-C351,'Task 2'!D351*6)</f>
        <v>15.400000000000002</v>
      </c>
      <c r="E351" s="13">
        <f t="shared" si="5"/>
        <v>226.36666666666665</v>
      </c>
      <c r="F351" s="7" t="s">
        <v>843</v>
      </c>
    </row>
    <row r="352" spans="1:6" x14ac:dyDescent="0.3">
      <c r="A352" s="7" t="s">
        <v>404</v>
      </c>
      <c r="B352" s="7">
        <v>1440</v>
      </c>
      <c r="C352" s="13">
        <f>MIN(B352,'Task 2'!D352*11)</f>
        <v>34.466666666666669</v>
      </c>
      <c r="D352" s="13">
        <f>MIN(B352-C352,'Task 2'!D352*6)</f>
        <v>18.8</v>
      </c>
      <c r="E352" s="13">
        <f t="shared" si="5"/>
        <v>1386.7333333333333</v>
      </c>
      <c r="F352" s="7" t="s">
        <v>843</v>
      </c>
    </row>
    <row r="353" spans="1:6" x14ac:dyDescent="0.3">
      <c r="A353" s="7" t="s">
        <v>405</v>
      </c>
      <c r="B353" s="7">
        <v>1440</v>
      </c>
      <c r="C353" s="13">
        <f>MIN(B353,'Task 2'!D353*11)</f>
        <v>16.5</v>
      </c>
      <c r="D353" s="13">
        <f>MIN(B353-C353,'Task 2'!D353*6)</f>
        <v>9</v>
      </c>
      <c r="E353" s="13">
        <f t="shared" si="5"/>
        <v>1414.5</v>
      </c>
      <c r="F353" s="7" t="s">
        <v>843</v>
      </c>
    </row>
    <row r="354" spans="1:6" x14ac:dyDescent="0.3">
      <c r="A354" s="7" t="s">
        <v>406</v>
      </c>
      <c r="B354" s="7">
        <v>270</v>
      </c>
      <c r="C354" s="13">
        <f>MIN(B354,'Task 2'!D354*11)</f>
        <v>16.5</v>
      </c>
      <c r="D354" s="13">
        <f>MIN(B354-C354,'Task 2'!D354*6)</f>
        <v>9</v>
      </c>
      <c r="E354" s="13">
        <f t="shared" si="5"/>
        <v>244.5</v>
      </c>
      <c r="F354" s="7" t="s">
        <v>843</v>
      </c>
    </row>
    <row r="355" spans="1:6" x14ac:dyDescent="0.3">
      <c r="A355" s="7" t="s">
        <v>407</v>
      </c>
      <c r="B355" s="7">
        <v>270</v>
      </c>
      <c r="C355" s="13">
        <f>MIN(B355,'Task 2'!D355*11)</f>
        <v>22</v>
      </c>
      <c r="D355" s="13">
        <f>MIN(B355-C355,'Task 2'!D355*6)</f>
        <v>12</v>
      </c>
      <c r="E355" s="13">
        <f t="shared" si="5"/>
        <v>236</v>
      </c>
      <c r="F355" s="7" t="s">
        <v>843</v>
      </c>
    </row>
    <row r="356" spans="1:6" x14ac:dyDescent="0.3">
      <c r="A356" s="7" t="s">
        <v>408</v>
      </c>
      <c r="B356" s="7">
        <v>270</v>
      </c>
      <c r="C356" s="13">
        <f>MIN(B356,'Task 2'!D356*11)</f>
        <v>14.666666666666666</v>
      </c>
      <c r="D356" s="13">
        <f>MIN(B356-C356,'Task 2'!D356*6)</f>
        <v>8</v>
      </c>
      <c r="E356" s="13">
        <f t="shared" si="5"/>
        <v>247.33333333333334</v>
      </c>
      <c r="F356" s="7" t="s">
        <v>843</v>
      </c>
    </row>
    <row r="357" spans="1:6" x14ac:dyDescent="0.3">
      <c r="A357" s="7" t="s">
        <v>409</v>
      </c>
      <c r="B357" s="7">
        <v>180</v>
      </c>
      <c r="C357" s="13">
        <f>MIN(B357,'Task 2'!D357*11)</f>
        <v>17.233333333333334</v>
      </c>
      <c r="D357" s="13">
        <f>MIN(B357-C357,'Task 2'!D357*6)</f>
        <v>9.4</v>
      </c>
      <c r="E357" s="13">
        <f t="shared" si="5"/>
        <v>153.36666666666665</v>
      </c>
      <c r="F357" s="7" t="s">
        <v>843</v>
      </c>
    </row>
    <row r="358" spans="1:6" x14ac:dyDescent="0.3">
      <c r="A358" s="7" t="s">
        <v>410</v>
      </c>
      <c r="B358" s="7">
        <v>360</v>
      </c>
      <c r="C358" s="13">
        <f>MIN(B358,'Task 2'!D358*11)</f>
        <v>89.833333333333329</v>
      </c>
      <c r="D358" s="13">
        <f>MIN(B358-C358,'Task 2'!D358*6)</f>
        <v>49</v>
      </c>
      <c r="E358" s="13">
        <f t="shared" si="5"/>
        <v>221.16666666666669</v>
      </c>
      <c r="F358" s="7" t="s">
        <v>843</v>
      </c>
    </row>
    <row r="359" spans="1:6" x14ac:dyDescent="0.3">
      <c r="A359" s="7" t="s">
        <v>411</v>
      </c>
      <c r="B359" s="7">
        <v>180</v>
      </c>
      <c r="C359" s="13">
        <f>MIN(B359,'Task 2'!D359*11)</f>
        <v>18.7</v>
      </c>
      <c r="D359" s="13">
        <f>MIN(B359-C359,'Task 2'!D359*6)</f>
        <v>10.199999999999999</v>
      </c>
      <c r="E359" s="13">
        <f t="shared" si="5"/>
        <v>151.10000000000002</v>
      </c>
      <c r="F359" s="7" t="s">
        <v>843</v>
      </c>
    </row>
    <row r="360" spans="1:6" x14ac:dyDescent="0.3">
      <c r="A360" s="7" t="s">
        <v>412</v>
      </c>
      <c r="B360" s="7">
        <v>180</v>
      </c>
      <c r="C360" s="13">
        <f>MIN(B360,'Task 2'!D360*11)</f>
        <v>41.800000000000004</v>
      </c>
      <c r="D360" s="13">
        <f>MIN(B360-C360,'Task 2'!D360*6)</f>
        <v>22.8</v>
      </c>
      <c r="E360" s="13">
        <f t="shared" si="5"/>
        <v>115.39999999999999</v>
      </c>
      <c r="F360" s="7" t="s">
        <v>843</v>
      </c>
    </row>
    <row r="361" spans="1:6" x14ac:dyDescent="0.3">
      <c r="A361" s="7" t="s">
        <v>413</v>
      </c>
      <c r="B361" s="7">
        <v>270</v>
      </c>
      <c r="C361" s="13">
        <f>MIN(B361,'Task 2'!D361*11)</f>
        <v>27.866666666666667</v>
      </c>
      <c r="D361" s="13">
        <f>MIN(B361-C361,'Task 2'!D361*6)</f>
        <v>15.2</v>
      </c>
      <c r="E361" s="13">
        <f t="shared" si="5"/>
        <v>226.93333333333334</v>
      </c>
      <c r="F361" s="7" t="s">
        <v>843</v>
      </c>
    </row>
    <row r="362" spans="1:6" x14ac:dyDescent="0.3">
      <c r="A362" s="7" t="s">
        <v>414</v>
      </c>
      <c r="B362" s="7">
        <v>180</v>
      </c>
      <c r="C362" s="13">
        <f>MIN(B362,'Task 2'!D362*11)</f>
        <v>31.166666666666668</v>
      </c>
      <c r="D362" s="13">
        <f>MIN(B362-C362,'Task 2'!D362*6)</f>
        <v>17</v>
      </c>
      <c r="E362" s="13">
        <f t="shared" si="5"/>
        <v>131.83333333333334</v>
      </c>
      <c r="F362" s="7" t="s">
        <v>843</v>
      </c>
    </row>
    <row r="363" spans="1:6" x14ac:dyDescent="0.3">
      <c r="A363" s="7" t="s">
        <v>415</v>
      </c>
      <c r="B363" s="7">
        <v>180</v>
      </c>
      <c r="C363" s="13">
        <f>MIN(B363,'Task 2'!D363*11)</f>
        <v>24.933333333333334</v>
      </c>
      <c r="D363" s="13">
        <f>MIN(B363-C363,'Task 2'!D363*6)</f>
        <v>13.6</v>
      </c>
      <c r="E363" s="13">
        <f t="shared" si="5"/>
        <v>141.46666666666667</v>
      </c>
      <c r="F363" s="7" t="s">
        <v>843</v>
      </c>
    </row>
    <row r="364" spans="1:6" x14ac:dyDescent="0.3">
      <c r="A364" s="7" t="s">
        <v>416</v>
      </c>
      <c r="B364" s="7">
        <v>180</v>
      </c>
      <c r="C364" s="13">
        <f>MIN(B364,'Task 2'!D364*11)</f>
        <v>18.333333333333336</v>
      </c>
      <c r="D364" s="13">
        <f>MIN(B364-C364,'Task 2'!D364*6)</f>
        <v>10</v>
      </c>
      <c r="E364" s="13">
        <f t="shared" si="5"/>
        <v>151.66666666666666</v>
      </c>
      <c r="F364" s="7" t="s">
        <v>843</v>
      </c>
    </row>
    <row r="365" spans="1:6" x14ac:dyDescent="0.3">
      <c r="A365" s="7" t="s">
        <v>417</v>
      </c>
      <c r="B365" s="7">
        <v>270</v>
      </c>
      <c r="C365" s="13">
        <f>MIN(B365,'Task 2'!D365*11)</f>
        <v>15.399999999999997</v>
      </c>
      <c r="D365" s="13">
        <f>MIN(B365-C365,'Task 2'!D365*6)</f>
        <v>8.3999999999999986</v>
      </c>
      <c r="E365" s="13">
        <f t="shared" si="5"/>
        <v>246.2</v>
      </c>
      <c r="F365" s="7" t="s">
        <v>843</v>
      </c>
    </row>
    <row r="366" spans="1:6" x14ac:dyDescent="0.3">
      <c r="A366" s="7" t="s">
        <v>418</v>
      </c>
      <c r="B366" s="7">
        <v>270</v>
      </c>
      <c r="C366" s="13">
        <f>MIN(B366,'Task 2'!D366*11)</f>
        <v>24.199999999999996</v>
      </c>
      <c r="D366" s="13">
        <f>MIN(B366-C366,'Task 2'!D366*6)</f>
        <v>13.2</v>
      </c>
      <c r="E366" s="13">
        <f t="shared" si="5"/>
        <v>232.60000000000002</v>
      </c>
      <c r="F366" s="7" t="s">
        <v>843</v>
      </c>
    </row>
    <row r="367" spans="1:6" x14ac:dyDescent="0.3">
      <c r="A367" s="7" t="s">
        <v>419</v>
      </c>
      <c r="B367" s="7">
        <v>270</v>
      </c>
      <c r="C367" s="13">
        <f>MIN(B367,'Task 2'!D367*11)</f>
        <v>11.366666666666665</v>
      </c>
      <c r="D367" s="13">
        <f>MIN(B367-C367,'Task 2'!D367*6)</f>
        <v>6.1999999999999993</v>
      </c>
      <c r="E367" s="13">
        <f t="shared" si="5"/>
        <v>252.43333333333334</v>
      </c>
      <c r="F367" s="7" t="s">
        <v>843</v>
      </c>
    </row>
    <row r="368" spans="1:6" x14ac:dyDescent="0.3">
      <c r="A368" s="7" t="s">
        <v>420</v>
      </c>
      <c r="B368" s="7">
        <v>270</v>
      </c>
      <c r="C368" s="13">
        <f>MIN(B368,'Task 2'!D368*11)</f>
        <v>18.333333333333336</v>
      </c>
      <c r="D368" s="13">
        <f>MIN(B368-C368,'Task 2'!D368*6)</f>
        <v>10</v>
      </c>
      <c r="E368" s="13">
        <f t="shared" si="5"/>
        <v>241.66666666666666</v>
      </c>
      <c r="F368" s="7" t="s">
        <v>843</v>
      </c>
    </row>
    <row r="369" spans="1:6" x14ac:dyDescent="0.3">
      <c r="A369" s="7" t="s">
        <v>421</v>
      </c>
      <c r="B369" s="7">
        <v>180</v>
      </c>
      <c r="C369" s="13">
        <f>MIN(B369,'Task 2'!D369*11)</f>
        <v>26.4</v>
      </c>
      <c r="D369" s="13">
        <f>MIN(B369-C369,'Task 2'!D369*6)</f>
        <v>14.399999999999999</v>
      </c>
      <c r="E369" s="13">
        <f t="shared" si="5"/>
        <v>139.19999999999999</v>
      </c>
      <c r="F369" s="7" t="s">
        <v>843</v>
      </c>
    </row>
    <row r="370" spans="1:6" x14ac:dyDescent="0.3">
      <c r="A370" s="7" t="s">
        <v>422</v>
      </c>
      <c r="B370" s="7">
        <v>1080</v>
      </c>
      <c r="C370" s="13">
        <f>MIN(B370,'Task 2'!D370*11)</f>
        <v>23.833333333333332</v>
      </c>
      <c r="D370" s="13">
        <f>MIN(B370-C370,'Task 2'!D370*6)</f>
        <v>13</v>
      </c>
      <c r="E370" s="13">
        <f t="shared" si="5"/>
        <v>1043.1666666666667</v>
      </c>
      <c r="F370" s="7" t="s">
        <v>843</v>
      </c>
    </row>
    <row r="371" spans="1:6" x14ac:dyDescent="0.3">
      <c r="A371" s="7" t="s">
        <v>423</v>
      </c>
      <c r="B371" s="7">
        <v>270</v>
      </c>
      <c r="C371" s="13">
        <f>MIN(B371,'Task 2'!D371*11)</f>
        <v>35.566666666666663</v>
      </c>
      <c r="D371" s="13">
        <f>MIN(B371-C371,'Task 2'!D371*6)</f>
        <v>19.399999999999999</v>
      </c>
      <c r="E371" s="13">
        <f t="shared" si="5"/>
        <v>215.03333333333333</v>
      </c>
      <c r="F371" s="7" t="s">
        <v>843</v>
      </c>
    </row>
    <row r="372" spans="1:6" x14ac:dyDescent="0.3">
      <c r="A372" s="7" t="s">
        <v>424</v>
      </c>
      <c r="B372" s="7">
        <v>270</v>
      </c>
      <c r="C372" s="13">
        <f>MIN(B372,'Task 2'!D372*11)</f>
        <v>26.4</v>
      </c>
      <c r="D372" s="13">
        <f>MIN(B372-C372,'Task 2'!D372*6)</f>
        <v>14.399999999999999</v>
      </c>
      <c r="E372" s="13">
        <f t="shared" si="5"/>
        <v>229.2</v>
      </c>
      <c r="F372" s="7" t="s">
        <v>843</v>
      </c>
    </row>
    <row r="373" spans="1:6" x14ac:dyDescent="0.3">
      <c r="A373" s="7" t="s">
        <v>425</v>
      </c>
      <c r="B373" s="7">
        <v>270</v>
      </c>
      <c r="C373" s="13">
        <f>MIN(B373,'Task 2'!D373*11)</f>
        <v>24.933333333333337</v>
      </c>
      <c r="D373" s="13">
        <f>MIN(B373-C373,'Task 2'!D373*6)</f>
        <v>13.600000000000001</v>
      </c>
      <c r="E373" s="13">
        <f t="shared" si="5"/>
        <v>231.46666666666667</v>
      </c>
      <c r="F373" s="7" t="s">
        <v>843</v>
      </c>
    </row>
    <row r="374" spans="1:6" x14ac:dyDescent="0.3">
      <c r="A374" s="7" t="s">
        <v>426</v>
      </c>
      <c r="B374" s="7">
        <v>180</v>
      </c>
      <c r="C374" s="13">
        <f>MIN(B374,'Task 2'!D374*11)</f>
        <v>30.800000000000004</v>
      </c>
      <c r="D374" s="13">
        <f>MIN(B374-C374,'Task 2'!D374*6)</f>
        <v>16.8</v>
      </c>
      <c r="E374" s="13">
        <f t="shared" si="5"/>
        <v>132.39999999999998</v>
      </c>
      <c r="F374" s="7" t="s">
        <v>843</v>
      </c>
    </row>
    <row r="375" spans="1:6" x14ac:dyDescent="0.3">
      <c r="A375" s="7" t="s">
        <v>427</v>
      </c>
      <c r="B375" s="7">
        <v>270</v>
      </c>
      <c r="C375" s="13">
        <f>MIN(B375,'Task 2'!D375*11)</f>
        <v>17.966666666666669</v>
      </c>
      <c r="D375" s="13">
        <f>MIN(B375-C375,'Task 2'!D375*6)</f>
        <v>9.8000000000000007</v>
      </c>
      <c r="E375" s="13">
        <f t="shared" si="5"/>
        <v>242.23333333333332</v>
      </c>
      <c r="F375" s="7" t="s">
        <v>843</v>
      </c>
    </row>
    <row r="376" spans="1:6" x14ac:dyDescent="0.3">
      <c r="A376" s="7" t="s">
        <v>428</v>
      </c>
      <c r="B376" s="7">
        <v>180</v>
      </c>
      <c r="C376" s="13">
        <f>MIN(B376,'Task 2'!D376*11)</f>
        <v>11.366666666666667</v>
      </c>
      <c r="D376" s="13">
        <f>MIN(B376-C376,'Task 2'!D376*6)</f>
        <v>6.2000000000000011</v>
      </c>
      <c r="E376" s="13">
        <f t="shared" si="5"/>
        <v>162.43333333333334</v>
      </c>
      <c r="F376" s="7" t="s">
        <v>843</v>
      </c>
    </row>
    <row r="377" spans="1:6" x14ac:dyDescent="0.3">
      <c r="A377" s="7" t="s">
        <v>429</v>
      </c>
      <c r="B377" s="7">
        <v>270</v>
      </c>
      <c r="C377" s="13">
        <f>MIN(B377,'Task 2'!D377*11)</f>
        <v>12.466666666666669</v>
      </c>
      <c r="D377" s="13">
        <f>MIN(B377-C377,'Task 2'!D377*6)</f>
        <v>6.8000000000000007</v>
      </c>
      <c r="E377" s="13">
        <f t="shared" si="5"/>
        <v>250.73333333333329</v>
      </c>
      <c r="F377" s="7" t="s">
        <v>843</v>
      </c>
    </row>
    <row r="378" spans="1:6" x14ac:dyDescent="0.3">
      <c r="A378" s="7" t="s">
        <v>430</v>
      </c>
      <c r="B378" s="7">
        <v>270</v>
      </c>
      <c r="C378" s="13">
        <f>MIN(B378,'Task 2'!D378*11)</f>
        <v>7.7000000000000011</v>
      </c>
      <c r="D378" s="13">
        <f>MIN(B378-C378,'Task 2'!D378*6)</f>
        <v>4.2</v>
      </c>
      <c r="E378" s="13">
        <f t="shared" si="5"/>
        <v>258.10000000000002</v>
      </c>
      <c r="F378" s="7" t="s">
        <v>843</v>
      </c>
    </row>
    <row r="379" spans="1:6" x14ac:dyDescent="0.3">
      <c r="A379" s="7" t="s">
        <v>431</v>
      </c>
      <c r="B379" s="7">
        <v>180</v>
      </c>
      <c r="C379" s="13">
        <f>MIN(B379,'Task 2'!D379*11)</f>
        <v>18.7</v>
      </c>
      <c r="D379" s="13">
        <f>MIN(B379-C379,'Task 2'!D379*6)</f>
        <v>10.199999999999999</v>
      </c>
      <c r="E379" s="13">
        <f t="shared" si="5"/>
        <v>151.10000000000002</v>
      </c>
      <c r="F379" s="7" t="s">
        <v>843</v>
      </c>
    </row>
    <row r="380" spans="1:6" x14ac:dyDescent="0.3">
      <c r="A380" s="7" t="s">
        <v>432</v>
      </c>
      <c r="B380" s="7">
        <v>270</v>
      </c>
      <c r="C380" s="13">
        <f>MIN(B380,'Task 2'!D380*11)</f>
        <v>16.866666666666667</v>
      </c>
      <c r="D380" s="13">
        <f>MIN(B380-C380,'Task 2'!D380*6)</f>
        <v>9.1999999999999993</v>
      </c>
      <c r="E380" s="13">
        <f t="shared" si="5"/>
        <v>243.93333333333334</v>
      </c>
      <c r="F380" s="7" t="s">
        <v>843</v>
      </c>
    </row>
    <row r="381" spans="1:6" x14ac:dyDescent="0.3">
      <c r="A381" s="7" t="s">
        <v>433</v>
      </c>
      <c r="B381" s="7">
        <v>180</v>
      </c>
      <c r="C381" s="13">
        <f>MIN(B381,'Task 2'!D381*11)</f>
        <v>22.366666666666667</v>
      </c>
      <c r="D381" s="13">
        <f>MIN(B381-C381,'Task 2'!D381*6)</f>
        <v>12.2</v>
      </c>
      <c r="E381" s="13">
        <f t="shared" si="5"/>
        <v>145.43333333333334</v>
      </c>
      <c r="F381" s="7" t="s">
        <v>843</v>
      </c>
    </row>
    <row r="382" spans="1:6" x14ac:dyDescent="0.3">
      <c r="A382" s="7" t="s">
        <v>434</v>
      </c>
      <c r="B382" s="7">
        <v>270</v>
      </c>
      <c r="C382" s="13">
        <f>MIN(B382,'Task 2'!D382*11)</f>
        <v>19.8</v>
      </c>
      <c r="D382" s="13">
        <f>MIN(B382-C382,'Task 2'!D382*6)</f>
        <v>10.8</v>
      </c>
      <c r="E382" s="13">
        <f t="shared" si="5"/>
        <v>239.39999999999998</v>
      </c>
      <c r="F382" s="7" t="s">
        <v>843</v>
      </c>
    </row>
    <row r="383" spans="1:6" x14ac:dyDescent="0.3">
      <c r="A383" s="7" t="s">
        <v>435</v>
      </c>
      <c r="B383" s="7">
        <v>180</v>
      </c>
      <c r="C383" s="13">
        <f>MIN(B383,'Task 2'!D383*11)</f>
        <v>35.566666666666663</v>
      </c>
      <c r="D383" s="13">
        <f>MIN(B383-C383,'Task 2'!D383*6)</f>
        <v>19.399999999999999</v>
      </c>
      <c r="E383" s="13">
        <f t="shared" si="5"/>
        <v>125.03333333333333</v>
      </c>
      <c r="F383" s="7" t="s">
        <v>843</v>
      </c>
    </row>
    <row r="384" spans="1:6" x14ac:dyDescent="0.3">
      <c r="A384" s="7" t="s">
        <v>436</v>
      </c>
      <c r="B384" s="7">
        <v>270</v>
      </c>
      <c r="C384" s="13">
        <f>MIN(B384,'Task 2'!D384*11)</f>
        <v>27.866666666666667</v>
      </c>
      <c r="D384" s="13">
        <f>MIN(B384-C384,'Task 2'!D384*6)</f>
        <v>15.2</v>
      </c>
      <c r="E384" s="13">
        <f t="shared" si="5"/>
        <v>226.93333333333334</v>
      </c>
      <c r="F384" s="7" t="s">
        <v>843</v>
      </c>
    </row>
    <row r="385" spans="1:6" x14ac:dyDescent="0.3">
      <c r="A385" s="7" t="s">
        <v>437</v>
      </c>
      <c r="B385" s="7">
        <v>180</v>
      </c>
      <c r="C385" s="13">
        <f>MIN(B385,'Task 2'!D385*11)</f>
        <v>20.900000000000002</v>
      </c>
      <c r="D385" s="13">
        <f>MIN(B385-C385,'Task 2'!D385*6)</f>
        <v>11.4</v>
      </c>
      <c r="E385" s="13">
        <f t="shared" si="5"/>
        <v>147.69999999999999</v>
      </c>
      <c r="F385" s="7" t="s">
        <v>843</v>
      </c>
    </row>
    <row r="386" spans="1:6" x14ac:dyDescent="0.3">
      <c r="A386" s="7" t="s">
        <v>438</v>
      </c>
      <c r="B386" s="7">
        <v>270</v>
      </c>
      <c r="C386" s="13">
        <f>MIN(B386,'Task 2'!D386*11)</f>
        <v>6.6</v>
      </c>
      <c r="D386" s="13">
        <f>MIN(B386-C386,'Task 2'!D386*6)</f>
        <v>3.5999999999999996</v>
      </c>
      <c r="E386" s="13">
        <f t="shared" si="5"/>
        <v>259.79999999999995</v>
      </c>
      <c r="F386" s="7" t="s">
        <v>843</v>
      </c>
    </row>
    <row r="387" spans="1:6" x14ac:dyDescent="0.3">
      <c r="A387" s="7" t="s">
        <v>439</v>
      </c>
      <c r="B387" s="7">
        <v>180</v>
      </c>
      <c r="C387" s="13">
        <f>MIN(B387,'Task 2'!D387*11)</f>
        <v>7.6999999999999984</v>
      </c>
      <c r="D387" s="13">
        <f>MIN(B387-C387,'Task 2'!D387*6)</f>
        <v>4.1999999999999993</v>
      </c>
      <c r="E387" s="13">
        <f t="shared" ref="E387:E450" si="6">B387-C387-D387</f>
        <v>168.10000000000002</v>
      </c>
      <c r="F387" s="7" t="s">
        <v>843</v>
      </c>
    </row>
    <row r="388" spans="1:6" x14ac:dyDescent="0.3">
      <c r="A388" s="7" t="s">
        <v>440</v>
      </c>
      <c r="B388" s="7">
        <v>180</v>
      </c>
      <c r="C388" s="13">
        <f>MIN(B388,'Task 2'!D388*11)</f>
        <v>39.233333333333334</v>
      </c>
      <c r="D388" s="13">
        <f>MIN(B388-C388,'Task 2'!D388*6)</f>
        <v>21.4</v>
      </c>
      <c r="E388" s="13">
        <f t="shared" si="6"/>
        <v>119.36666666666665</v>
      </c>
      <c r="F388" s="7" t="s">
        <v>843</v>
      </c>
    </row>
    <row r="389" spans="1:6" x14ac:dyDescent="0.3">
      <c r="A389" s="7" t="s">
        <v>441</v>
      </c>
      <c r="B389" s="7">
        <v>540</v>
      </c>
      <c r="C389" s="13">
        <f>MIN(B389,'Task 2'!D389*11)</f>
        <v>79.566666666666663</v>
      </c>
      <c r="D389" s="13">
        <f>MIN(B389-C389,'Task 2'!D389*6)</f>
        <v>43.4</v>
      </c>
      <c r="E389" s="13">
        <f t="shared" si="6"/>
        <v>417.03333333333336</v>
      </c>
      <c r="F389" s="7" t="s">
        <v>843</v>
      </c>
    </row>
    <row r="390" spans="1:6" x14ac:dyDescent="0.3">
      <c r="A390" s="7" t="s">
        <v>442</v>
      </c>
      <c r="B390" s="7">
        <v>180</v>
      </c>
      <c r="C390" s="13">
        <f>MIN(B390,'Task 2'!D390*11)</f>
        <v>21.633333333333333</v>
      </c>
      <c r="D390" s="13">
        <f>MIN(B390-C390,'Task 2'!D390*6)</f>
        <v>11.8</v>
      </c>
      <c r="E390" s="13">
        <f t="shared" si="6"/>
        <v>146.56666666666666</v>
      </c>
      <c r="F390" s="7" t="s">
        <v>843</v>
      </c>
    </row>
    <row r="391" spans="1:6" x14ac:dyDescent="0.3">
      <c r="A391" s="7" t="s">
        <v>443</v>
      </c>
      <c r="B391" s="7">
        <v>270</v>
      </c>
      <c r="C391" s="13">
        <f>MIN(B391,'Task 2'!D391*11)</f>
        <v>23.833333333333332</v>
      </c>
      <c r="D391" s="13">
        <f>MIN(B391-C391,'Task 2'!D391*6)</f>
        <v>13</v>
      </c>
      <c r="E391" s="13">
        <f t="shared" si="6"/>
        <v>233.16666666666666</v>
      </c>
      <c r="F391" s="7" t="s">
        <v>843</v>
      </c>
    </row>
    <row r="392" spans="1:6" x14ac:dyDescent="0.3">
      <c r="A392" s="7" t="s">
        <v>444</v>
      </c>
      <c r="B392" s="7">
        <v>270</v>
      </c>
      <c r="C392" s="13">
        <f>MIN(B392,'Task 2'!D392*11)</f>
        <v>15.400000000000002</v>
      </c>
      <c r="D392" s="13">
        <f>MIN(B392-C392,'Task 2'!D392*6)</f>
        <v>8.4</v>
      </c>
      <c r="E392" s="13">
        <f t="shared" si="6"/>
        <v>246.2</v>
      </c>
      <c r="F392" s="7" t="s">
        <v>843</v>
      </c>
    </row>
    <row r="393" spans="1:6" x14ac:dyDescent="0.3">
      <c r="A393" s="7" t="s">
        <v>445</v>
      </c>
      <c r="B393" s="7">
        <v>180</v>
      </c>
      <c r="C393" s="13">
        <f>MIN(B393,'Task 2'!D393*11)</f>
        <v>22.366666666666671</v>
      </c>
      <c r="D393" s="13">
        <f>MIN(B393-C393,'Task 2'!D393*6)</f>
        <v>12.200000000000003</v>
      </c>
      <c r="E393" s="13">
        <f t="shared" si="6"/>
        <v>145.43333333333334</v>
      </c>
      <c r="F393" s="7" t="s">
        <v>843</v>
      </c>
    </row>
    <row r="394" spans="1:6" x14ac:dyDescent="0.3">
      <c r="A394" s="7" t="s">
        <v>446</v>
      </c>
      <c r="B394" s="7">
        <v>270</v>
      </c>
      <c r="C394" s="13">
        <f>MIN(B394,'Task 2'!D394*11)</f>
        <v>10.266666666666666</v>
      </c>
      <c r="D394" s="13">
        <f>MIN(B394-C394,'Task 2'!D394*6)</f>
        <v>5.6</v>
      </c>
      <c r="E394" s="13">
        <f t="shared" si="6"/>
        <v>254.13333333333335</v>
      </c>
      <c r="F394" s="7" t="s">
        <v>843</v>
      </c>
    </row>
    <row r="395" spans="1:6" x14ac:dyDescent="0.3">
      <c r="A395" s="7" t="s">
        <v>447</v>
      </c>
      <c r="B395" s="7">
        <v>270</v>
      </c>
      <c r="C395" s="13">
        <f>MIN(B395,'Task 2'!D395*11)</f>
        <v>12.466666666666667</v>
      </c>
      <c r="D395" s="13">
        <f>MIN(B395-C395,'Task 2'!D395*6)</f>
        <v>6.8</v>
      </c>
      <c r="E395" s="13">
        <f t="shared" si="6"/>
        <v>250.73333333333335</v>
      </c>
      <c r="F395" s="7" t="s">
        <v>843</v>
      </c>
    </row>
    <row r="396" spans="1:6" x14ac:dyDescent="0.3">
      <c r="A396" s="7" t="s">
        <v>448</v>
      </c>
      <c r="B396" s="7">
        <v>270</v>
      </c>
      <c r="C396" s="13">
        <f>MIN(B396,'Task 2'!D396*11)</f>
        <v>22</v>
      </c>
      <c r="D396" s="13">
        <f>MIN(B396-C396,'Task 2'!D396*6)</f>
        <v>12</v>
      </c>
      <c r="E396" s="13">
        <f t="shared" si="6"/>
        <v>236</v>
      </c>
      <c r="F396" s="7" t="s">
        <v>843</v>
      </c>
    </row>
    <row r="397" spans="1:6" x14ac:dyDescent="0.3">
      <c r="A397" s="7" t="s">
        <v>449</v>
      </c>
      <c r="B397" s="7">
        <v>180</v>
      </c>
      <c r="C397" s="13">
        <f>MIN(B397,'Task 2'!D397*11)</f>
        <v>25.666666666666668</v>
      </c>
      <c r="D397" s="13">
        <f>MIN(B397-C397,'Task 2'!D397*6)</f>
        <v>14</v>
      </c>
      <c r="E397" s="13">
        <f t="shared" si="6"/>
        <v>140.33333333333334</v>
      </c>
      <c r="F397" s="7" t="s">
        <v>843</v>
      </c>
    </row>
    <row r="398" spans="1:6" x14ac:dyDescent="0.3">
      <c r="A398" s="7" t="s">
        <v>450</v>
      </c>
      <c r="B398" s="7">
        <v>270</v>
      </c>
      <c r="C398" s="13">
        <f>MIN(B398,'Task 2'!D398*11)</f>
        <v>6.2333333333333334</v>
      </c>
      <c r="D398" s="13">
        <f>MIN(B398-C398,'Task 2'!D398*6)</f>
        <v>3.4</v>
      </c>
      <c r="E398" s="13">
        <f t="shared" si="6"/>
        <v>260.36666666666667</v>
      </c>
      <c r="F398" s="7" t="s">
        <v>843</v>
      </c>
    </row>
    <row r="399" spans="1:6" x14ac:dyDescent="0.3">
      <c r="A399" s="7" t="s">
        <v>451</v>
      </c>
      <c r="B399" s="7">
        <v>270</v>
      </c>
      <c r="C399" s="13">
        <f>MIN(B399,'Task 2'!D399*11)</f>
        <v>5.8666666666666663</v>
      </c>
      <c r="D399" s="13">
        <f>MIN(B399-C399,'Task 2'!D399*6)</f>
        <v>3.2</v>
      </c>
      <c r="E399" s="13">
        <f t="shared" si="6"/>
        <v>260.93333333333334</v>
      </c>
      <c r="F399" s="7" t="s">
        <v>843</v>
      </c>
    </row>
    <row r="400" spans="1:6" x14ac:dyDescent="0.3">
      <c r="A400" s="7" t="s">
        <v>452</v>
      </c>
      <c r="B400" s="7">
        <v>1440</v>
      </c>
      <c r="C400" s="13">
        <f>MIN(B400,'Task 2'!D400*11)</f>
        <v>35.933333333333337</v>
      </c>
      <c r="D400" s="13">
        <f>MIN(B400-C400,'Task 2'!D400*6)</f>
        <v>19.600000000000001</v>
      </c>
      <c r="E400" s="13">
        <f t="shared" si="6"/>
        <v>1384.4666666666667</v>
      </c>
      <c r="F400" s="7" t="s">
        <v>843</v>
      </c>
    </row>
    <row r="401" spans="1:6" x14ac:dyDescent="0.3">
      <c r="A401" s="7" t="s">
        <v>453</v>
      </c>
      <c r="B401" s="7">
        <v>270</v>
      </c>
      <c r="C401" s="13">
        <f>MIN(B401,'Task 2'!D401*11)</f>
        <v>12.833333333333334</v>
      </c>
      <c r="D401" s="13">
        <f>MIN(B401-C401,'Task 2'!D401*6)</f>
        <v>7</v>
      </c>
      <c r="E401" s="13">
        <f t="shared" si="6"/>
        <v>250.16666666666669</v>
      </c>
      <c r="F401" s="7" t="s">
        <v>843</v>
      </c>
    </row>
    <row r="402" spans="1:6" x14ac:dyDescent="0.3">
      <c r="A402" s="7" t="s">
        <v>454</v>
      </c>
      <c r="B402" s="7">
        <v>270</v>
      </c>
      <c r="C402" s="13">
        <f>MIN(B402,'Task 2'!D402*11)</f>
        <v>10.633333333333335</v>
      </c>
      <c r="D402" s="13">
        <f>MIN(B402-C402,'Task 2'!D402*6)</f>
        <v>5.8000000000000007</v>
      </c>
      <c r="E402" s="13">
        <f t="shared" si="6"/>
        <v>253.56666666666666</v>
      </c>
      <c r="F402" s="7" t="s">
        <v>843</v>
      </c>
    </row>
    <row r="403" spans="1:6" x14ac:dyDescent="0.3">
      <c r="A403" s="7" t="s">
        <v>455</v>
      </c>
      <c r="B403" s="7">
        <v>180</v>
      </c>
      <c r="C403" s="13">
        <f>MIN(B403,'Task 2'!D403*11)</f>
        <v>19.066666666666666</v>
      </c>
      <c r="D403" s="13">
        <f>MIN(B403-C403,'Task 2'!D403*6)</f>
        <v>10.4</v>
      </c>
      <c r="E403" s="13">
        <f t="shared" si="6"/>
        <v>150.53333333333333</v>
      </c>
      <c r="F403" s="7" t="s">
        <v>843</v>
      </c>
    </row>
    <row r="404" spans="1:6" x14ac:dyDescent="0.3">
      <c r="A404" s="7" t="s">
        <v>456</v>
      </c>
      <c r="B404" s="7">
        <v>180</v>
      </c>
      <c r="C404" s="13">
        <f>MIN(B404,'Task 2'!D404*11)</f>
        <v>7.7000000000000011</v>
      </c>
      <c r="D404" s="13">
        <f>MIN(B404-C404,'Task 2'!D404*6)</f>
        <v>4.2</v>
      </c>
      <c r="E404" s="13">
        <f t="shared" si="6"/>
        <v>168.10000000000002</v>
      </c>
      <c r="F404" s="7" t="s">
        <v>843</v>
      </c>
    </row>
    <row r="405" spans="1:6" x14ac:dyDescent="0.3">
      <c r="A405" s="7" t="s">
        <v>457</v>
      </c>
      <c r="B405" s="7">
        <v>270</v>
      </c>
      <c r="C405" s="13">
        <f>MIN(B405,'Task 2'!D405*11)</f>
        <v>6.9666666666666677</v>
      </c>
      <c r="D405" s="13">
        <f>MIN(B405-C405,'Task 2'!D405*6)</f>
        <v>3.8000000000000007</v>
      </c>
      <c r="E405" s="13">
        <f t="shared" si="6"/>
        <v>259.23333333333335</v>
      </c>
      <c r="F405" s="7" t="s">
        <v>843</v>
      </c>
    </row>
    <row r="406" spans="1:6" x14ac:dyDescent="0.3">
      <c r="A406" s="7" t="s">
        <v>458</v>
      </c>
      <c r="B406" s="7">
        <v>270</v>
      </c>
      <c r="C406" s="13">
        <f>MIN(B406,'Task 2'!D406*11)</f>
        <v>9.5333333333333332</v>
      </c>
      <c r="D406" s="13">
        <f>MIN(B406-C406,'Task 2'!D406*6)</f>
        <v>5.2</v>
      </c>
      <c r="E406" s="13">
        <f t="shared" si="6"/>
        <v>255.26666666666665</v>
      </c>
      <c r="F406" s="7" t="s">
        <v>843</v>
      </c>
    </row>
    <row r="407" spans="1:6" x14ac:dyDescent="0.3">
      <c r="A407" s="7" t="s">
        <v>459</v>
      </c>
      <c r="B407" s="7">
        <v>270</v>
      </c>
      <c r="C407" s="13">
        <f>MIN(B407,'Task 2'!D407*11)</f>
        <v>6.2333333333333343</v>
      </c>
      <c r="D407" s="13">
        <f>MIN(B407-C407,'Task 2'!D407*6)</f>
        <v>3.4000000000000004</v>
      </c>
      <c r="E407" s="13">
        <f t="shared" si="6"/>
        <v>260.36666666666667</v>
      </c>
      <c r="F407" s="7" t="s">
        <v>843</v>
      </c>
    </row>
    <row r="408" spans="1:6" x14ac:dyDescent="0.3">
      <c r="A408" s="7" t="s">
        <v>460</v>
      </c>
      <c r="B408" s="7">
        <v>1440</v>
      </c>
      <c r="C408" s="13">
        <f>MIN(B408,'Task 2'!D408*11)</f>
        <v>6.6</v>
      </c>
      <c r="D408" s="13">
        <f>MIN(B408-C408,'Task 2'!D408*6)</f>
        <v>3.5999999999999996</v>
      </c>
      <c r="E408" s="13">
        <f t="shared" si="6"/>
        <v>1429.8000000000002</v>
      </c>
      <c r="F408" s="7" t="s">
        <v>843</v>
      </c>
    </row>
    <row r="409" spans="1:6" x14ac:dyDescent="0.3">
      <c r="A409" s="7" t="s">
        <v>461</v>
      </c>
      <c r="B409" s="7">
        <v>180</v>
      </c>
      <c r="C409" s="13">
        <f>MIN(B409,'Task 2'!D409*11)</f>
        <v>10.266666666666666</v>
      </c>
      <c r="D409" s="13">
        <f>MIN(B409-C409,'Task 2'!D409*6)</f>
        <v>5.6</v>
      </c>
      <c r="E409" s="13">
        <f t="shared" si="6"/>
        <v>164.13333333333335</v>
      </c>
      <c r="F409" s="7" t="s">
        <v>843</v>
      </c>
    </row>
    <row r="410" spans="1:6" x14ac:dyDescent="0.3">
      <c r="A410" s="7" t="s">
        <v>462</v>
      </c>
      <c r="B410" s="7">
        <v>270</v>
      </c>
      <c r="C410" s="13">
        <f>MIN(B410,'Task 2'!D410*11)</f>
        <v>25.666666666666668</v>
      </c>
      <c r="D410" s="13">
        <f>MIN(B410-C410,'Task 2'!D410*6)</f>
        <v>14</v>
      </c>
      <c r="E410" s="13">
        <f t="shared" si="6"/>
        <v>230.33333333333334</v>
      </c>
      <c r="F410" s="7" t="s">
        <v>843</v>
      </c>
    </row>
    <row r="411" spans="1:6" x14ac:dyDescent="0.3">
      <c r="A411" s="7" t="s">
        <v>463</v>
      </c>
      <c r="B411" s="7">
        <v>2880</v>
      </c>
      <c r="C411" s="13">
        <f>MIN(B411,'Task 2'!D411*11)</f>
        <v>15.033333333333331</v>
      </c>
      <c r="D411" s="13">
        <f>MIN(B411-C411,'Task 2'!D411*6)</f>
        <v>8.1999999999999993</v>
      </c>
      <c r="E411" s="13">
        <f t="shared" si="6"/>
        <v>2856.7666666666669</v>
      </c>
      <c r="F411" s="7" t="s">
        <v>843</v>
      </c>
    </row>
    <row r="412" spans="1:6" x14ac:dyDescent="0.3">
      <c r="A412" s="7" t="s">
        <v>464</v>
      </c>
      <c r="B412" s="7">
        <v>270</v>
      </c>
      <c r="C412" s="13">
        <f>MIN(B412,'Task 2'!D412*11)</f>
        <v>38.133333333333333</v>
      </c>
      <c r="D412" s="13">
        <f>MIN(B412-C412,'Task 2'!D412*6)</f>
        <v>20.8</v>
      </c>
      <c r="E412" s="13">
        <f t="shared" si="6"/>
        <v>211.06666666666666</v>
      </c>
      <c r="F412" s="7" t="s">
        <v>843</v>
      </c>
    </row>
    <row r="413" spans="1:6" x14ac:dyDescent="0.3">
      <c r="A413" s="7" t="s">
        <v>465</v>
      </c>
      <c r="B413" s="7">
        <v>180</v>
      </c>
      <c r="C413" s="13">
        <f>MIN(B413,'Task 2'!D413*11)</f>
        <v>21.266666666666666</v>
      </c>
      <c r="D413" s="13">
        <f>MIN(B413-C413,'Task 2'!D413*6)</f>
        <v>11.6</v>
      </c>
      <c r="E413" s="13">
        <f t="shared" si="6"/>
        <v>147.13333333333335</v>
      </c>
      <c r="F413" s="7" t="s">
        <v>843</v>
      </c>
    </row>
    <row r="414" spans="1:6" x14ac:dyDescent="0.3">
      <c r="A414" s="7" t="s">
        <v>466</v>
      </c>
      <c r="B414" s="7">
        <v>270</v>
      </c>
      <c r="C414" s="13">
        <f>MIN(B414,'Task 2'!D414*11)</f>
        <v>17.966666666666669</v>
      </c>
      <c r="D414" s="13">
        <f>MIN(B414-C414,'Task 2'!D414*6)</f>
        <v>9.8000000000000007</v>
      </c>
      <c r="E414" s="13">
        <f t="shared" si="6"/>
        <v>242.23333333333332</v>
      </c>
      <c r="F414" s="7" t="s">
        <v>843</v>
      </c>
    </row>
    <row r="415" spans="1:6" x14ac:dyDescent="0.3">
      <c r="A415" s="7" t="s">
        <v>467</v>
      </c>
      <c r="B415" s="7">
        <v>270</v>
      </c>
      <c r="C415" s="13">
        <f>MIN(B415,'Task 2'!D415*11)</f>
        <v>19.066666666666666</v>
      </c>
      <c r="D415" s="13">
        <f>MIN(B415-C415,'Task 2'!D415*6)</f>
        <v>10.399999999999999</v>
      </c>
      <c r="E415" s="13">
        <f t="shared" si="6"/>
        <v>240.53333333333333</v>
      </c>
      <c r="F415" s="7" t="s">
        <v>843</v>
      </c>
    </row>
    <row r="416" spans="1:6" x14ac:dyDescent="0.3">
      <c r="A416" s="7" t="s">
        <v>468</v>
      </c>
      <c r="B416" s="7">
        <v>180</v>
      </c>
      <c r="C416" s="13">
        <f>MIN(B416,'Task 2'!D416*11)</f>
        <v>15.766666666666667</v>
      </c>
      <c r="D416" s="13">
        <f>MIN(B416-C416,'Task 2'!D416*6)</f>
        <v>8.6</v>
      </c>
      <c r="E416" s="13">
        <f t="shared" si="6"/>
        <v>155.63333333333333</v>
      </c>
      <c r="F416" s="7" t="s">
        <v>843</v>
      </c>
    </row>
    <row r="417" spans="1:6" x14ac:dyDescent="0.3">
      <c r="A417" s="7" t="s">
        <v>469</v>
      </c>
      <c r="B417" s="7">
        <v>270</v>
      </c>
      <c r="C417" s="13">
        <f>MIN(B417,'Task 2'!D417*11)</f>
        <v>13.2</v>
      </c>
      <c r="D417" s="13">
        <f>MIN(B417-C417,'Task 2'!D417*6)</f>
        <v>7.1999999999999993</v>
      </c>
      <c r="E417" s="13">
        <f t="shared" si="6"/>
        <v>249.60000000000002</v>
      </c>
      <c r="F417" s="7" t="s">
        <v>843</v>
      </c>
    </row>
    <row r="418" spans="1:6" x14ac:dyDescent="0.3">
      <c r="A418" s="7" t="s">
        <v>470</v>
      </c>
      <c r="B418" s="7">
        <v>270</v>
      </c>
      <c r="C418" s="13">
        <f>MIN(B418,'Task 2'!D418*11)</f>
        <v>11.733333333333333</v>
      </c>
      <c r="D418" s="13">
        <f>MIN(B418-C418,'Task 2'!D418*6)</f>
        <v>6.4</v>
      </c>
      <c r="E418" s="13">
        <f t="shared" si="6"/>
        <v>251.86666666666665</v>
      </c>
      <c r="F418" s="7" t="s">
        <v>843</v>
      </c>
    </row>
    <row r="419" spans="1:6" x14ac:dyDescent="0.3">
      <c r="A419" s="7" t="s">
        <v>471</v>
      </c>
      <c r="B419" s="7">
        <v>270</v>
      </c>
      <c r="C419" s="13">
        <f>MIN(B419,'Task 2'!D419*11)</f>
        <v>12.833333333333334</v>
      </c>
      <c r="D419" s="13">
        <f>MIN(B419-C419,'Task 2'!D419*6)</f>
        <v>7</v>
      </c>
      <c r="E419" s="13">
        <f t="shared" si="6"/>
        <v>250.16666666666669</v>
      </c>
      <c r="F419" s="7" t="s">
        <v>843</v>
      </c>
    </row>
    <row r="420" spans="1:6" x14ac:dyDescent="0.3">
      <c r="A420" s="7" t="s">
        <v>472</v>
      </c>
      <c r="B420" s="7">
        <v>270</v>
      </c>
      <c r="C420" s="13">
        <f>MIN(B420,'Task 2'!D420*11)</f>
        <v>9.1666666666666679</v>
      </c>
      <c r="D420" s="13">
        <f>MIN(B420-C420,'Task 2'!D420*6)</f>
        <v>5</v>
      </c>
      <c r="E420" s="13">
        <f t="shared" si="6"/>
        <v>255.83333333333331</v>
      </c>
      <c r="F420" s="7" t="s">
        <v>843</v>
      </c>
    </row>
    <row r="421" spans="1:6" x14ac:dyDescent="0.3">
      <c r="A421" s="7" t="s">
        <v>473</v>
      </c>
      <c r="B421" s="7">
        <v>180</v>
      </c>
      <c r="C421" s="13">
        <f>MIN(B421,'Task 2'!D421*11)</f>
        <v>9.9</v>
      </c>
      <c r="D421" s="13">
        <f>MIN(B421-C421,'Task 2'!D421*6)</f>
        <v>5.4</v>
      </c>
      <c r="E421" s="13">
        <f t="shared" si="6"/>
        <v>164.7</v>
      </c>
      <c r="F421" s="7" t="s">
        <v>843</v>
      </c>
    </row>
    <row r="422" spans="1:6" x14ac:dyDescent="0.3">
      <c r="A422" s="7" t="s">
        <v>474</v>
      </c>
      <c r="B422" s="7">
        <v>180</v>
      </c>
      <c r="C422" s="13">
        <f>MIN(B422,'Task 2'!D422*11)</f>
        <v>9.9</v>
      </c>
      <c r="D422" s="13">
        <f>MIN(B422-C422,'Task 2'!D422*6)</f>
        <v>5.4</v>
      </c>
      <c r="E422" s="13">
        <f t="shared" si="6"/>
        <v>164.7</v>
      </c>
      <c r="F422" s="7" t="s">
        <v>843</v>
      </c>
    </row>
    <row r="423" spans="1:6" x14ac:dyDescent="0.3">
      <c r="A423" s="7" t="s">
        <v>475</v>
      </c>
      <c r="B423" s="7">
        <v>180</v>
      </c>
      <c r="C423" s="13">
        <f>MIN(B423,'Task 2'!D423*11)</f>
        <v>7.333333333333333</v>
      </c>
      <c r="D423" s="13">
        <f>MIN(B423-C423,'Task 2'!D423*6)</f>
        <v>4</v>
      </c>
      <c r="E423" s="13">
        <f t="shared" si="6"/>
        <v>168.66666666666666</v>
      </c>
      <c r="F423" s="7" t="s">
        <v>843</v>
      </c>
    </row>
    <row r="424" spans="1:6" x14ac:dyDescent="0.3">
      <c r="A424" s="7" t="s">
        <v>476</v>
      </c>
      <c r="B424" s="7">
        <v>180</v>
      </c>
      <c r="C424" s="13">
        <f>MIN(B424,'Task 2'!D424*11)</f>
        <v>8.0666666666666664</v>
      </c>
      <c r="D424" s="13">
        <f>MIN(B424-C424,'Task 2'!D424*6)</f>
        <v>4.4000000000000004</v>
      </c>
      <c r="E424" s="13">
        <f t="shared" si="6"/>
        <v>167.53333333333333</v>
      </c>
      <c r="F424" s="7" t="s">
        <v>843</v>
      </c>
    </row>
    <row r="425" spans="1:6" x14ac:dyDescent="0.3">
      <c r="A425" s="7" t="s">
        <v>477</v>
      </c>
      <c r="B425" s="7">
        <v>270</v>
      </c>
      <c r="C425" s="13">
        <f>MIN(B425,'Task 2'!D425*11)</f>
        <v>4.3999999999999995</v>
      </c>
      <c r="D425" s="13">
        <f>MIN(B425-C425,'Task 2'!D425*6)</f>
        <v>2.4</v>
      </c>
      <c r="E425" s="13">
        <f t="shared" si="6"/>
        <v>263.20000000000005</v>
      </c>
      <c r="F425" s="7" t="s">
        <v>843</v>
      </c>
    </row>
    <row r="426" spans="1:6" x14ac:dyDescent="0.3">
      <c r="A426" s="7" t="s">
        <v>478</v>
      </c>
      <c r="B426" s="7">
        <v>270</v>
      </c>
      <c r="C426" s="13">
        <f>MIN(B426,'Task 2'!D426*11)</f>
        <v>8.0666666666666664</v>
      </c>
      <c r="D426" s="13">
        <f>MIN(B426-C426,'Task 2'!D426*6)</f>
        <v>4.4000000000000004</v>
      </c>
      <c r="E426" s="13">
        <f t="shared" si="6"/>
        <v>257.53333333333336</v>
      </c>
      <c r="F426" s="7" t="s">
        <v>843</v>
      </c>
    </row>
    <row r="427" spans="1:6" x14ac:dyDescent="0.3">
      <c r="A427" s="7" t="s">
        <v>479</v>
      </c>
      <c r="B427" s="7">
        <v>270</v>
      </c>
      <c r="C427" s="13">
        <f>MIN(B427,'Task 2'!D427*11)</f>
        <v>17.233333333333334</v>
      </c>
      <c r="D427" s="13">
        <f>MIN(B427-C427,'Task 2'!D427*6)</f>
        <v>9.4</v>
      </c>
      <c r="E427" s="13">
        <f t="shared" si="6"/>
        <v>243.36666666666665</v>
      </c>
      <c r="F427" s="7" t="s">
        <v>843</v>
      </c>
    </row>
    <row r="428" spans="1:6" x14ac:dyDescent="0.3">
      <c r="A428" s="7" t="s">
        <v>480</v>
      </c>
      <c r="B428" s="7">
        <v>270</v>
      </c>
      <c r="C428" s="13">
        <f>MIN(B428,'Task 2'!D428*11)</f>
        <v>15.033333333333331</v>
      </c>
      <c r="D428" s="13">
        <f>MIN(B428-C428,'Task 2'!D428*6)</f>
        <v>8.1999999999999993</v>
      </c>
      <c r="E428" s="13">
        <f t="shared" si="6"/>
        <v>246.76666666666668</v>
      </c>
      <c r="F428" s="7" t="s">
        <v>843</v>
      </c>
    </row>
    <row r="429" spans="1:6" x14ac:dyDescent="0.3">
      <c r="A429" s="7" t="s">
        <v>481</v>
      </c>
      <c r="B429" s="7">
        <v>270</v>
      </c>
      <c r="C429" s="13">
        <f>MIN(B429,'Task 2'!D429*11)</f>
        <v>14.666666666666666</v>
      </c>
      <c r="D429" s="13">
        <f>MIN(B429-C429,'Task 2'!D429*6)</f>
        <v>8</v>
      </c>
      <c r="E429" s="13">
        <f t="shared" si="6"/>
        <v>247.33333333333334</v>
      </c>
      <c r="F429" s="7" t="s">
        <v>843</v>
      </c>
    </row>
    <row r="430" spans="1:6" x14ac:dyDescent="0.3">
      <c r="A430" s="7" t="s">
        <v>482</v>
      </c>
      <c r="B430" s="7">
        <v>270</v>
      </c>
      <c r="C430" s="13">
        <f>MIN(B430,'Task 2'!D430*11)</f>
        <v>16.866666666666667</v>
      </c>
      <c r="D430" s="13">
        <f>MIN(B430-C430,'Task 2'!D430*6)</f>
        <v>9.1999999999999993</v>
      </c>
      <c r="E430" s="13">
        <f t="shared" si="6"/>
        <v>243.93333333333334</v>
      </c>
      <c r="F430" s="7" t="s">
        <v>843</v>
      </c>
    </row>
    <row r="431" spans="1:6" x14ac:dyDescent="0.3">
      <c r="A431" s="7" t="s">
        <v>483</v>
      </c>
      <c r="B431" s="7">
        <v>180</v>
      </c>
      <c r="C431" s="13">
        <f>MIN(B431,'Task 2'!D431*11)</f>
        <v>10.266666666666666</v>
      </c>
      <c r="D431" s="13">
        <f>MIN(B431-C431,'Task 2'!D431*6)</f>
        <v>5.6</v>
      </c>
      <c r="E431" s="13">
        <f t="shared" si="6"/>
        <v>164.13333333333335</v>
      </c>
      <c r="F431" s="7" t="s">
        <v>843</v>
      </c>
    </row>
    <row r="432" spans="1:6" x14ac:dyDescent="0.3">
      <c r="A432" s="7" t="s">
        <v>484</v>
      </c>
      <c r="B432" s="7">
        <v>270</v>
      </c>
      <c r="C432" s="13">
        <f>MIN(B432,'Task 2'!D432*11)</f>
        <v>6.6</v>
      </c>
      <c r="D432" s="13">
        <f>MIN(B432-C432,'Task 2'!D432*6)</f>
        <v>3.5999999999999996</v>
      </c>
      <c r="E432" s="13">
        <f t="shared" si="6"/>
        <v>259.79999999999995</v>
      </c>
      <c r="F432" s="7" t="s">
        <v>843</v>
      </c>
    </row>
    <row r="433" spans="1:6" x14ac:dyDescent="0.3">
      <c r="A433" s="7" t="s">
        <v>485</v>
      </c>
      <c r="B433" s="7">
        <v>270</v>
      </c>
      <c r="C433" s="13">
        <f>MIN(B433,'Task 2'!D433*11)</f>
        <v>9.1666666666666679</v>
      </c>
      <c r="D433" s="13">
        <f>MIN(B433-C433,'Task 2'!D433*6)</f>
        <v>5</v>
      </c>
      <c r="E433" s="13">
        <f t="shared" si="6"/>
        <v>255.83333333333331</v>
      </c>
      <c r="F433" s="7" t="s">
        <v>843</v>
      </c>
    </row>
    <row r="434" spans="1:6" x14ac:dyDescent="0.3">
      <c r="A434" s="7" t="s">
        <v>486</v>
      </c>
      <c r="B434" s="7">
        <v>270</v>
      </c>
      <c r="C434" s="13">
        <f>MIN(B434,'Task 2'!D434*11)</f>
        <v>12.833333333333334</v>
      </c>
      <c r="D434" s="13">
        <f>MIN(B434-C434,'Task 2'!D434*6)</f>
        <v>7</v>
      </c>
      <c r="E434" s="13">
        <f t="shared" si="6"/>
        <v>250.16666666666669</v>
      </c>
      <c r="F434" s="7" t="s">
        <v>843</v>
      </c>
    </row>
    <row r="435" spans="1:6" x14ac:dyDescent="0.3">
      <c r="A435" s="7" t="s">
        <v>487</v>
      </c>
      <c r="B435" s="7">
        <v>1440</v>
      </c>
      <c r="C435" s="13">
        <f>MIN(B435,'Task 2'!D435*11)</f>
        <v>3.3</v>
      </c>
      <c r="D435" s="13">
        <f>MIN(B435-C435,'Task 2'!D435*6)</f>
        <v>1.7999999999999998</v>
      </c>
      <c r="E435" s="13">
        <f t="shared" si="6"/>
        <v>1434.9</v>
      </c>
      <c r="F435" s="7" t="s">
        <v>843</v>
      </c>
    </row>
    <row r="436" spans="1:6" x14ac:dyDescent="0.3">
      <c r="A436" s="7" t="s">
        <v>488</v>
      </c>
      <c r="B436" s="7">
        <v>270</v>
      </c>
      <c r="C436" s="13">
        <f>MIN(B436,'Task 2'!D436*11)</f>
        <v>12.833333333333334</v>
      </c>
      <c r="D436" s="13">
        <f>MIN(B436-C436,'Task 2'!D436*6)</f>
        <v>7</v>
      </c>
      <c r="E436" s="13">
        <f t="shared" si="6"/>
        <v>250.16666666666669</v>
      </c>
      <c r="F436" s="7" t="s">
        <v>843</v>
      </c>
    </row>
    <row r="437" spans="1:6" x14ac:dyDescent="0.3">
      <c r="A437" s="7" t="s">
        <v>489</v>
      </c>
      <c r="B437" s="7">
        <v>180</v>
      </c>
      <c r="C437" s="13">
        <f>MIN(B437,'Task 2'!D437*11)</f>
        <v>19.433333333333334</v>
      </c>
      <c r="D437" s="13">
        <f>MIN(B437-C437,'Task 2'!D437*6)</f>
        <v>10.600000000000001</v>
      </c>
      <c r="E437" s="13">
        <f t="shared" si="6"/>
        <v>149.96666666666667</v>
      </c>
      <c r="F437" s="7" t="s">
        <v>843</v>
      </c>
    </row>
    <row r="438" spans="1:6" x14ac:dyDescent="0.3">
      <c r="A438" s="7" t="s">
        <v>490</v>
      </c>
      <c r="B438" s="7">
        <v>270</v>
      </c>
      <c r="C438" s="13">
        <f>MIN(B438,'Task 2'!D438*11)</f>
        <v>31.9</v>
      </c>
      <c r="D438" s="13">
        <f>MIN(B438-C438,'Task 2'!D438*6)</f>
        <v>17.399999999999999</v>
      </c>
      <c r="E438" s="13">
        <f t="shared" si="6"/>
        <v>220.7</v>
      </c>
      <c r="F438" s="7" t="s">
        <v>843</v>
      </c>
    </row>
    <row r="439" spans="1:6" x14ac:dyDescent="0.3">
      <c r="A439" s="7" t="s">
        <v>491</v>
      </c>
      <c r="B439" s="7">
        <v>1440</v>
      </c>
      <c r="C439" s="13">
        <f>MIN(B439,'Task 2'!D439*11)</f>
        <v>24.199999999999996</v>
      </c>
      <c r="D439" s="13">
        <f>MIN(B439-C439,'Task 2'!D439*6)</f>
        <v>13.2</v>
      </c>
      <c r="E439" s="13">
        <f t="shared" si="6"/>
        <v>1402.6</v>
      </c>
      <c r="F439" s="7" t="s">
        <v>843</v>
      </c>
    </row>
    <row r="440" spans="1:6" x14ac:dyDescent="0.3">
      <c r="A440" s="7" t="s">
        <v>492</v>
      </c>
      <c r="B440" s="7">
        <v>270</v>
      </c>
      <c r="C440" s="13">
        <f>MIN(B440,'Task 2'!D440*11)</f>
        <v>21.633333333333333</v>
      </c>
      <c r="D440" s="13">
        <f>MIN(B440-C440,'Task 2'!D440*6)</f>
        <v>11.8</v>
      </c>
      <c r="E440" s="13">
        <f t="shared" si="6"/>
        <v>236.56666666666666</v>
      </c>
      <c r="F440" s="7" t="s">
        <v>843</v>
      </c>
    </row>
    <row r="441" spans="1:6" x14ac:dyDescent="0.3">
      <c r="A441" s="7" t="s">
        <v>493</v>
      </c>
      <c r="B441" s="7">
        <v>180</v>
      </c>
      <c r="C441" s="13">
        <f>MIN(B441,'Task 2'!D441*11)</f>
        <v>15.766666666666667</v>
      </c>
      <c r="D441" s="13">
        <f>MIN(B441-C441,'Task 2'!D441*6)</f>
        <v>8.6</v>
      </c>
      <c r="E441" s="13">
        <f t="shared" si="6"/>
        <v>155.63333333333333</v>
      </c>
      <c r="F441" s="7" t="s">
        <v>843</v>
      </c>
    </row>
    <row r="442" spans="1:6" x14ac:dyDescent="0.3">
      <c r="A442" s="7" t="s">
        <v>494</v>
      </c>
      <c r="B442" s="7">
        <v>270</v>
      </c>
      <c r="C442" s="13">
        <f>MIN(B442,'Task 2'!D442*11)</f>
        <v>11.733333333333333</v>
      </c>
      <c r="D442" s="13">
        <f>MIN(B442-C442,'Task 2'!D442*6)</f>
        <v>6.4</v>
      </c>
      <c r="E442" s="13">
        <f t="shared" si="6"/>
        <v>251.86666666666665</v>
      </c>
      <c r="F442" s="7" t="s">
        <v>843</v>
      </c>
    </row>
    <row r="443" spans="1:6" x14ac:dyDescent="0.3">
      <c r="A443" s="7" t="s">
        <v>495</v>
      </c>
      <c r="B443" s="7">
        <v>180</v>
      </c>
      <c r="C443" s="13">
        <f>MIN(B443,'Task 2'!D443*11)</f>
        <v>13.2</v>
      </c>
      <c r="D443" s="13">
        <f>MIN(B443-C443,'Task 2'!D443*6)</f>
        <v>7.1999999999999993</v>
      </c>
      <c r="E443" s="13">
        <f t="shared" si="6"/>
        <v>159.60000000000002</v>
      </c>
      <c r="F443" s="7" t="s">
        <v>843</v>
      </c>
    </row>
    <row r="444" spans="1:6" x14ac:dyDescent="0.3">
      <c r="A444" s="7" t="s">
        <v>496</v>
      </c>
      <c r="B444" s="7">
        <v>180</v>
      </c>
      <c r="C444" s="13">
        <f>MIN(B444,'Task 2'!D444*11)</f>
        <v>9.1666666666666679</v>
      </c>
      <c r="D444" s="13">
        <f>MIN(B444-C444,'Task 2'!D444*6)</f>
        <v>5</v>
      </c>
      <c r="E444" s="13">
        <f t="shared" si="6"/>
        <v>165.83333333333334</v>
      </c>
      <c r="F444" s="7" t="s">
        <v>843</v>
      </c>
    </row>
    <row r="445" spans="1:6" x14ac:dyDescent="0.3">
      <c r="A445" s="7" t="s">
        <v>497</v>
      </c>
      <c r="B445" s="7">
        <v>270</v>
      </c>
      <c r="C445" s="13">
        <f>MIN(B445,'Task 2'!D445*11)</f>
        <v>18.7</v>
      </c>
      <c r="D445" s="13">
        <f>MIN(B445-C445,'Task 2'!D445*6)</f>
        <v>10.199999999999999</v>
      </c>
      <c r="E445" s="13">
        <f t="shared" si="6"/>
        <v>241.10000000000002</v>
      </c>
      <c r="F445" s="7" t="s">
        <v>843</v>
      </c>
    </row>
    <row r="446" spans="1:6" x14ac:dyDescent="0.3">
      <c r="A446" s="7" t="s">
        <v>498</v>
      </c>
      <c r="B446" s="7">
        <v>270</v>
      </c>
      <c r="C446" s="13">
        <f>MIN(B446,'Task 2'!D446*11)</f>
        <v>8.4333333333333336</v>
      </c>
      <c r="D446" s="13">
        <f>MIN(B446-C446,'Task 2'!D446*6)</f>
        <v>4.6000000000000005</v>
      </c>
      <c r="E446" s="13">
        <f t="shared" si="6"/>
        <v>256.96666666666664</v>
      </c>
      <c r="F446" s="7" t="s">
        <v>843</v>
      </c>
    </row>
    <row r="447" spans="1:6" x14ac:dyDescent="0.3">
      <c r="A447" s="7" t="s">
        <v>499</v>
      </c>
      <c r="B447" s="7">
        <v>270</v>
      </c>
      <c r="C447" s="13">
        <f>MIN(B447,'Task 2'!D447*11)</f>
        <v>23.833333333333332</v>
      </c>
      <c r="D447" s="13">
        <f>MIN(B447-C447,'Task 2'!D447*6)</f>
        <v>13</v>
      </c>
      <c r="E447" s="13">
        <f t="shared" si="6"/>
        <v>233.16666666666666</v>
      </c>
      <c r="F447" s="7" t="s">
        <v>843</v>
      </c>
    </row>
    <row r="448" spans="1:6" x14ac:dyDescent="0.3">
      <c r="A448" s="7" t="s">
        <v>500</v>
      </c>
      <c r="B448" s="7">
        <v>270</v>
      </c>
      <c r="C448" s="13">
        <f>MIN(B448,'Task 2'!D448*11)</f>
        <v>12.099999999999998</v>
      </c>
      <c r="D448" s="13">
        <f>MIN(B448-C448,'Task 2'!D448*6)</f>
        <v>6.6</v>
      </c>
      <c r="E448" s="13">
        <f t="shared" si="6"/>
        <v>251.29999999999998</v>
      </c>
      <c r="F448" s="7" t="s">
        <v>843</v>
      </c>
    </row>
    <row r="449" spans="1:6" x14ac:dyDescent="0.3">
      <c r="A449" s="7" t="s">
        <v>501</v>
      </c>
      <c r="B449" s="7">
        <v>270</v>
      </c>
      <c r="C449" s="13">
        <f>MIN(B449,'Task 2'!D449*11)</f>
        <v>22.366666666666667</v>
      </c>
      <c r="D449" s="13">
        <f>MIN(B449-C449,'Task 2'!D449*6)</f>
        <v>12.2</v>
      </c>
      <c r="E449" s="13">
        <f t="shared" si="6"/>
        <v>235.43333333333334</v>
      </c>
      <c r="F449" s="7" t="s">
        <v>843</v>
      </c>
    </row>
    <row r="450" spans="1:6" x14ac:dyDescent="0.3">
      <c r="A450" s="7" t="s">
        <v>502</v>
      </c>
      <c r="B450" s="7">
        <v>270</v>
      </c>
      <c r="C450" s="13">
        <f>MIN(B450,'Task 2'!D450*11)</f>
        <v>10.999999999999998</v>
      </c>
      <c r="D450" s="13">
        <f>MIN(B450-C450,'Task 2'!D450*6)</f>
        <v>5.9999999999999991</v>
      </c>
      <c r="E450" s="13">
        <f t="shared" si="6"/>
        <v>253</v>
      </c>
      <c r="F450" s="7" t="s">
        <v>843</v>
      </c>
    </row>
    <row r="451" spans="1:6" x14ac:dyDescent="0.3">
      <c r="A451" s="7" t="s">
        <v>503</v>
      </c>
      <c r="B451" s="7">
        <v>270</v>
      </c>
      <c r="C451" s="13">
        <f>MIN(B451,'Task 2'!D451*11)</f>
        <v>16.133333333333333</v>
      </c>
      <c r="D451" s="13">
        <f>MIN(B451-C451,'Task 2'!D451*6)</f>
        <v>8.8000000000000007</v>
      </c>
      <c r="E451" s="13">
        <f t="shared" ref="E451:E514" si="7">B451-C451-D451</f>
        <v>245.06666666666666</v>
      </c>
      <c r="F451" s="7" t="s">
        <v>843</v>
      </c>
    </row>
    <row r="452" spans="1:6" x14ac:dyDescent="0.3">
      <c r="A452" s="7" t="s">
        <v>504</v>
      </c>
      <c r="B452" s="7">
        <v>270</v>
      </c>
      <c r="C452" s="13">
        <f>MIN(B452,'Task 2'!D452*11)</f>
        <v>12.099999999999998</v>
      </c>
      <c r="D452" s="13">
        <f>MIN(B452-C452,'Task 2'!D452*6)</f>
        <v>6.6</v>
      </c>
      <c r="E452" s="13">
        <f t="shared" si="7"/>
        <v>251.29999999999998</v>
      </c>
      <c r="F452" s="7" t="s">
        <v>843</v>
      </c>
    </row>
    <row r="453" spans="1:6" x14ac:dyDescent="0.3">
      <c r="A453" s="7" t="s">
        <v>505</v>
      </c>
      <c r="B453" s="7">
        <v>180</v>
      </c>
      <c r="C453" s="13">
        <f>MIN(B453,'Task 2'!D453*11)</f>
        <v>8.4333333333333336</v>
      </c>
      <c r="D453" s="13">
        <f>MIN(B453-C453,'Task 2'!D453*6)</f>
        <v>4.5999999999999996</v>
      </c>
      <c r="E453" s="13">
        <f t="shared" si="7"/>
        <v>166.96666666666667</v>
      </c>
      <c r="F453" s="7" t="s">
        <v>843</v>
      </c>
    </row>
    <row r="454" spans="1:6" x14ac:dyDescent="0.3">
      <c r="A454" s="7" t="s">
        <v>506</v>
      </c>
      <c r="B454" s="7">
        <v>270</v>
      </c>
      <c r="C454" s="13">
        <f>MIN(B454,'Task 2'!D454*11)</f>
        <v>7.333333333333333</v>
      </c>
      <c r="D454" s="13">
        <f>MIN(B454-C454,'Task 2'!D454*6)</f>
        <v>4</v>
      </c>
      <c r="E454" s="13">
        <f t="shared" si="7"/>
        <v>258.66666666666669</v>
      </c>
      <c r="F454" s="7" t="s">
        <v>843</v>
      </c>
    </row>
    <row r="455" spans="1:6" x14ac:dyDescent="0.3">
      <c r="A455" s="7" t="s">
        <v>507</v>
      </c>
      <c r="B455" s="7">
        <v>180</v>
      </c>
      <c r="C455" s="13">
        <f>MIN(B455,'Task 2'!D455*11)</f>
        <v>3.3</v>
      </c>
      <c r="D455" s="13">
        <f>MIN(B455-C455,'Task 2'!D455*6)</f>
        <v>1.7999999999999998</v>
      </c>
      <c r="E455" s="13">
        <f t="shared" si="7"/>
        <v>174.89999999999998</v>
      </c>
      <c r="F455" s="7" t="s">
        <v>843</v>
      </c>
    </row>
    <row r="456" spans="1:6" x14ac:dyDescent="0.3">
      <c r="A456" s="7" t="s">
        <v>508</v>
      </c>
      <c r="B456" s="7">
        <v>270</v>
      </c>
      <c r="C456" s="13">
        <f>MIN(B456,'Task 2'!D456*11)</f>
        <v>15.766666666666667</v>
      </c>
      <c r="D456" s="13">
        <f>MIN(B456-C456,'Task 2'!D456*6)</f>
        <v>8.6</v>
      </c>
      <c r="E456" s="13">
        <f t="shared" si="7"/>
        <v>245.63333333333333</v>
      </c>
      <c r="F456" s="7" t="s">
        <v>843</v>
      </c>
    </row>
    <row r="457" spans="1:6" x14ac:dyDescent="0.3">
      <c r="A457" s="7" t="s">
        <v>509</v>
      </c>
      <c r="B457" s="7">
        <v>270</v>
      </c>
      <c r="C457" s="13">
        <f>MIN(B457,'Task 2'!D457*11)</f>
        <v>24.933333333333334</v>
      </c>
      <c r="D457" s="13">
        <f>MIN(B457-C457,'Task 2'!D457*6)</f>
        <v>13.6</v>
      </c>
      <c r="E457" s="13">
        <f t="shared" si="7"/>
        <v>231.46666666666667</v>
      </c>
      <c r="F457" s="7" t="s">
        <v>843</v>
      </c>
    </row>
    <row r="458" spans="1:6" x14ac:dyDescent="0.3">
      <c r="A458" s="7" t="s">
        <v>510</v>
      </c>
      <c r="B458" s="7">
        <v>270</v>
      </c>
      <c r="C458" s="13">
        <f>MIN(B458,'Task 2'!D458*11)</f>
        <v>20.166666666666664</v>
      </c>
      <c r="D458" s="13">
        <f>MIN(B458-C458,'Task 2'!D458*6)</f>
        <v>11</v>
      </c>
      <c r="E458" s="13">
        <f t="shared" si="7"/>
        <v>238.83333333333334</v>
      </c>
      <c r="F458" s="7" t="s">
        <v>843</v>
      </c>
    </row>
    <row r="459" spans="1:6" x14ac:dyDescent="0.3">
      <c r="A459" s="7" t="s">
        <v>511</v>
      </c>
      <c r="B459" s="7">
        <v>270</v>
      </c>
      <c r="C459" s="13">
        <f>MIN(B459,'Task 2'!D459*11)</f>
        <v>14.666666666666666</v>
      </c>
      <c r="D459" s="13">
        <f>MIN(B459-C459,'Task 2'!D459*6)</f>
        <v>8</v>
      </c>
      <c r="E459" s="13">
        <f t="shared" si="7"/>
        <v>247.33333333333334</v>
      </c>
      <c r="F459" s="7" t="s">
        <v>843</v>
      </c>
    </row>
    <row r="460" spans="1:6" x14ac:dyDescent="0.3">
      <c r="A460" s="7" t="s">
        <v>512</v>
      </c>
      <c r="B460" s="7">
        <v>270</v>
      </c>
      <c r="C460" s="13">
        <f>MIN(B460,'Task 2'!D460*11)</f>
        <v>8.4333333333333336</v>
      </c>
      <c r="D460" s="13">
        <f>MIN(B460-C460,'Task 2'!D460*6)</f>
        <v>4.5999999999999996</v>
      </c>
      <c r="E460" s="13">
        <f t="shared" si="7"/>
        <v>256.96666666666664</v>
      </c>
      <c r="F460" s="7" t="s">
        <v>843</v>
      </c>
    </row>
    <row r="461" spans="1:6" x14ac:dyDescent="0.3">
      <c r="A461" s="7" t="s">
        <v>513</v>
      </c>
      <c r="B461" s="7">
        <v>270</v>
      </c>
      <c r="C461" s="13">
        <f>MIN(B461,'Task 2'!D461*11)</f>
        <v>14.666666666666666</v>
      </c>
      <c r="D461" s="13">
        <f>MIN(B461-C461,'Task 2'!D461*6)</f>
        <v>8</v>
      </c>
      <c r="E461" s="13">
        <f t="shared" si="7"/>
        <v>247.33333333333334</v>
      </c>
      <c r="F461" s="7" t="s">
        <v>843</v>
      </c>
    </row>
    <row r="462" spans="1:6" x14ac:dyDescent="0.3">
      <c r="A462" s="7" t="s">
        <v>514</v>
      </c>
      <c r="B462" s="7">
        <v>270</v>
      </c>
      <c r="C462" s="13">
        <f>MIN(B462,'Task 2'!D462*11)</f>
        <v>9.5333333333333332</v>
      </c>
      <c r="D462" s="13">
        <f>MIN(B462-C462,'Task 2'!D462*6)</f>
        <v>5.1999999999999993</v>
      </c>
      <c r="E462" s="13">
        <f t="shared" si="7"/>
        <v>255.26666666666665</v>
      </c>
      <c r="F462" s="7" t="s">
        <v>843</v>
      </c>
    </row>
    <row r="463" spans="1:6" x14ac:dyDescent="0.3">
      <c r="A463" s="7" t="s">
        <v>515</v>
      </c>
      <c r="B463" s="7">
        <v>180</v>
      </c>
      <c r="C463" s="13">
        <f>MIN(B463,'Task 2'!D463*11)</f>
        <v>15.399999999999997</v>
      </c>
      <c r="D463" s="13">
        <f>MIN(B463-C463,'Task 2'!D463*6)</f>
        <v>8.3999999999999986</v>
      </c>
      <c r="E463" s="13">
        <f t="shared" si="7"/>
        <v>156.19999999999999</v>
      </c>
      <c r="F463" s="7" t="s">
        <v>843</v>
      </c>
    </row>
    <row r="464" spans="1:6" x14ac:dyDescent="0.3">
      <c r="A464" s="7" t="s">
        <v>516</v>
      </c>
      <c r="B464" s="7">
        <v>270</v>
      </c>
      <c r="C464" s="13">
        <f>MIN(B464,'Task 2'!D464*11)</f>
        <v>15.400000000000002</v>
      </c>
      <c r="D464" s="13">
        <f>MIN(B464-C464,'Task 2'!D464*6)</f>
        <v>8.4</v>
      </c>
      <c r="E464" s="13">
        <f t="shared" si="7"/>
        <v>246.2</v>
      </c>
      <c r="F464" s="7" t="s">
        <v>843</v>
      </c>
    </row>
    <row r="465" spans="1:6" x14ac:dyDescent="0.3">
      <c r="A465" s="7" t="s">
        <v>517</v>
      </c>
      <c r="B465" s="7">
        <v>180</v>
      </c>
      <c r="C465" s="13">
        <f>MIN(B465,'Task 2'!D465*11)</f>
        <v>10.633333333333333</v>
      </c>
      <c r="D465" s="13">
        <f>MIN(B465-C465,'Task 2'!D465*6)</f>
        <v>5.8</v>
      </c>
      <c r="E465" s="13">
        <f t="shared" si="7"/>
        <v>163.56666666666666</v>
      </c>
      <c r="F465" s="7" t="s">
        <v>843</v>
      </c>
    </row>
    <row r="466" spans="1:6" x14ac:dyDescent="0.3">
      <c r="A466" s="7" t="s">
        <v>518</v>
      </c>
      <c r="B466" s="7">
        <v>270</v>
      </c>
      <c r="C466" s="13">
        <f>MIN(B466,'Task 2'!D466*11)</f>
        <v>6.9666666666666668</v>
      </c>
      <c r="D466" s="13">
        <f>MIN(B466-C466,'Task 2'!D466*6)</f>
        <v>3.8</v>
      </c>
      <c r="E466" s="13">
        <f t="shared" si="7"/>
        <v>259.23333333333335</v>
      </c>
      <c r="F466" s="7" t="s">
        <v>843</v>
      </c>
    </row>
    <row r="467" spans="1:6" x14ac:dyDescent="0.3">
      <c r="A467" s="7" t="s">
        <v>519</v>
      </c>
      <c r="B467" s="7">
        <v>270</v>
      </c>
      <c r="C467" s="13">
        <f>MIN(B467,'Task 2'!D467*11)</f>
        <v>6.9666666666666668</v>
      </c>
      <c r="D467" s="13">
        <f>MIN(B467-C467,'Task 2'!D467*6)</f>
        <v>3.8</v>
      </c>
      <c r="E467" s="13">
        <f t="shared" si="7"/>
        <v>259.23333333333335</v>
      </c>
      <c r="F467" s="7" t="s">
        <v>843</v>
      </c>
    </row>
    <row r="468" spans="1:6" x14ac:dyDescent="0.3">
      <c r="A468" s="7" t="s">
        <v>520</v>
      </c>
      <c r="B468" s="7">
        <v>270</v>
      </c>
      <c r="C468" s="13">
        <f>MIN(B468,'Task 2'!D468*11)</f>
        <v>6.9666666666666668</v>
      </c>
      <c r="D468" s="13">
        <f>MIN(B468-C468,'Task 2'!D468*6)</f>
        <v>3.8</v>
      </c>
      <c r="E468" s="13">
        <f t="shared" si="7"/>
        <v>259.23333333333335</v>
      </c>
      <c r="F468" s="7" t="s">
        <v>843</v>
      </c>
    </row>
    <row r="469" spans="1:6" x14ac:dyDescent="0.3">
      <c r="A469" s="7" t="s">
        <v>521</v>
      </c>
      <c r="B469" s="7">
        <v>180</v>
      </c>
      <c r="C469" s="13">
        <f>MIN(B469,'Task 2'!D469*11)</f>
        <v>2.9333333333333331</v>
      </c>
      <c r="D469" s="13">
        <f>MIN(B469-C469,'Task 2'!D469*6)</f>
        <v>1.6</v>
      </c>
      <c r="E469" s="13">
        <f t="shared" si="7"/>
        <v>175.46666666666667</v>
      </c>
      <c r="F469" s="7" t="s">
        <v>843</v>
      </c>
    </row>
    <row r="470" spans="1:6" x14ac:dyDescent="0.3">
      <c r="A470" s="7" t="s">
        <v>522</v>
      </c>
      <c r="B470" s="7">
        <v>270</v>
      </c>
      <c r="C470" s="13">
        <f>MIN(B470,'Task 2'!D470*11)</f>
        <v>2.1999999999999997</v>
      </c>
      <c r="D470" s="13">
        <f>MIN(B470-C470,'Task 2'!D470*6)</f>
        <v>1.2</v>
      </c>
      <c r="E470" s="13">
        <f t="shared" si="7"/>
        <v>266.60000000000002</v>
      </c>
      <c r="F470" s="7" t="s">
        <v>843</v>
      </c>
    </row>
    <row r="471" spans="1:6" x14ac:dyDescent="0.3">
      <c r="A471" s="7" t="s">
        <v>523</v>
      </c>
      <c r="B471" s="7">
        <v>270</v>
      </c>
      <c r="C471" s="13">
        <f>MIN(B471,'Task 2'!D471*11)</f>
        <v>17.233333333333334</v>
      </c>
      <c r="D471" s="13">
        <f>MIN(B471-C471,'Task 2'!D471*6)</f>
        <v>9.4</v>
      </c>
      <c r="E471" s="13">
        <f t="shared" si="7"/>
        <v>243.36666666666665</v>
      </c>
      <c r="F471" s="7" t="s">
        <v>843</v>
      </c>
    </row>
    <row r="472" spans="1:6" x14ac:dyDescent="0.3">
      <c r="A472" s="7" t="s">
        <v>524</v>
      </c>
      <c r="B472" s="7">
        <v>180</v>
      </c>
      <c r="C472" s="13">
        <f>MIN(B472,'Task 2'!D472*11)</f>
        <v>13.566666666666666</v>
      </c>
      <c r="D472" s="13">
        <f>MIN(B472-C472,'Task 2'!D472*6)</f>
        <v>7.4</v>
      </c>
      <c r="E472" s="13">
        <f t="shared" si="7"/>
        <v>159.03333333333333</v>
      </c>
      <c r="F472" s="7" t="s">
        <v>843</v>
      </c>
    </row>
    <row r="473" spans="1:6" x14ac:dyDescent="0.3">
      <c r="A473" s="7" t="s">
        <v>525</v>
      </c>
      <c r="B473" s="7">
        <v>270</v>
      </c>
      <c r="C473" s="13">
        <f>MIN(B473,'Task 2'!D473*11)</f>
        <v>10.266666666666666</v>
      </c>
      <c r="D473" s="13">
        <f>MIN(B473-C473,'Task 2'!D473*6)</f>
        <v>5.6</v>
      </c>
      <c r="E473" s="13">
        <f t="shared" si="7"/>
        <v>254.13333333333335</v>
      </c>
      <c r="F473" s="7" t="s">
        <v>843</v>
      </c>
    </row>
    <row r="474" spans="1:6" x14ac:dyDescent="0.3">
      <c r="A474" s="7" t="s">
        <v>526</v>
      </c>
      <c r="B474" s="7">
        <v>270</v>
      </c>
      <c r="C474" s="13">
        <f>MIN(B474,'Task 2'!D474*11)</f>
        <v>20.533333333333331</v>
      </c>
      <c r="D474" s="13">
        <f>MIN(B474-C474,'Task 2'!D474*6)</f>
        <v>11.2</v>
      </c>
      <c r="E474" s="13">
        <f t="shared" si="7"/>
        <v>238.26666666666668</v>
      </c>
      <c r="F474" s="7" t="s">
        <v>843</v>
      </c>
    </row>
    <row r="475" spans="1:6" x14ac:dyDescent="0.3">
      <c r="A475" s="7" t="s">
        <v>527</v>
      </c>
      <c r="B475" s="7">
        <v>270</v>
      </c>
      <c r="C475" s="13">
        <f>MIN(B475,'Task 2'!D475*11)</f>
        <v>8.4333333333333336</v>
      </c>
      <c r="D475" s="13">
        <f>MIN(B475-C475,'Task 2'!D475*6)</f>
        <v>4.5999999999999996</v>
      </c>
      <c r="E475" s="13">
        <f t="shared" si="7"/>
        <v>256.96666666666664</v>
      </c>
      <c r="F475" s="7" t="s">
        <v>843</v>
      </c>
    </row>
    <row r="476" spans="1:6" x14ac:dyDescent="0.3">
      <c r="A476" s="7" t="s">
        <v>528</v>
      </c>
      <c r="B476" s="7">
        <v>270</v>
      </c>
      <c r="C476" s="13">
        <f>MIN(B476,'Task 2'!D476*11)</f>
        <v>7.6999999999999984</v>
      </c>
      <c r="D476" s="13">
        <f>MIN(B476-C476,'Task 2'!D476*6)</f>
        <v>4.1999999999999993</v>
      </c>
      <c r="E476" s="13">
        <f t="shared" si="7"/>
        <v>258.10000000000002</v>
      </c>
      <c r="F476" s="7" t="s">
        <v>843</v>
      </c>
    </row>
    <row r="477" spans="1:6" x14ac:dyDescent="0.3">
      <c r="A477" s="7" t="s">
        <v>529</v>
      </c>
      <c r="B477" s="7">
        <v>270</v>
      </c>
      <c r="C477" s="13">
        <f>MIN(B477,'Task 2'!D477*11)</f>
        <v>6.2333333333333343</v>
      </c>
      <c r="D477" s="13">
        <f>MIN(B477-C477,'Task 2'!D477*6)</f>
        <v>3.4000000000000004</v>
      </c>
      <c r="E477" s="13">
        <f t="shared" si="7"/>
        <v>260.36666666666667</v>
      </c>
      <c r="F477" s="7" t="s">
        <v>843</v>
      </c>
    </row>
    <row r="478" spans="1:6" x14ac:dyDescent="0.3">
      <c r="A478" s="7" t="s">
        <v>530</v>
      </c>
      <c r="B478" s="7">
        <v>270</v>
      </c>
      <c r="C478" s="13">
        <f>MIN(B478,'Task 2'!D478*11)</f>
        <v>4.3999999999999995</v>
      </c>
      <c r="D478" s="13">
        <f>MIN(B478-C478,'Task 2'!D478*6)</f>
        <v>2.4</v>
      </c>
      <c r="E478" s="13">
        <f t="shared" si="7"/>
        <v>263.20000000000005</v>
      </c>
      <c r="F478" s="7" t="s">
        <v>843</v>
      </c>
    </row>
    <row r="479" spans="1:6" x14ac:dyDescent="0.3">
      <c r="A479" s="7" t="s">
        <v>531</v>
      </c>
      <c r="B479" s="7">
        <v>270</v>
      </c>
      <c r="C479" s="13">
        <f>MIN(B479,'Task 2'!D479*11)</f>
        <v>9.9</v>
      </c>
      <c r="D479" s="13">
        <f>MIN(B479-C479,'Task 2'!D479*6)</f>
        <v>5.4</v>
      </c>
      <c r="E479" s="13">
        <f t="shared" si="7"/>
        <v>254.70000000000002</v>
      </c>
      <c r="F479" s="7" t="s">
        <v>843</v>
      </c>
    </row>
    <row r="480" spans="1:6" x14ac:dyDescent="0.3">
      <c r="A480" s="7" t="s">
        <v>532</v>
      </c>
      <c r="B480" s="7">
        <v>180</v>
      </c>
      <c r="C480" s="13">
        <f>MIN(B480,'Task 2'!D480*11)</f>
        <v>10.266666666666666</v>
      </c>
      <c r="D480" s="13">
        <f>MIN(B480-C480,'Task 2'!D480*6)</f>
        <v>5.6</v>
      </c>
      <c r="E480" s="13">
        <f t="shared" si="7"/>
        <v>164.13333333333335</v>
      </c>
      <c r="F480" s="7" t="s">
        <v>843</v>
      </c>
    </row>
    <row r="481" spans="1:6" x14ac:dyDescent="0.3">
      <c r="A481" s="7" t="s">
        <v>533</v>
      </c>
      <c r="B481" s="7">
        <v>270</v>
      </c>
      <c r="C481" s="13">
        <f>MIN(B481,'Task 2'!D481*11)</f>
        <v>5.5</v>
      </c>
      <c r="D481" s="13">
        <f>MIN(B481-C481,'Task 2'!D481*6)</f>
        <v>3</v>
      </c>
      <c r="E481" s="13">
        <f t="shared" si="7"/>
        <v>261.5</v>
      </c>
      <c r="F481" s="7" t="s">
        <v>843</v>
      </c>
    </row>
    <row r="482" spans="1:6" x14ac:dyDescent="0.3">
      <c r="A482" s="7" t="s">
        <v>534</v>
      </c>
      <c r="B482" s="7">
        <v>180</v>
      </c>
      <c r="C482" s="13">
        <f>MIN(B482,'Task 2'!D482*11)</f>
        <v>4.0333333333333332</v>
      </c>
      <c r="D482" s="13">
        <f>MIN(B482-C482,'Task 2'!D482*6)</f>
        <v>2.2000000000000002</v>
      </c>
      <c r="E482" s="13">
        <f t="shared" si="7"/>
        <v>173.76666666666668</v>
      </c>
      <c r="F482" s="7" t="s">
        <v>843</v>
      </c>
    </row>
    <row r="483" spans="1:6" x14ac:dyDescent="0.3">
      <c r="A483" s="7" t="s">
        <v>535</v>
      </c>
      <c r="B483" s="7">
        <v>270</v>
      </c>
      <c r="C483" s="13">
        <f>MIN(B483,'Task 2'!D483*11)</f>
        <v>11</v>
      </c>
      <c r="D483" s="13">
        <f>MIN(B483-C483,'Task 2'!D483*6)</f>
        <v>6</v>
      </c>
      <c r="E483" s="13">
        <f t="shared" si="7"/>
        <v>253</v>
      </c>
      <c r="F483" s="7" t="s">
        <v>843</v>
      </c>
    </row>
    <row r="484" spans="1:6" x14ac:dyDescent="0.3">
      <c r="A484" s="7" t="s">
        <v>536</v>
      </c>
      <c r="B484" s="7">
        <v>270</v>
      </c>
      <c r="C484" s="13">
        <f>MIN(B484,'Task 2'!D484*11)</f>
        <v>3.6666666666666665</v>
      </c>
      <c r="D484" s="13">
        <f>MIN(B484-C484,'Task 2'!D484*6)</f>
        <v>2</v>
      </c>
      <c r="E484" s="13">
        <f t="shared" si="7"/>
        <v>264.33333333333331</v>
      </c>
      <c r="F484" s="7" t="s">
        <v>843</v>
      </c>
    </row>
    <row r="485" spans="1:6" x14ac:dyDescent="0.3">
      <c r="A485" s="7" t="s">
        <v>537</v>
      </c>
      <c r="B485" s="7">
        <v>270</v>
      </c>
      <c r="C485" s="13">
        <f>MIN(B485,'Task 2'!D485*11)</f>
        <v>4.7666666666666666</v>
      </c>
      <c r="D485" s="13">
        <f>MIN(B485-C485,'Task 2'!D485*6)</f>
        <v>2.6</v>
      </c>
      <c r="E485" s="13">
        <f t="shared" si="7"/>
        <v>262.63333333333333</v>
      </c>
      <c r="F485" s="7" t="s">
        <v>843</v>
      </c>
    </row>
    <row r="486" spans="1:6" x14ac:dyDescent="0.3">
      <c r="A486" s="7" t="s">
        <v>538</v>
      </c>
      <c r="B486" s="7">
        <v>720</v>
      </c>
      <c r="C486" s="13">
        <f>MIN(B486,'Task 2'!D486*11)</f>
        <v>4.0333333333333332</v>
      </c>
      <c r="D486" s="13">
        <f>MIN(B486-C486,'Task 2'!D486*6)</f>
        <v>2.2000000000000002</v>
      </c>
      <c r="E486" s="13">
        <f t="shared" si="7"/>
        <v>713.76666666666665</v>
      </c>
      <c r="F486" s="7" t="s">
        <v>843</v>
      </c>
    </row>
    <row r="487" spans="1:6" x14ac:dyDescent="0.3">
      <c r="A487" s="7" t="s">
        <v>539</v>
      </c>
      <c r="B487" s="7">
        <v>180</v>
      </c>
      <c r="C487" s="13">
        <f>MIN(B487,'Task 2'!D487*11)</f>
        <v>2.5666666666666664</v>
      </c>
      <c r="D487" s="13">
        <f>MIN(B487-C487,'Task 2'!D487*6)</f>
        <v>1.4</v>
      </c>
      <c r="E487" s="13">
        <f t="shared" si="7"/>
        <v>176.03333333333333</v>
      </c>
      <c r="F487" s="7" t="s">
        <v>843</v>
      </c>
    </row>
    <row r="488" spans="1:6" x14ac:dyDescent="0.3">
      <c r="A488" s="7" t="s">
        <v>540</v>
      </c>
      <c r="B488" s="7">
        <v>270</v>
      </c>
      <c r="C488" s="13">
        <f>MIN(B488,'Task 2'!D488*11)</f>
        <v>26.766666666666666</v>
      </c>
      <c r="D488" s="13">
        <f>MIN(B488-C488,'Task 2'!D488*6)</f>
        <v>14.599999999999998</v>
      </c>
      <c r="E488" s="13">
        <f t="shared" si="7"/>
        <v>228.63333333333335</v>
      </c>
      <c r="F488" s="7" t="s">
        <v>843</v>
      </c>
    </row>
    <row r="489" spans="1:6" x14ac:dyDescent="0.3">
      <c r="A489" s="7" t="s">
        <v>541</v>
      </c>
      <c r="B489" s="7">
        <v>180</v>
      </c>
      <c r="C489" s="13">
        <f>MIN(B489,'Task 2'!D489*11)</f>
        <v>23.833333333333332</v>
      </c>
      <c r="D489" s="13">
        <f>MIN(B489-C489,'Task 2'!D489*6)</f>
        <v>13</v>
      </c>
      <c r="E489" s="13">
        <f t="shared" si="7"/>
        <v>143.16666666666666</v>
      </c>
      <c r="F489" s="7" t="s">
        <v>843</v>
      </c>
    </row>
    <row r="490" spans="1:6" x14ac:dyDescent="0.3">
      <c r="A490" s="7" t="s">
        <v>542</v>
      </c>
      <c r="B490" s="7">
        <v>270</v>
      </c>
      <c r="C490" s="13">
        <f>MIN(B490,'Task 2'!D490*11)</f>
        <v>12.099999999999998</v>
      </c>
      <c r="D490" s="13">
        <f>MIN(B490-C490,'Task 2'!D490*6)</f>
        <v>6.6</v>
      </c>
      <c r="E490" s="13">
        <f t="shared" si="7"/>
        <v>251.29999999999998</v>
      </c>
      <c r="F490" s="7" t="s">
        <v>843</v>
      </c>
    </row>
    <row r="491" spans="1:6" x14ac:dyDescent="0.3">
      <c r="A491" s="7" t="s">
        <v>543</v>
      </c>
      <c r="B491" s="7">
        <v>180</v>
      </c>
      <c r="C491" s="13">
        <f>MIN(B491,'Task 2'!D491*11)</f>
        <v>11.366666666666667</v>
      </c>
      <c r="D491" s="13">
        <f>MIN(B491-C491,'Task 2'!D491*6)</f>
        <v>6.2000000000000011</v>
      </c>
      <c r="E491" s="13">
        <f t="shared" si="7"/>
        <v>162.43333333333334</v>
      </c>
      <c r="F491" s="7" t="s">
        <v>843</v>
      </c>
    </row>
    <row r="492" spans="1:6" x14ac:dyDescent="0.3">
      <c r="A492" s="7" t="s">
        <v>544</v>
      </c>
      <c r="B492" s="7">
        <v>270</v>
      </c>
      <c r="C492" s="13">
        <f>MIN(B492,'Task 2'!D492*11)</f>
        <v>9.5333333333333332</v>
      </c>
      <c r="D492" s="13">
        <f>MIN(B492-C492,'Task 2'!D492*6)</f>
        <v>5.2</v>
      </c>
      <c r="E492" s="13">
        <f t="shared" si="7"/>
        <v>255.26666666666665</v>
      </c>
      <c r="F492" s="7" t="s">
        <v>843</v>
      </c>
    </row>
    <row r="493" spans="1:6" x14ac:dyDescent="0.3">
      <c r="A493" s="7" t="s">
        <v>545</v>
      </c>
      <c r="B493" s="7">
        <v>270</v>
      </c>
      <c r="C493" s="13">
        <f>MIN(B493,'Task 2'!D493*11)</f>
        <v>9.1666666666666679</v>
      </c>
      <c r="D493" s="13">
        <f>MIN(B493-C493,'Task 2'!D493*6)</f>
        <v>5</v>
      </c>
      <c r="E493" s="13">
        <f t="shared" si="7"/>
        <v>255.83333333333331</v>
      </c>
      <c r="F493" s="7" t="s">
        <v>843</v>
      </c>
    </row>
    <row r="494" spans="1:6" x14ac:dyDescent="0.3">
      <c r="A494" s="7" t="s">
        <v>546</v>
      </c>
      <c r="B494" s="7">
        <v>180</v>
      </c>
      <c r="C494" s="13">
        <f>MIN(B494,'Task 2'!D494*11)</f>
        <v>7.333333333333333</v>
      </c>
      <c r="D494" s="13">
        <f>MIN(B494-C494,'Task 2'!D494*6)</f>
        <v>4</v>
      </c>
      <c r="E494" s="13">
        <f t="shared" si="7"/>
        <v>168.66666666666666</v>
      </c>
      <c r="F494" s="7" t="s">
        <v>843</v>
      </c>
    </row>
    <row r="495" spans="1:6" x14ac:dyDescent="0.3">
      <c r="A495" s="7" t="s">
        <v>547</v>
      </c>
      <c r="B495" s="7">
        <v>270</v>
      </c>
      <c r="C495" s="13">
        <f>MIN(B495,'Task 2'!D495*11)</f>
        <v>8.4333333333333336</v>
      </c>
      <c r="D495" s="13">
        <f>MIN(B495-C495,'Task 2'!D495*6)</f>
        <v>4.5999999999999996</v>
      </c>
      <c r="E495" s="13">
        <f t="shared" si="7"/>
        <v>256.96666666666664</v>
      </c>
      <c r="F495" s="7" t="s">
        <v>843</v>
      </c>
    </row>
    <row r="496" spans="1:6" x14ac:dyDescent="0.3">
      <c r="A496" s="7" t="s">
        <v>548</v>
      </c>
      <c r="B496" s="7">
        <v>270</v>
      </c>
      <c r="C496" s="13">
        <f>MIN(B496,'Task 2'!D496*11)</f>
        <v>9.9</v>
      </c>
      <c r="D496" s="13">
        <f>MIN(B496-C496,'Task 2'!D496*6)</f>
        <v>5.4</v>
      </c>
      <c r="E496" s="13">
        <f t="shared" si="7"/>
        <v>254.70000000000002</v>
      </c>
      <c r="F496" s="7" t="s">
        <v>843</v>
      </c>
    </row>
    <row r="497" spans="1:6" x14ac:dyDescent="0.3">
      <c r="A497" s="7" t="s">
        <v>549</v>
      </c>
      <c r="B497" s="7">
        <v>270</v>
      </c>
      <c r="C497" s="13">
        <f>MIN(B497,'Task 2'!D497*11)</f>
        <v>9.9</v>
      </c>
      <c r="D497" s="13">
        <f>MIN(B497-C497,'Task 2'!D497*6)</f>
        <v>5.4</v>
      </c>
      <c r="E497" s="13">
        <f t="shared" si="7"/>
        <v>254.70000000000002</v>
      </c>
      <c r="F497" s="7" t="s">
        <v>843</v>
      </c>
    </row>
    <row r="498" spans="1:6" x14ac:dyDescent="0.3">
      <c r="A498" s="7" t="s">
        <v>550</v>
      </c>
      <c r="B498" s="7">
        <v>1440</v>
      </c>
      <c r="C498" s="13">
        <f>MIN(B498,'Task 2'!D498*11)</f>
        <v>9.1666666666666679</v>
      </c>
      <c r="D498" s="13">
        <f>MIN(B498-C498,'Task 2'!D498*6)</f>
        <v>5</v>
      </c>
      <c r="E498" s="13">
        <f t="shared" si="7"/>
        <v>1425.8333333333333</v>
      </c>
      <c r="F498" s="7" t="s">
        <v>843</v>
      </c>
    </row>
    <row r="499" spans="1:6" x14ac:dyDescent="0.3">
      <c r="A499" s="7" t="s">
        <v>551</v>
      </c>
      <c r="B499" s="7">
        <v>270</v>
      </c>
      <c r="C499" s="13">
        <f>MIN(B499,'Task 2'!D499*11)</f>
        <v>9.9</v>
      </c>
      <c r="D499" s="13">
        <f>MIN(B499-C499,'Task 2'!D499*6)</f>
        <v>5.4</v>
      </c>
      <c r="E499" s="13">
        <f t="shared" si="7"/>
        <v>254.70000000000002</v>
      </c>
      <c r="F499" s="7" t="s">
        <v>843</v>
      </c>
    </row>
    <row r="500" spans="1:6" x14ac:dyDescent="0.3">
      <c r="A500" s="7" t="s">
        <v>552</v>
      </c>
      <c r="B500" s="7">
        <v>180</v>
      </c>
      <c r="C500" s="13">
        <f>MIN(B500,'Task 2'!D500*11)</f>
        <v>8.4333333333333336</v>
      </c>
      <c r="D500" s="13">
        <f>MIN(B500-C500,'Task 2'!D500*6)</f>
        <v>4.5999999999999996</v>
      </c>
      <c r="E500" s="13">
        <f t="shared" si="7"/>
        <v>166.96666666666667</v>
      </c>
      <c r="F500" s="7" t="s">
        <v>843</v>
      </c>
    </row>
    <row r="501" spans="1:6" x14ac:dyDescent="0.3">
      <c r="A501" s="7" t="s">
        <v>553</v>
      </c>
      <c r="B501" s="7">
        <v>180</v>
      </c>
      <c r="C501" s="13">
        <f>MIN(B501,'Task 2'!D501*11)</f>
        <v>3.3</v>
      </c>
      <c r="D501" s="13">
        <f>MIN(B501-C501,'Task 2'!D501*6)</f>
        <v>1.7999999999999998</v>
      </c>
      <c r="E501" s="13">
        <f t="shared" si="7"/>
        <v>174.89999999999998</v>
      </c>
      <c r="F501" s="7" t="s">
        <v>843</v>
      </c>
    </row>
    <row r="502" spans="1:6" x14ac:dyDescent="0.3">
      <c r="A502" s="7" t="s">
        <v>554</v>
      </c>
      <c r="B502" s="7">
        <v>270</v>
      </c>
      <c r="C502" s="13">
        <f>MIN(B502,'Task 2'!D502*11)</f>
        <v>3.6666666666666665</v>
      </c>
      <c r="D502" s="13">
        <f>MIN(B502-C502,'Task 2'!D502*6)</f>
        <v>2</v>
      </c>
      <c r="E502" s="13">
        <f t="shared" si="7"/>
        <v>264.33333333333331</v>
      </c>
      <c r="F502" s="7" t="s">
        <v>843</v>
      </c>
    </row>
    <row r="503" spans="1:6" x14ac:dyDescent="0.3">
      <c r="A503" s="7" t="s">
        <v>555</v>
      </c>
      <c r="B503" s="7">
        <v>270</v>
      </c>
      <c r="C503" s="13">
        <f>MIN(B503,'Task 2'!D503*11)</f>
        <v>6.9666666666666677</v>
      </c>
      <c r="D503" s="13">
        <f>MIN(B503-C503,'Task 2'!D503*6)</f>
        <v>3.8000000000000007</v>
      </c>
      <c r="E503" s="13">
        <f t="shared" si="7"/>
        <v>259.23333333333335</v>
      </c>
      <c r="F503" s="7" t="s">
        <v>843</v>
      </c>
    </row>
    <row r="504" spans="1:6" x14ac:dyDescent="0.3">
      <c r="A504" s="7" t="s">
        <v>556</v>
      </c>
      <c r="B504" s="7">
        <v>180</v>
      </c>
      <c r="C504" s="13">
        <f>MIN(B504,'Task 2'!D504*11)</f>
        <v>3.6666666666666665</v>
      </c>
      <c r="D504" s="13">
        <f>MIN(B504-C504,'Task 2'!D504*6)</f>
        <v>2</v>
      </c>
      <c r="E504" s="13">
        <f t="shared" si="7"/>
        <v>174.33333333333334</v>
      </c>
      <c r="F504" s="7" t="s">
        <v>843</v>
      </c>
    </row>
    <row r="505" spans="1:6" x14ac:dyDescent="0.3">
      <c r="A505" s="7" t="s">
        <v>557</v>
      </c>
      <c r="B505" s="7">
        <v>270</v>
      </c>
      <c r="C505" s="13">
        <f>MIN(B505,'Task 2'!D505*11)</f>
        <v>2.2000000000000006</v>
      </c>
      <c r="D505" s="13">
        <f>MIN(B505-C505,'Task 2'!D505*6)</f>
        <v>1.2000000000000002</v>
      </c>
      <c r="E505" s="13">
        <f t="shared" si="7"/>
        <v>266.60000000000002</v>
      </c>
      <c r="F505" s="7" t="s">
        <v>843</v>
      </c>
    </row>
    <row r="506" spans="1:6" x14ac:dyDescent="0.3">
      <c r="A506" s="7" t="s">
        <v>558</v>
      </c>
      <c r="B506" s="7">
        <v>180</v>
      </c>
      <c r="C506" s="13">
        <f>MIN(B506,'Task 2'!D506*11)</f>
        <v>2.9333333333333331</v>
      </c>
      <c r="D506" s="13">
        <f>MIN(B506-C506,'Task 2'!D506*6)</f>
        <v>1.6</v>
      </c>
      <c r="E506" s="13">
        <f t="shared" si="7"/>
        <v>175.46666666666667</v>
      </c>
      <c r="F506" s="7" t="s">
        <v>843</v>
      </c>
    </row>
    <row r="507" spans="1:6" x14ac:dyDescent="0.3">
      <c r="A507" s="7" t="s">
        <v>559</v>
      </c>
      <c r="B507" s="7">
        <v>180</v>
      </c>
      <c r="C507" s="13">
        <f>MIN(B507,'Task 2'!D507*11)</f>
        <v>6.2333333333333334</v>
      </c>
      <c r="D507" s="13">
        <f>MIN(B507-C507,'Task 2'!D507*6)</f>
        <v>3.4</v>
      </c>
      <c r="E507" s="13">
        <f t="shared" si="7"/>
        <v>170.36666666666667</v>
      </c>
      <c r="F507" s="7" t="s">
        <v>843</v>
      </c>
    </row>
    <row r="508" spans="1:6" x14ac:dyDescent="0.3">
      <c r="A508" s="7" t="s">
        <v>560</v>
      </c>
      <c r="B508" s="7">
        <v>1440</v>
      </c>
      <c r="C508" s="13">
        <f>MIN(B508,'Task 2'!D508*11)</f>
        <v>1.4666666666666666</v>
      </c>
      <c r="D508" s="13">
        <f>MIN(B508-C508,'Task 2'!D508*6)</f>
        <v>0.8</v>
      </c>
      <c r="E508" s="13">
        <f t="shared" si="7"/>
        <v>1437.7333333333333</v>
      </c>
      <c r="F508" s="7" t="s">
        <v>843</v>
      </c>
    </row>
    <row r="509" spans="1:6" x14ac:dyDescent="0.3">
      <c r="A509" s="7" t="s">
        <v>561</v>
      </c>
      <c r="B509" s="7">
        <v>270</v>
      </c>
      <c r="C509" s="13">
        <f>MIN(B509,'Task 2'!D509*11)</f>
        <v>14.3</v>
      </c>
      <c r="D509" s="13">
        <f>MIN(B509-C509,'Task 2'!D509*6)</f>
        <v>7.8000000000000007</v>
      </c>
      <c r="E509" s="13">
        <f t="shared" si="7"/>
        <v>247.89999999999998</v>
      </c>
      <c r="F509" s="7" t="s">
        <v>843</v>
      </c>
    </row>
    <row r="510" spans="1:6" x14ac:dyDescent="0.3">
      <c r="A510" s="7" t="s">
        <v>562</v>
      </c>
      <c r="B510" s="7">
        <v>270</v>
      </c>
      <c r="C510" s="13">
        <f>MIN(B510,'Task 2'!D510*11)</f>
        <v>11.733333333333333</v>
      </c>
      <c r="D510" s="13">
        <f>MIN(B510-C510,'Task 2'!D510*6)</f>
        <v>6.4</v>
      </c>
      <c r="E510" s="13">
        <f t="shared" si="7"/>
        <v>251.86666666666665</v>
      </c>
      <c r="F510" s="7" t="s">
        <v>843</v>
      </c>
    </row>
    <row r="511" spans="1:6" x14ac:dyDescent="0.3">
      <c r="A511" s="7" t="s">
        <v>563</v>
      </c>
      <c r="B511" s="7">
        <v>270</v>
      </c>
      <c r="C511" s="13">
        <f>MIN(B511,'Task 2'!D511*11)</f>
        <v>15.033333333333331</v>
      </c>
      <c r="D511" s="13">
        <f>MIN(B511-C511,'Task 2'!D511*6)</f>
        <v>8.1999999999999993</v>
      </c>
      <c r="E511" s="13">
        <f t="shared" si="7"/>
        <v>246.76666666666668</v>
      </c>
      <c r="F511" s="7" t="s">
        <v>843</v>
      </c>
    </row>
    <row r="512" spans="1:6" x14ac:dyDescent="0.3">
      <c r="A512" s="7" t="s">
        <v>564</v>
      </c>
      <c r="B512" s="7">
        <v>270</v>
      </c>
      <c r="C512" s="13">
        <f>MIN(B512,'Task 2'!D512*11)</f>
        <v>10.266666666666666</v>
      </c>
      <c r="D512" s="13">
        <f>MIN(B512-C512,'Task 2'!D512*6)</f>
        <v>5.6</v>
      </c>
      <c r="E512" s="13">
        <f t="shared" si="7"/>
        <v>254.13333333333335</v>
      </c>
      <c r="F512" s="7" t="s">
        <v>843</v>
      </c>
    </row>
    <row r="513" spans="1:6" x14ac:dyDescent="0.3">
      <c r="A513" s="7" t="s">
        <v>565</v>
      </c>
      <c r="B513" s="7">
        <v>270</v>
      </c>
      <c r="C513" s="13">
        <f>MIN(B513,'Task 2'!D513*11)</f>
        <v>8.4333333333333336</v>
      </c>
      <c r="D513" s="13">
        <f>MIN(B513-C513,'Task 2'!D513*6)</f>
        <v>4.5999999999999996</v>
      </c>
      <c r="E513" s="13">
        <f t="shared" si="7"/>
        <v>256.96666666666664</v>
      </c>
      <c r="F513" s="7" t="s">
        <v>843</v>
      </c>
    </row>
    <row r="514" spans="1:6" x14ac:dyDescent="0.3">
      <c r="A514" s="7" t="s">
        <v>566</v>
      </c>
      <c r="B514" s="7">
        <v>270</v>
      </c>
      <c r="C514" s="13">
        <f>MIN(B514,'Task 2'!D514*11)</f>
        <v>9.9</v>
      </c>
      <c r="D514" s="13">
        <f>MIN(B514-C514,'Task 2'!D514*6)</f>
        <v>5.4</v>
      </c>
      <c r="E514" s="13">
        <f t="shared" si="7"/>
        <v>254.70000000000002</v>
      </c>
      <c r="F514" s="7" t="s">
        <v>843</v>
      </c>
    </row>
    <row r="515" spans="1:6" x14ac:dyDescent="0.3">
      <c r="A515" s="7" t="s">
        <v>567</v>
      </c>
      <c r="B515" s="7">
        <v>270</v>
      </c>
      <c r="C515" s="13">
        <f>MIN(B515,'Task 2'!D515*11)</f>
        <v>4.7666666666666666</v>
      </c>
      <c r="D515" s="13">
        <f>MIN(B515-C515,'Task 2'!D515*6)</f>
        <v>2.6</v>
      </c>
      <c r="E515" s="13">
        <f t="shared" ref="E515:E578" si="8">B515-C515-D515</f>
        <v>262.63333333333333</v>
      </c>
      <c r="F515" s="7" t="s">
        <v>843</v>
      </c>
    </row>
    <row r="516" spans="1:6" x14ac:dyDescent="0.3">
      <c r="A516" s="7" t="s">
        <v>568</v>
      </c>
      <c r="B516" s="7">
        <v>270</v>
      </c>
      <c r="C516" s="13">
        <f>MIN(B516,'Task 2'!D516*11)</f>
        <v>2.9333333333333331</v>
      </c>
      <c r="D516" s="13">
        <f>MIN(B516-C516,'Task 2'!D516*6)</f>
        <v>1.6</v>
      </c>
      <c r="E516" s="13">
        <f t="shared" si="8"/>
        <v>265.46666666666664</v>
      </c>
      <c r="F516" s="7" t="s">
        <v>843</v>
      </c>
    </row>
    <row r="517" spans="1:6" x14ac:dyDescent="0.3">
      <c r="A517" s="7" t="s">
        <v>569</v>
      </c>
      <c r="B517" s="7">
        <v>270</v>
      </c>
      <c r="C517" s="13">
        <f>MIN(B517,'Task 2'!D517*11)</f>
        <v>5.5</v>
      </c>
      <c r="D517" s="13">
        <f>MIN(B517-C517,'Task 2'!D517*6)</f>
        <v>3</v>
      </c>
      <c r="E517" s="13">
        <f t="shared" si="8"/>
        <v>261.5</v>
      </c>
      <c r="F517" s="7" t="s">
        <v>843</v>
      </c>
    </row>
    <row r="518" spans="1:6" x14ac:dyDescent="0.3">
      <c r="A518" s="7" t="s">
        <v>570</v>
      </c>
      <c r="B518" s="7">
        <v>180</v>
      </c>
      <c r="C518" s="13">
        <f>MIN(B518,'Task 2'!D518*11)</f>
        <v>3.3</v>
      </c>
      <c r="D518" s="13">
        <f>MIN(B518-C518,'Task 2'!D518*6)</f>
        <v>1.7999999999999998</v>
      </c>
      <c r="E518" s="13">
        <f t="shared" si="8"/>
        <v>174.89999999999998</v>
      </c>
      <c r="F518" s="7" t="s">
        <v>843</v>
      </c>
    </row>
    <row r="519" spans="1:6" x14ac:dyDescent="0.3">
      <c r="A519" s="7" t="s">
        <v>571</v>
      </c>
      <c r="B519" s="7">
        <v>270</v>
      </c>
      <c r="C519" s="13">
        <f>MIN(B519,'Task 2'!D519*11)</f>
        <v>2.9333333333333331</v>
      </c>
      <c r="D519" s="13">
        <f>MIN(B519-C519,'Task 2'!D519*6)</f>
        <v>1.6</v>
      </c>
      <c r="E519" s="13">
        <f t="shared" si="8"/>
        <v>265.46666666666664</v>
      </c>
      <c r="F519" s="7" t="s">
        <v>843</v>
      </c>
    </row>
    <row r="520" spans="1:6" x14ac:dyDescent="0.3">
      <c r="A520" s="7" t="s">
        <v>572</v>
      </c>
      <c r="B520" s="7">
        <v>180</v>
      </c>
      <c r="C520" s="13">
        <f>MIN(B520,'Task 2'!D520*11)</f>
        <v>4.7666666666666666</v>
      </c>
      <c r="D520" s="13">
        <f>MIN(B520-C520,'Task 2'!D520*6)</f>
        <v>2.5999999999999996</v>
      </c>
      <c r="E520" s="13">
        <f t="shared" si="8"/>
        <v>172.63333333333333</v>
      </c>
      <c r="F520" s="7" t="s">
        <v>843</v>
      </c>
    </row>
    <row r="521" spans="1:6" x14ac:dyDescent="0.3">
      <c r="A521" s="7" t="s">
        <v>573</v>
      </c>
      <c r="B521" s="7">
        <v>270</v>
      </c>
      <c r="C521" s="13">
        <f>MIN(B521,'Task 2'!D521*11)</f>
        <v>5.5</v>
      </c>
      <c r="D521" s="13">
        <f>MIN(B521-C521,'Task 2'!D521*6)</f>
        <v>3</v>
      </c>
      <c r="E521" s="13">
        <f t="shared" si="8"/>
        <v>261.5</v>
      </c>
      <c r="F521" s="7" t="s">
        <v>843</v>
      </c>
    </row>
    <row r="522" spans="1:6" x14ac:dyDescent="0.3">
      <c r="A522" s="7" t="s">
        <v>574</v>
      </c>
      <c r="B522" s="7">
        <v>180</v>
      </c>
      <c r="C522" s="13">
        <f>MIN(B522,'Task 2'!D522*11)</f>
        <v>3.6666666666666665</v>
      </c>
      <c r="D522" s="13">
        <f>MIN(B522-C522,'Task 2'!D522*6)</f>
        <v>2</v>
      </c>
      <c r="E522" s="13">
        <f t="shared" si="8"/>
        <v>174.33333333333334</v>
      </c>
      <c r="F522" s="7" t="s">
        <v>843</v>
      </c>
    </row>
    <row r="523" spans="1:6" x14ac:dyDescent="0.3">
      <c r="A523" s="7" t="s">
        <v>575</v>
      </c>
      <c r="B523" s="7">
        <v>180</v>
      </c>
      <c r="C523" s="13">
        <f>MIN(B523,'Task 2'!D523*11)</f>
        <v>2.5666666666666664</v>
      </c>
      <c r="D523" s="13">
        <f>MIN(B523-C523,'Task 2'!D523*6)</f>
        <v>1.4</v>
      </c>
      <c r="E523" s="13">
        <f t="shared" si="8"/>
        <v>176.03333333333333</v>
      </c>
      <c r="F523" s="7" t="s">
        <v>843</v>
      </c>
    </row>
    <row r="524" spans="1:6" x14ac:dyDescent="0.3">
      <c r="A524" s="7" t="s">
        <v>576</v>
      </c>
      <c r="B524" s="7">
        <v>180</v>
      </c>
      <c r="C524" s="13">
        <f>MIN(B524,'Task 2'!D524*11)</f>
        <v>3.6666666666666665</v>
      </c>
      <c r="D524" s="13">
        <f>MIN(B524-C524,'Task 2'!D524*6)</f>
        <v>2</v>
      </c>
      <c r="E524" s="13">
        <f t="shared" si="8"/>
        <v>174.33333333333334</v>
      </c>
      <c r="F524" s="7" t="s">
        <v>843</v>
      </c>
    </row>
    <row r="525" spans="1:6" x14ac:dyDescent="0.3">
      <c r="A525" s="7" t="s">
        <v>577</v>
      </c>
      <c r="B525" s="7">
        <v>720</v>
      </c>
      <c r="C525" s="13">
        <f>MIN(B525,'Task 2'!D525*11)</f>
        <v>2.5666666666666664</v>
      </c>
      <c r="D525" s="13">
        <f>MIN(B525-C525,'Task 2'!D525*6)</f>
        <v>1.4</v>
      </c>
      <c r="E525" s="13">
        <f t="shared" si="8"/>
        <v>716.0333333333333</v>
      </c>
      <c r="F525" s="7" t="s">
        <v>843</v>
      </c>
    </row>
    <row r="526" spans="1:6" x14ac:dyDescent="0.3">
      <c r="A526" s="7" t="s">
        <v>578</v>
      </c>
      <c r="B526" s="7">
        <v>270</v>
      </c>
      <c r="C526" s="13">
        <f>MIN(B526,'Task 2'!D526*11)</f>
        <v>6.6</v>
      </c>
      <c r="D526" s="13">
        <f>MIN(B526-C526,'Task 2'!D526*6)</f>
        <v>3.5999999999999996</v>
      </c>
      <c r="E526" s="13">
        <f t="shared" si="8"/>
        <v>259.79999999999995</v>
      </c>
      <c r="F526" s="7" t="s">
        <v>843</v>
      </c>
    </row>
    <row r="527" spans="1:6" x14ac:dyDescent="0.3">
      <c r="A527" s="7" t="s">
        <v>579</v>
      </c>
      <c r="B527" s="7">
        <v>270</v>
      </c>
      <c r="C527" s="13">
        <f>MIN(B527,'Task 2'!D527*11)</f>
        <v>3.3</v>
      </c>
      <c r="D527" s="13">
        <f>MIN(B527-C527,'Task 2'!D527*6)</f>
        <v>1.7999999999999998</v>
      </c>
      <c r="E527" s="13">
        <f t="shared" si="8"/>
        <v>264.89999999999998</v>
      </c>
      <c r="F527" s="7" t="s">
        <v>843</v>
      </c>
    </row>
    <row r="528" spans="1:6" x14ac:dyDescent="0.3">
      <c r="A528" s="7" t="s">
        <v>580</v>
      </c>
      <c r="B528" s="7">
        <v>180</v>
      </c>
      <c r="C528" s="13">
        <f>MIN(B528,'Task 2'!D528*11)</f>
        <v>1.4666666666666666</v>
      </c>
      <c r="D528" s="13">
        <f>MIN(B528-C528,'Task 2'!D528*6)</f>
        <v>0.8</v>
      </c>
      <c r="E528" s="13">
        <f t="shared" si="8"/>
        <v>177.73333333333332</v>
      </c>
      <c r="F528" s="7" t="s">
        <v>843</v>
      </c>
    </row>
    <row r="529" spans="1:6" x14ac:dyDescent="0.3">
      <c r="A529" s="7" t="s">
        <v>581</v>
      </c>
      <c r="B529" s="7">
        <v>270</v>
      </c>
      <c r="C529" s="13">
        <f>MIN(B529,'Task 2'!D529*11)</f>
        <v>4.0333333333333332</v>
      </c>
      <c r="D529" s="13">
        <f>MIN(B529-C529,'Task 2'!D529*6)</f>
        <v>2.2000000000000002</v>
      </c>
      <c r="E529" s="13">
        <f t="shared" si="8"/>
        <v>263.76666666666665</v>
      </c>
      <c r="F529" s="7" t="s">
        <v>843</v>
      </c>
    </row>
    <row r="530" spans="1:6" x14ac:dyDescent="0.3">
      <c r="A530" s="7" t="s">
        <v>582</v>
      </c>
      <c r="B530" s="7">
        <v>270</v>
      </c>
      <c r="C530" s="13">
        <f>MIN(B530,'Task 2'!D530*11)</f>
        <v>2.5666666666666664</v>
      </c>
      <c r="D530" s="13">
        <f>MIN(B530-C530,'Task 2'!D530*6)</f>
        <v>1.4</v>
      </c>
      <c r="E530" s="13">
        <f t="shared" si="8"/>
        <v>266.03333333333336</v>
      </c>
      <c r="F530" s="7" t="s">
        <v>843</v>
      </c>
    </row>
    <row r="531" spans="1:6" x14ac:dyDescent="0.3">
      <c r="A531" s="7" t="s">
        <v>583</v>
      </c>
      <c r="B531" s="7">
        <v>270</v>
      </c>
      <c r="C531" s="13">
        <f>MIN(B531,'Task 2'!D531*11)</f>
        <v>1.4666666666666666</v>
      </c>
      <c r="D531" s="13">
        <f>MIN(B531-C531,'Task 2'!D531*6)</f>
        <v>0.8</v>
      </c>
      <c r="E531" s="13">
        <f t="shared" si="8"/>
        <v>267.73333333333335</v>
      </c>
      <c r="F531" s="7" t="s">
        <v>843</v>
      </c>
    </row>
    <row r="532" spans="1:6" x14ac:dyDescent="0.3">
      <c r="A532" s="7" t="s">
        <v>584</v>
      </c>
      <c r="B532" s="7">
        <v>1080</v>
      </c>
      <c r="C532" s="13">
        <f>MIN(B532,'Task 2'!D532*11)</f>
        <v>22</v>
      </c>
      <c r="D532" s="13">
        <f>MIN(B532-C532,'Task 2'!D532*6)</f>
        <v>12</v>
      </c>
      <c r="E532" s="13">
        <f t="shared" si="8"/>
        <v>1046</v>
      </c>
      <c r="F532" s="7" t="s">
        <v>843</v>
      </c>
    </row>
    <row r="533" spans="1:6" x14ac:dyDescent="0.3">
      <c r="A533" s="7" t="s">
        <v>585</v>
      </c>
      <c r="B533" s="7">
        <v>270</v>
      </c>
      <c r="C533" s="13">
        <f>MIN(B533,'Task 2'!D533*11)</f>
        <v>37.766666666666666</v>
      </c>
      <c r="D533" s="13">
        <f>MIN(B533-C533,'Task 2'!D533*6)</f>
        <v>20.599999999999998</v>
      </c>
      <c r="E533" s="13">
        <f t="shared" si="8"/>
        <v>211.63333333333335</v>
      </c>
      <c r="F533" s="7" t="s">
        <v>843</v>
      </c>
    </row>
    <row r="534" spans="1:6" x14ac:dyDescent="0.3">
      <c r="A534" s="7" t="s">
        <v>586</v>
      </c>
      <c r="B534" s="7">
        <v>270</v>
      </c>
      <c r="C534" s="13">
        <f>MIN(B534,'Task 2'!D534*11)</f>
        <v>7.333333333333333</v>
      </c>
      <c r="D534" s="13">
        <f>MIN(B534-C534,'Task 2'!D534*6)</f>
        <v>4</v>
      </c>
      <c r="E534" s="13">
        <f t="shared" si="8"/>
        <v>258.66666666666669</v>
      </c>
      <c r="F534" s="7" t="s">
        <v>843</v>
      </c>
    </row>
    <row r="535" spans="1:6" x14ac:dyDescent="0.3">
      <c r="A535" s="7" t="s">
        <v>587</v>
      </c>
      <c r="B535" s="7">
        <v>270</v>
      </c>
      <c r="C535" s="13">
        <f>MIN(B535,'Task 2'!D535*11)</f>
        <v>5.1333333333333329</v>
      </c>
      <c r="D535" s="13">
        <f>MIN(B535-C535,'Task 2'!D535*6)</f>
        <v>2.8</v>
      </c>
      <c r="E535" s="13">
        <f t="shared" si="8"/>
        <v>262.06666666666666</v>
      </c>
      <c r="F535" s="7" t="s">
        <v>843</v>
      </c>
    </row>
    <row r="536" spans="1:6" x14ac:dyDescent="0.3">
      <c r="A536" s="7" t="s">
        <v>588</v>
      </c>
      <c r="B536" s="7">
        <v>270</v>
      </c>
      <c r="C536" s="13">
        <f>MIN(B536,'Task 2'!D536*11)</f>
        <v>5.8666666666666663</v>
      </c>
      <c r="D536" s="13">
        <f>MIN(B536-C536,'Task 2'!D536*6)</f>
        <v>3.2</v>
      </c>
      <c r="E536" s="13">
        <f t="shared" si="8"/>
        <v>260.93333333333334</v>
      </c>
      <c r="F536" s="7" t="s">
        <v>843</v>
      </c>
    </row>
    <row r="537" spans="1:6" x14ac:dyDescent="0.3">
      <c r="A537" s="7" t="s">
        <v>589</v>
      </c>
      <c r="B537" s="7">
        <v>180</v>
      </c>
      <c r="C537" s="13">
        <f>MIN(B537,'Task 2'!D537*11)</f>
        <v>12.833333333333334</v>
      </c>
      <c r="D537" s="13">
        <f>MIN(B537-C537,'Task 2'!D537*6)</f>
        <v>7</v>
      </c>
      <c r="E537" s="13">
        <f t="shared" si="8"/>
        <v>160.16666666666666</v>
      </c>
      <c r="F537" s="7" t="s">
        <v>843</v>
      </c>
    </row>
    <row r="538" spans="1:6" x14ac:dyDescent="0.3">
      <c r="A538" s="7" t="s">
        <v>590</v>
      </c>
      <c r="B538" s="7">
        <v>270</v>
      </c>
      <c r="C538" s="13">
        <f>MIN(B538,'Task 2'!D538*11)</f>
        <v>13.933333333333334</v>
      </c>
      <c r="D538" s="13">
        <f>MIN(B538-C538,'Task 2'!D538*6)</f>
        <v>7.6</v>
      </c>
      <c r="E538" s="13">
        <f t="shared" si="8"/>
        <v>248.46666666666667</v>
      </c>
      <c r="F538" s="7" t="s">
        <v>843</v>
      </c>
    </row>
    <row r="539" spans="1:6" x14ac:dyDescent="0.3">
      <c r="A539" s="7" t="s">
        <v>591</v>
      </c>
      <c r="B539" s="7">
        <v>180</v>
      </c>
      <c r="C539" s="13">
        <f>MIN(B539,'Task 2'!D539*11)</f>
        <v>5.8666666666666663</v>
      </c>
      <c r="D539" s="13">
        <f>MIN(B539-C539,'Task 2'!D539*6)</f>
        <v>3.2</v>
      </c>
      <c r="E539" s="13">
        <f t="shared" si="8"/>
        <v>170.93333333333334</v>
      </c>
      <c r="F539" s="7" t="s">
        <v>843</v>
      </c>
    </row>
    <row r="540" spans="1:6" x14ac:dyDescent="0.3">
      <c r="A540" s="7" t="s">
        <v>592</v>
      </c>
      <c r="B540" s="7">
        <v>270</v>
      </c>
      <c r="C540" s="13">
        <f>MIN(B540,'Task 2'!D540*11)</f>
        <v>10.633333333333335</v>
      </c>
      <c r="D540" s="13">
        <f>MIN(B540-C540,'Task 2'!D540*6)</f>
        <v>5.8000000000000007</v>
      </c>
      <c r="E540" s="13">
        <f t="shared" si="8"/>
        <v>253.56666666666666</v>
      </c>
      <c r="F540" s="7" t="s">
        <v>843</v>
      </c>
    </row>
    <row r="541" spans="1:6" x14ac:dyDescent="0.3">
      <c r="A541" s="7" t="s">
        <v>593</v>
      </c>
      <c r="B541" s="7">
        <v>270</v>
      </c>
      <c r="C541" s="13">
        <f>MIN(B541,'Task 2'!D541*11)</f>
        <v>9.5333333333333332</v>
      </c>
      <c r="D541" s="13">
        <f>MIN(B541-C541,'Task 2'!D541*6)</f>
        <v>5.1999999999999993</v>
      </c>
      <c r="E541" s="13">
        <f t="shared" si="8"/>
        <v>255.26666666666665</v>
      </c>
      <c r="F541" s="7" t="s">
        <v>843</v>
      </c>
    </row>
    <row r="542" spans="1:6" x14ac:dyDescent="0.3">
      <c r="A542" s="7" t="s">
        <v>594</v>
      </c>
      <c r="B542" s="7">
        <v>180</v>
      </c>
      <c r="C542" s="13">
        <f>MIN(B542,'Task 2'!D542*11)</f>
        <v>4.3999999999999995</v>
      </c>
      <c r="D542" s="13">
        <f>MIN(B542-C542,'Task 2'!D542*6)</f>
        <v>2.4</v>
      </c>
      <c r="E542" s="13">
        <f t="shared" si="8"/>
        <v>173.2</v>
      </c>
      <c r="F542" s="7" t="s">
        <v>843</v>
      </c>
    </row>
    <row r="543" spans="1:6" x14ac:dyDescent="0.3">
      <c r="A543" s="7" t="s">
        <v>595</v>
      </c>
      <c r="B543" s="7">
        <v>270</v>
      </c>
      <c r="C543" s="13">
        <f>MIN(B543,'Task 2'!D543*11)</f>
        <v>2.9333333333333331</v>
      </c>
      <c r="D543" s="13">
        <f>MIN(B543-C543,'Task 2'!D543*6)</f>
        <v>1.6</v>
      </c>
      <c r="E543" s="13">
        <f t="shared" si="8"/>
        <v>265.46666666666664</v>
      </c>
      <c r="F543" s="7" t="s">
        <v>843</v>
      </c>
    </row>
    <row r="544" spans="1:6" x14ac:dyDescent="0.3">
      <c r="A544" s="7" t="s">
        <v>596</v>
      </c>
      <c r="B544" s="7">
        <v>270</v>
      </c>
      <c r="C544" s="13">
        <f>MIN(B544,'Task 2'!D544*11)</f>
        <v>4.0333333333333332</v>
      </c>
      <c r="D544" s="13">
        <f>MIN(B544-C544,'Task 2'!D544*6)</f>
        <v>2.2000000000000002</v>
      </c>
      <c r="E544" s="13">
        <f t="shared" si="8"/>
        <v>263.76666666666665</v>
      </c>
      <c r="F544" s="7" t="s">
        <v>843</v>
      </c>
    </row>
    <row r="545" spans="1:6" x14ac:dyDescent="0.3">
      <c r="A545" s="7" t="s">
        <v>597</v>
      </c>
      <c r="B545" s="7">
        <v>270</v>
      </c>
      <c r="C545" s="13">
        <f>MIN(B545,'Task 2'!D545*11)</f>
        <v>4.4000000000000012</v>
      </c>
      <c r="D545" s="13">
        <f>MIN(B545-C545,'Task 2'!D545*6)</f>
        <v>2.4000000000000004</v>
      </c>
      <c r="E545" s="13">
        <f t="shared" si="8"/>
        <v>263.20000000000005</v>
      </c>
      <c r="F545" s="7" t="s">
        <v>843</v>
      </c>
    </row>
    <row r="546" spans="1:6" x14ac:dyDescent="0.3">
      <c r="A546" s="7" t="s">
        <v>598</v>
      </c>
      <c r="B546" s="7">
        <v>1080</v>
      </c>
      <c r="C546" s="13">
        <f>MIN(B546,'Task 2'!D546*11)</f>
        <v>3.3000000000000007</v>
      </c>
      <c r="D546" s="13">
        <f>MIN(B546-C546,'Task 2'!D546*6)</f>
        <v>1.8000000000000003</v>
      </c>
      <c r="E546" s="13">
        <f t="shared" si="8"/>
        <v>1074.9000000000001</v>
      </c>
      <c r="F546" s="7" t="s">
        <v>843</v>
      </c>
    </row>
    <row r="547" spans="1:6" x14ac:dyDescent="0.3">
      <c r="A547" s="7" t="s">
        <v>599</v>
      </c>
      <c r="B547" s="7">
        <v>270</v>
      </c>
      <c r="C547" s="13">
        <f>MIN(B547,'Task 2'!D547*11)</f>
        <v>4.0333333333333332</v>
      </c>
      <c r="D547" s="13">
        <f>MIN(B547-C547,'Task 2'!D547*6)</f>
        <v>2.2000000000000002</v>
      </c>
      <c r="E547" s="13">
        <f t="shared" si="8"/>
        <v>263.76666666666665</v>
      </c>
      <c r="F547" s="7" t="s">
        <v>843</v>
      </c>
    </row>
    <row r="548" spans="1:6" x14ac:dyDescent="0.3">
      <c r="A548" s="7" t="s">
        <v>600</v>
      </c>
      <c r="B548" s="7">
        <v>180</v>
      </c>
      <c r="C548" s="13">
        <f>MIN(B548,'Task 2'!D548*11)</f>
        <v>5.5</v>
      </c>
      <c r="D548" s="13">
        <f>MIN(B548-C548,'Task 2'!D548*6)</f>
        <v>3</v>
      </c>
      <c r="E548" s="13">
        <f t="shared" si="8"/>
        <v>171.5</v>
      </c>
      <c r="F548" s="7" t="s">
        <v>843</v>
      </c>
    </row>
    <row r="549" spans="1:6" x14ac:dyDescent="0.3">
      <c r="A549" s="7" t="s">
        <v>601</v>
      </c>
      <c r="B549" s="7">
        <v>180</v>
      </c>
      <c r="C549" s="13">
        <f>MIN(B549,'Task 2'!D549*11)</f>
        <v>1.8333333333333333</v>
      </c>
      <c r="D549" s="13">
        <f>MIN(B549-C549,'Task 2'!D549*6)</f>
        <v>1</v>
      </c>
      <c r="E549" s="13">
        <f t="shared" si="8"/>
        <v>177.16666666666666</v>
      </c>
      <c r="F549" s="7" t="s">
        <v>843</v>
      </c>
    </row>
    <row r="550" spans="1:6" x14ac:dyDescent="0.3">
      <c r="A550" s="7" t="s">
        <v>602</v>
      </c>
      <c r="B550" s="7">
        <v>180</v>
      </c>
      <c r="C550" s="13">
        <f>MIN(B550,'Task 2'!D550*11)</f>
        <v>4.7666666666666666</v>
      </c>
      <c r="D550" s="13">
        <f>MIN(B550-C550,'Task 2'!D550*6)</f>
        <v>2.6</v>
      </c>
      <c r="E550" s="13">
        <f t="shared" si="8"/>
        <v>172.63333333333333</v>
      </c>
      <c r="F550" s="7" t="s">
        <v>843</v>
      </c>
    </row>
    <row r="551" spans="1:6" x14ac:dyDescent="0.3">
      <c r="A551" s="7" t="s">
        <v>603</v>
      </c>
      <c r="B551" s="7">
        <v>180</v>
      </c>
      <c r="C551" s="13">
        <f>MIN(B551,'Task 2'!D551*11)</f>
        <v>1.4666666666666666</v>
      </c>
      <c r="D551" s="13">
        <f>MIN(B551-C551,'Task 2'!D551*6)</f>
        <v>0.8</v>
      </c>
      <c r="E551" s="13">
        <f t="shared" si="8"/>
        <v>177.73333333333332</v>
      </c>
      <c r="F551" s="7" t="s">
        <v>843</v>
      </c>
    </row>
    <row r="552" spans="1:6" x14ac:dyDescent="0.3">
      <c r="A552" s="7" t="s">
        <v>604</v>
      </c>
      <c r="B552" s="7">
        <v>180</v>
      </c>
      <c r="C552" s="13">
        <f>MIN(B552,'Task 2'!D552*11)</f>
        <v>4.0333333333333332</v>
      </c>
      <c r="D552" s="13">
        <f>MIN(B552-C552,'Task 2'!D552*6)</f>
        <v>2.2000000000000002</v>
      </c>
      <c r="E552" s="13">
        <f t="shared" si="8"/>
        <v>173.76666666666668</v>
      </c>
      <c r="F552" s="7" t="s">
        <v>843</v>
      </c>
    </row>
    <row r="553" spans="1:6" x14ac:dyDescent="0.3">
      <c r="A553" s="7" t="s">
        <v>605</v>
      </c>
      <c r="B553" s="7">
        <v>270</v>
      </c>
      <c r="C553" s="13">
        <f>MIN(B553,'Task 2'!D553*11)</f>
        <v>2.5666666666666664</v>
      </c>
      <c r="D553" s="13">
        <f>MIN(B553-C553,'Task 2'!D553*6)</f>
        <v>1.4</v>
      </c>
      <c r="E553" s="13">
        <f t="shared" si="8"/>
        <v>266.03333333333336</v>
      </c>
      <c r="F553" s="7" t="s">
        <v>843</v>
      </c>
    </row>
    <row r="554" spans="1:6" x14ac:dyDescent="0.3">
      <c r="A554" s="7" t="s">
        <v>606</v>
      </c>
      <c r="B554" s="7">
        <v>180</v>
      </c>
      <c r="C554" s="13">
        <f>MIN(B554,'Task 2'!D554*11)</f>
        <v>2.5666666666666664</v>
      </c>
      <c r="D554" s="13">
        <f>MIN(B554-C554,'Task 2'!D554*6)</f>
        <v>1.4</v>
      </c>
      <c r="E554" s="13">
        <f t="shared" si="8"/>
        <v>176.03333333333333</v>
      </c>
      <c r="F554" s="7" t="s">
        <v>843</v>
      </c>
    </row>
    <row r="555" spans="1:6" x14ac:dyDescent="0.3">
      <c r="A555" s="7" t="s">
        <v>607</v>
      </c>
      <c r="B555" s="7">
        <v>180</v>
      </c>
      <c r="C555" s="13">
        <f>MIN(B555,'Task 2'!D555*11)</f>
        <v>1.8333333333333333</v>
      </c>
      <c r="D555" s="13">
        <f>MIN(B555-C555,'Task 2'!D555*6)</f>
        <v>1</v>
      </c>
      <c r="E555" s="13">
        <f t="shared" si="8"/>
        <v>177.16666666666666</v>
      </c>
      <c r="F555" s="7" t="s">
        <v>843</v>
      </c>
    </row>
    <row r="556" spans="1:6" x14ac:dyDescent="0.3">
      <c r="A556" s="7" t="s">
        <v>608</v>
      </c>
      <c r="B556" s="7">
        <v>270</v>
      </c>
      <c r="C556" s="13">
        <f>MIN(B556,'Task 2'!D556*11)</f>
        <v>7.333333333333333</v>
      </c>
      <c r="D556" s="13">
        <f>MIN(B556-C556,'Task 2'!D556*6)</f>
        <v>4</v>
      </c>
      <c r="E556" s="13">
        <f t="shared" si="8"/>
        <v>258.66666666666669</v>
      </c>
      <c r="F556" s="7" t="s">
        <v>843</v>
      </c>
    </row>
    <row r="557" spans="1:6" x14ac:dyDescent="0.3">
      <c r="A557" s="7" t="s">
        <v>609</v>
      </c>
      <c r="B557" s="7">
        <v>270</v>
      </c>
      <c r="C557" s="13">
        <f>MIN(B557,'Task 2'!D557*11)</f>
        <v>1.8333333333333333</v>
      </c>
      <c r="D557" s="13">
        <f>MIN(B557-C557,'Task 2'!D557*6)</f>
        <v>1</v>
      </c>
      <c r="E557" s="13">
        <f t="shared" si="8"/>
        <v>267.16666666666669</v>
      </c>
      <c r="F557" s="7" t="s">
        <v>843</v>
      </c>
    </row>
    <row r="558" spans="1:6" x14ac:dyDescent="0.3">
      <c r="A558" s="7" t="s">
        <v>610</v>
      </c>
      <c r="B558" s="7">
        <v>270</v>
      </c>
      <c r="C558" s="13">
        <f>MIN(B558,'Task 2'!D558*11)</f>
        <v>2.5666666666666669</v>
      </c>
      <c r="D558" s="13">
        <f>MIN(B558-C558,'Task 2'!D558*6)</f>
        <v>1.4000000000000001</v>
      </c>
      <c r="E558" s="13">
        <f t="shared" si="8"/>
        <v>266.03333333333336</v>
      </c>
      <c r="F558" s="7" t="s">
        <v>843</v>
      </c>
    </row>
    <row r="559" spans="1:6" x14ac:dyDescent="0.3">
      <c r="A559" s="7" t="s">
        <v>611</v>
      </c>
      <c r="B559" s="7">
        <v>180</v>
      </c>
      <c r="C559" s="13">
        <f>MIN(B559,'Task 2'!D559*11)</f>
        <v>1.4666666666666666</v>
      </c>
      <c r="D559" s="13">
        <f>MIN(B559-C559,'Task 2'!D559*6)</f>
        <v>0.8</v>
      </c>
      <c r="E559" s="13">
        <f t="shared" si="8"/>
        <v>177.73333333333332</v>
      </c>
      <c r="F559" s="7" t="s">
        <v>843</v>
      </c>
    </row>
    <row r="560" spans="1:6" x14ac:dyDescent="0.3">
      <c r="A560" s="7" t="s">
        <v>612</v>
      </c>
      <c r="B560" s="7">
        <v>270</v>
      </c>
      <c r="C560" s="13">
        <f>MIN(B560,'Task 2'!D560*11)</f>
        <v>2.2000000000000006</v>
      </c>
      <c r="D560" s="13">
        <f>MIN(B560-C560,'Task 2'!D560*6)</f>
        <v>1.2000000000000002</v>
      </c>
      <c r="E560" s="13">
        <f t="shared" si="8"/>
        <v>266.60000000000002</v>
      </c>
      <c r="F560" s="7" t="s">
        <v>843</v>
      </c>
    </row>
    <row r="561" spans="1:6" x14ac:dyDescent="0.3">
      <c r="A561" s="7" t="s">
        <v>613</v>
      </c>
      <c r="B561" s="7">
        <v>270</v>
      </c>
      <c r="C561" s="13">
        <f>MIN(B561,'Task 2'!D561*11)</f>
        <v>4.0333333333333332</v>
      </c>
      <c r="D561" s="13">
        <f>MIN(B561-C561,'Task 2'!D561*6)</f>
        <v>2.2000000000000002</v>
      </c>
      <c r="E561" s="13">
        <f t="shared" si="8"/>
        <v>263.76666666666665</v>
      </c>
      <c r="F561" s="7" t="s">
        <v>843</v>
      </c>
    </row>
    <row r="562" spans="1:6" x14ac:dyDescent="0.3">
      <c r="A562" s="7" t="s">
        <v>614</v>
      </c>
      <c r="B562" s="7">
        <v>180</v>
      </c>
      <c r="C562" s="13">
        <f>MIN(B562,'Task 2'!D562*11)</f>
        <v>2.5666666666666664</v>
      </c>
      <c r="D562" s="13">
        <f>MIN(B562-C562,'Task 2'!D562*6)</f>
        <v>1.4</v>
      </c>
      <c r="E562" s="13">
        <f t="shared" si="8"/>
        <v>176.03333333333333</v>
      </c>
      <c r="F562" s="7" t="s">
        <v>843</v>
      </c>
    </row>
    <row r="563" spans="1:6" x14ac:dyDescent="0.3">
      <c r="A563" s="7" t="s">
        <v>615</v>
      </c>
      <c r="B563" s="7">
        <v>270</v>
      </c>
      <c r="C563" s="13">
        <f>MIN(B563,'Task 2'!D563*11)</f>
        <v>2.2000000000000006</v>
      </c>
      <c r="D563" s="13">
        <f>MIN(B563-C563,'Task 2'!D563*6)</f>
        <v>1.2000000000000002</v>
      </c>
      <c r="E563" s="13">
        <f t="shared" si="8"/>
        <v>266.60000000000002</v>
      </c>
      <c r="F563" s="7" t="s">
        <v>843</v>
      </c>
    </row>
    <row r="564" spans="1:6" x14ac:dyDescent="0.3">
      <c r="A564" s="7" t="s">
        <v>616</v>
      </c>
      <c r="B564" s="7">
        <v>270</v>
      </c>
      <c r="C564" s="13">
        <f>MIN(B564,'Task 2'!D564*11)</f>
        <v>0.73333333333333328</v>
      </c>
      <c r="D564" s="13">
        <f>MIN(B564-C564,'Task 2'!D564*6)</f>
        <v>0.4</v>
      </c>
      <c r="E564" s="13">
        <f t="shared" si="8"/>
        <v>268.86666666666667</v>
      </c>
      <c r="F564" s="7" t="s">
        <v>843</v>
      </c>
    </row>
    <row r="565" spans="1:6" x14ac:dyDescent="0.3">
      <c r="A565" s="7" t="s">
        <v>617</v>
      </c>
      <c r="B565" s="7">
        <v>270</v>
      </c>
      <c r="C565" s="13">
        <f>MIN(B565,'Task 2'!D565*11)</f>
        <v>2.1999999999999997</v>
      </c>
      <c r="D565" s="13">
        <f>MIN(B565-C565,'Task 2'!D565*6)</f>
        <v>1.2</v>
      </c>
      <c r="E565" s="13">
        <f t="shared" si="8"/>
        <v>266.60000000000002</v>
      </c>
      <c r="F565" s="7" t="s">
        <v>843</v>
      </c>
    </row>
    <row r="566" spans="1:6" x14ac:dyDescent="0.3">
      <c r="A566" s="7" t="s">
        <v>618</v>
      </c>
      <c r="B566" s="7">
        <v>270</v>
      </c>
      <c r="C566" s="13">
        <f>MIN(B566,'Task 2'!D566*11)</f>
        <v>7.333333333333333</v>
      </c>
      <c r="D566" s="13">
        <f>MIN(B566-C566,'Task 2'!D566*6)</f>
        <v>4</v>
      </c>
      <c r="E566" s="13">
        <f t="shared" si="8"/>
        <v>258.66666666666669</v>
      </c>
      <c r="F566" s="7" t="s">
        <v>843</v>
      </c>
    </row>
    <row r="567" spans="1:6" x14ac:dyDescent="0.3">
      <c r="A567" s="7" t="s">
        <v>619</v>
      </c>
      <c r="B567" s="7">
        <v>270</v>
      </c>
      <c r="C567" s="13">
        <f>MIN(B567,'Task 2'!D567*11)</f>
        <v>5.1333333333333329</v>
      </c>
      <c r="D567" s="13">
        <f>MIN(B567-C567,'Task 2'!D567*6)</f>
        <v>2.8</v>
      </c>
      <c r="E567" s="13">
        <f t="shared" si="8"/>
        <v>262.06666666666666</v>
      </c>
      <c r="F567" s="7" t="s">
        <v>843</v>
      </c>
    </row>
    <row r="568" spans="1:6" x14ac:dyDescent="0.3">
      <c r="A568" s="7" t="s">
        <v>620</v>
      </c>
      <c r="B568" s="7">
        <v>270</v>
      </c>
      <c r="C568" s="13">
        <f>MIN(B568,'Task 2'!D568*11)</f>
        <v>0.73333333333333328</v>
      </c>
      <c r="D568" s="13">
        <f>MIN(B568-C568,'Task 2'!D568*6)</f>
        <v>0.4</v>
      </c>
      <c r="E568" s="13">
        <f t="shared" si="8"/>
        <v>268.86666666666667</v>
      </c>
      <c r="F568" s="7" t="s">
        <v>843</v>
      </c>
    </row>
    <row r="569" spans="1:6" x14ac:dyDescent="0.3">
      <c r="A569" s="7" t="s">
        <v>621</v>
      </c>
      <c r="B569" s="7">
        <v>270</v>
      </c>
      <c r="C569" s="13">
        <f>MIN(B569,'Task 2'!D569*11)</f>
        <v>1.8333333333333333</v>
      </c>
      <c r="D569" s="13">
        <f>MIN(B569-C569,'Task 2'!D569*6)</f>
        <v>1</v>
      </c>
      <c r="E569" s="13">
        <f t="shared" si="8"/>
        <v>267.16666666666669</v>
      </c>
      <c r="F569" s="7" t="s">
        <v>843</v>
      </c>
    </row>
    <row r="570" spans="1:6" x14ac:dyDescent="0.3">
      <c r="A570" s="7" t="s">
        <v>622</v>
      </c>
      <c r="B570" s="7">
        <v>270</v>
      </c>
      <c r="C570" s="13">
        <f>MIN(B570,'Task 2'!D570*11)</f>
        <v>15.033333333333331</v>
      </c>
      <c r="D570" s="13">
        <f>MIN(B570-C570,'Task 2'!D570*6)</f>
        <v>8.1999999999999993</v>
      </c>
      <c r="E570" s="13">
        <f t="shared" si="8"/>
        <v>246.76666666666668</v>
      </c>
      <c r="F570" s="7" t="s">
        <v>843</v>
      </c>
    </row>
    <row r="571" spans="1:6" x14ac:dyDescent="0.3">
      <c r="A571" s="7" t="s">
        <v>623</v>
      </c>
      <c r="B571" s="7">
        <v>180</v>
      </c>
      <c r="C571" s="13">
        <f>MIN(B571,'Task 2'!D571*11)</f>
        <v>9.9</v>
      </c>
      <c r="D571" s="13">
        <f>MIN(B571-C571,'Task 2'!D571*6)</f>
        <v>5.4</v>
      </c>
      <c r="E571" s="13">
        <f t="shared" si="8"/>
        <v>164.7</v>
      </c>
      <c r="F571" s="7" t="s">
        <v>843</v>
      </c>
    </row>
    <row r="572" spans="1:6" x14ac:dyDescent="0.3">
      <c r="A572" s="7" t="s">
        <v>624</v>
      </c>
      <c r="B572" s="7">
        <v>270</v>
      </c>
      <c r="C572" s="13">
        <f>MIN(B572,'Task 2'!D572*11)</f>
        <v>4.0333333333333332</v>
      </c>
      <c r="D572" s="13">
        <f>MIN(B572-C572,'Task 2'!D572*6)</f>
        <v>2.2000000000000002</v>
      </c>
      <c r="E572" s="13">
        <f t="shared" si="8"/>
        <v>263.76666666666665</v>
      </c>
      <c r="F572" s="7" t="s">
        <v>843</v>
      </c>
    </row>
    <row r="573" spans="1:6" x14ac:dyDescent="0.3">
      <c r="A573" s="7" t="s">
        <v>625</v>
      </c>
      <c r="B573" s="7">
        <v>270</v>
      </c>
      <c r="C573" s="13">
        <f>MIN(B573,'Task 2'!D573*11)</f>
        <v>4.0333333333333332</v>
      </c>
      <c r="D573" s="13">
        <f>MIN(B573-C573,'Task 2'!D573*6)</f>
        <v>2.1999999999999997</v>
      </c>
      <c r="E573" s="13">
        <f t="shared" si="8"/>
        <v>263.76666666666665</v>
      </c>
      <c r="F573" s="7" t="s">
        <v>843</v>
      </c>
    </row>
    <row r="574" spans="1:6" x14ac:dyDescent="0.3">
      <c r="A574" s="7" t="s">
        <v>626</v>
      </c>
      <c r="B574" s="7">
        <v>180</v>
      </c>
      <c r="C574" s="13">
        <f>MIN(B574,'Task 2'!D574*11)</f>
        <v>3.6666666666666665</v>
      </c>
      <c r="D574" s="13">
        <f>MIN(B574-C574,'Task 2'!D574*6)</f>
        <v>2</v>
      </c>
      <c r="E574" s="13">
        <f t="shared" si="8"/>
        <v>174.33333333333334</v>
      </c>
      <c r="F574" s="7" t="s">
        <v>843</v>
      </c>
    </row>
    <row r="575" spans="1:6" x14ac:dyDescent="0.3">
      <c r="A575" s="7" t="s">
        <v>627</v>
      </c>
      <c r="B575" s="7">
        <v>270</v>
      </c>
      <c r="C575" s="13">
        <f>MIN(B575,'Task 2'!D575*11)</f>
        <v>13.566666666666666</v>
      </c>
      <c r="D575" s="13">
        <f>MIN(B575-C575,'Task 2'!D575*6)</f>
        <v>7.4</v>
      </c>
      <c r="E575" s="13">
        <f t="shared" si="8"/>
        <v>249.03333333333333</v>
      </c>
      <c r="F575" s="7" t="s">
        <v>843</v>
      </c>
    </row>
    <row r="576" spans="1:6" x14ac:dyDescent="0.3">
      <c r="A576" s="7" t="s">
        <v>628</v>
      </c>
      <c r="B576" s="7">
        <v>270</v>
      </c>
      <c r="C576" s="13">
        <f>MIN(B576,'Task 2'!D576*11)</f>
        <v>2.9333333333333331</v>
      </c>
      <c r="D576" s="13">
        <f>MIN(B576-C576,'Task 2'!D576*6)</f>
        <v>1.6</v>
      </c>
      <c r="E576" s="13">
        <f t="shared" si="8"/>
        <v>265.46666666666664</v>
      </c>
      <c r="F576" s="7" t="s">
        <v>843</v>
      </c>
    </row>
    <row r="577" spans="1:6" x14ac:dyDescent="0.3">
      <c r="A577" s="7" t="s">
        <v>629</v>
      </c>
      <c r="B577" s="7">
        <v>270</v>
      </c>
      <c r="C577" s="13">
        <f>MIN(B577,'Task 2'!D577*11)</f>
        <v>4.0333333333333332</v>
      </c>
      <c r="D577" s="13">
        <f>MIN(B577-C577,'Task 2'!D577*6)</f>
        <v>2.2000000000000002</v>
      </c>
      <c r="E577" s="13">
        <f t="shared" si="8"/>
        <v>263.76666666666665</v>
      </c>
      <c r="F577" s="7" t="s">
        <v>843</v>
      </c>
    </row>
    <row r="578" spans="1:6" x14ac:dyDescent="0.3">
      <c r="A578" s="7" t="s">
        <v>630</v>
      </c>
      <c r="B578" s="7">
        <v>180</v>
      </c>
      <c r="C578" s="13">
        <f>MIN(B578,'Task 2'!D578*11)</f>
        <v>2.5666666666666669</v>
      </c>
      <c r="D578" s="13">
        <f>MIN(B578-C578,'Task 2'!D578*6)</f>
        <v>1.4000000000000001</v>
      </c>
      <c r="E578" s="13">
        <f t="shared" si="8"/>
        <v>176.03333333333333</v>
      </c>
      <c r="F578" s="7" t="s">
        <v>843</v>
      </c>
    </row>
    <row r="579" spans="1:6" x14ac:dyDescent="0.3">
      <c r="A579" s="7" t="s">
        <v>631</v>
      </c>
      <c r="B579" s="7">
        <v>180</v>
      </c>
      <c r="C579" s="13">
        <f>MIN(B579,'Task 2'!D579*11)</f>
        <v>2.9333333333333331</v>
      </c>
      <c r="D579" s="13">
        <f>MIN(B579-C579,'Task 2'!D579*6)</f>
        <v>1.6</v>
      </c>
      <c r="E579" s="13">
        <f t="shared" ref="E579:E642" si="9">B579-C579-D579</f>
        <v>175.46666666666667</v>
      </c>
      <c r="F579" s="7" t="s">
        <v>843</v>
      </c>
    </row>
    <row r="580" spans="1:6" x14ac:dyDescent="0.3">
      <c r="A580" s="7" t="s">
        <v>632</v>
      </c>
      <c r="B580" s="7">
        <v>270</v>
      </c>
      <c r="C580" s="13">
        <f>MIN(B580,'Task 2'!D580*11)</f>
        <v>1.4666666666666666</v>
      </c>
      <c r="D580" s="13">
        <f>MIN(B580-C580,'Task 2'!D580*6)</f>
        <v>0.8</v>
      </c>
      <c r="E580" s="13">
        <f t="shared" si="9"/>
        <v>267.73333333333335</v>
      </c>
      <c r="F580" s="7" t="s">
        <v>843</v>
      </c>
    </row>
    <row r="581" spans="1:6" x14ac:dyDescent="0.3">
      <c r="A581" s="7" t="s">
        <v>633</v>
      </c>
      <c r="B581" s="7">
        <v>180</v>
      </c>
      <c r="C581" s="13">
        <f>MIN(B581,'Task 2'!D581*11)</f>
        <v>1.1000000000000003</v>
      </c>
      <c r="D581" s="13">
        <f>MIN(B581-C581,'Task 2'!D581*6)</f>
        <v>0.60000000000000009</v>
      </c>
      <c r="E581" s="13">
        <f t="shared" si="9"/>
        <v>178.3</v>
      </c>
      <c r="F581" s="7" t="s">
        <v>843</v>
      </c>
    </row>
    <row r="582" spans="1:6" x14ac:dyDescent="0.3">
      <c r="A582" s="7" t="s">
        <v>634</v>
      </c>
      <c r="B582" s="7">
        <v>180</v>
      </c>
      <c r="C582" s="13">
        <f>MIN(B582,'Task 2'!D582*11)</f>
        <v>1.1000000000000003</v>
      </c>
      <c r="D582" s="13">
        <f>MIN(B582-C582,'Task 2'!D582*6)</f>
        <v>0.60000000000000009</v>
      </c>
      <c r="E582" s="13">
        <f t="shared" si="9"/>
        <v>178.3</v>
      </c>
      <c r="F582" s="7" t="s">
        <v>843</v>
      </c>
    </row>
    <row r="583" spans="1:6" x14ac:dyDescent="0.3">
      <c r="A583" s="7" t="s">
        <v>635</v>
      </c>
      <c r="B583" s="7">
        <v>270</v>
      </c>
      <c r="C583" s="13">
        <f>MIN(B583,'Task 2'!D583*11)</f>
        <v>0.73333333333333328</v>
      </c>
      <c r="D583" s="13">
        <f>MIN(B583-C583,'Task 2'!D583*6)</f>
        <v>0.4</v>
      </c>
      <c r="E583" s="13">
        <f t="shared" si="9"/>
        <v>268.86666666666667</v>
      </c>
      <c r="F583" s="7" t="s">
        <v>843</v>
      </c>
    </row>
    <row r="584" spans="1:6" x14ac:dyDescent="0.3">
      <c r="A584" s="7" t="s">
        <v>636</v>
      </c>
      <c r="B584" s="7">
        <v>270</v>
      </c>
      <c r="C584" s="13">
        <f>MIN(B584,'Task 2'!D584*11)</f>
        <v>0.73333333333333328</v>
      </c>
      <c r="D584" s="13">
        <f>MIN(B584-C584,'Task 2'!D584*6)</f>
        <v>0.4</v>
      </c>
      <c r="E584" s="13">
        <f t="shared" si="9"/>
        <v>268.86666666666667</v>
      </c>
      <c r="F584" s="7" t="s">
        <v>843</v>
      </c>
    </row>
    <row r="585" spans="1:6" x14ac:dyDescent="0.3">
      <c r="A585" s="7" t="s">
        <v>637</v>
      </c>
      <c r="B585" s="7">
        <v>270</v>
      </c>
      <c r="C585" s="13">
        <f>MIN(B585,'Task 2'!D585*11)</f>
        <v>4.7666666666666666</v>
      </c>
      <c r="D585" s="13">
        <f>MIN(B585-C585,'Task 2'!D585*6)</f>
        <v>2.6</v>
      </c>
      <c r="E585" s="13">
        <f t="shared" si="9"/>
        <v>262.63333333333333</v>
      </c>
      <c r="F585" s="7" t="s">
        <v>843</v>
      </c>
    </row>
    <row r="586" spans="1:6" x14ac:dyDescent="0.3">
      <c r="A586" s="7" t="s">
        <v>638</v>
      </c>
      <c r="B586" s="7">
        <v>270</v>
      </c>
      <c r="C586" s="13">
        <f>MIN(B586,'Task 2'!D586*11)</f>
        <v>3.3</v>
      </c>
      <c r="D586" s="13">
        <f>MIN(B586-C586,'Task 2'!D586*6)</f>
        <v>1.7999999999999998</v>
      </c>
      <c r="E586" s="13">
        <f t="shared" si="9"/>
        <v>264.89999999999998</v>
      </c>
      <c r="F586" s="7" t="s">
        <v>843</v>
      </c>
    </row>
    <row r="587" spans="1:6" x14ac:dyDescent="0.3">
      <c r="A587" s="7" t="s">
        <v>639</v>
      </c>
      <c r="B587" s="7">
        <v>270</v>
      </c>
      <c r="C587" s="13">
        <f>MIN(B587,'Task 2'!D587*11)</f>
        <v>0.73333333333333328</v>
      </c>
      <c r="D587" s="13">
        <f>MIN(B587-C587,'Task 2'!D587*6)</f>
        <v>0.4</v>
      </c>
      <c r="E587" s="13">
        <f t="shared" si="9"/>
        <v>268.86666666666667</v>
      </c>
      <c r="F587" s="7" t="s">
        <v>843</v>
      </c>
    </row>
    <row r="588" spans="1:6" x14ac:dyDescent="0.3">
      <c r="A588" s="7" t="s">
        <v>640</v>
      </c>
      <c r="B588" s="7">
        <v>270</v>
      </c>
      <c r="C588" s="13">
        <f>MIN(B588,'Task 2'!D588*11)</f>
        <v>1.4666666666666666</v>
      </c>
      <c r="D588" s="13">
        <f>MIN(B588-C588,'Task 2'!D588*6)</f>
        <v>0.8</v>
      </c>
      <c r="E588" s="13">
        <f t="shared" si="9"/>
        <v>267.73333333333335</v>
      </c>
      <c r="F588" s="7" t="s">
        <v>843</v>
      </c>
    </row>
    <row r="589" spans="1:6" x14ac:dyDescent="0.3">
      <c r="A589" s="7" t="s">
        <v>641</v>
      </c>
      <c r="B589" s="7">
        <v>270</v>
      </c>
      <c r="C589" s="13">
        <f>MIN(B589,'Task 2'!D589*11)</f>
        <v>0.36666666666666664</v>
      </c>
      <c r="D589" s="13">
        <f>MIN(B589-C589,'Task 2'!D589*6)</f>
        <v>0.2</v>
      </c>
      <c r="E589" s="13">
        <f t="shared" si="9"/>
        <v>269.43333333333334</v>
      </c>
      <c r="F589" s="7" t="s">
        <v>843</v>
      </c>
    </row>
    <row r="590" spans="1:6" x14ac:dyDescent="0.3">
      <c r="A590" s="7" t="s">
        <v>642</v>
      </c>
      <c r="B590" s="7">
        <v>270</v>
      </c>
      <c r="C590" s="13">
        <f>MIN(B590,'Task 2'!D590*11)</f>
        <v>2.1999999999999997</v>
      </c>
      <c r="D590" s="13">
        <f>MIN(B590-C590,'Task 2'!D590*6)</f>
        <v>1.2</v>
      </c>
      <c r="E590" s="13">
        <f t="shared" si="9"/>
        <v>266.60000000000002</v>
      </c>
      <c r="F590" s="7" t="s">
        <v>843</v>
      </c>
    </row>
    <row r="591" spans="1:6" x14ac:dyDescent="0.3">
      <c r="A591" s="7" t="s">
        <v>643</v>
      </c>
      <c r="B591" s="7">
        <v>720</v>
      </c>
      <c r="C591" s="13">
        <f>MIN(B591,'Task 2'!D591*11)</f>
        <v>0.36666666666666664</v>
      </c>
      <c r="D591" s="13">
        <f>MIN(B591-C591,'Task 2'!D591*6)</f>
        <v>0.2</v>
      </c>
      <c r="E591" s="13">
        <f t="shared" si="9"/>
        <v>719.43333333333328</v>
      </c>
      <c r="F591" s="7" t="s">
        <v>843</v>
      </c>
    </row>
    <row r="592" spans="1:6" x14ac:dyDescent="0.3">
      <c r="A592" s="7" t="s">
        <v>644</v>
      </c>
      <c r="B592" s="7">
        <v>270</v>
      </c>
      <c r="C592" s="13">
        <f>MIN(B592,'Task 2'!D592*11)</f>
        <v>1.4666666666666666</v>
      </c>
      <c r="D592" s="13">
        <f>MIN(B592-C592,'Task 2'!D592*6)</f>
        <v>0.8</v>
      </c>
      <c r="E592" s="13">
        <f t="shared" si="9"/>
        <v>267.73333333333335</v>
      </c>
      <c r="F592" s="7" t="s">
        <v>843</v>
      </c>
    </row>
    <row r="593" spans="1:6" x14ac:dyDescent="0.3">
      <c r="A593" s="7" t="s">
        <v>645</v>
      </c>
      <c r="B593" s="7">
        <v>270</v>
      </c>
      <c r="C593" s="13">
        <f>MIN(B593,'Task 2'!D593*11)</f>
        <v>0.73333333333333328</v>
      </c>
      <c r="D593" s="13">
        <f>MIN(B593-C593,'Task 2'!D593*6)</f>
        <v>0.4</v>
      </c>
      <c r="E593" s="13">
        <f t="shared" si="9"/>
        <v>268.86666666666667</v>
      </c>
      <c r="F593" s="7" t="s">
        <v>843</v>
      </c>
    </row>
    <row r="594" spans="1:6" x14ac:dyDescent="0.3">
      <c r="A594" s="7" t="s">
        <v>646</v>
      </c>
      <c r="B594" s="7">
        <v>270</v>
      </c>
      <c r="C594" s="13">
        <f>MIN(B594,'Task 2'!D594*11)</f>
        <v>0.36666666666666664</v>
      </c>
      <c r="D594" s="13">
        <f>MIN(B594-C594,'Task 2'!D594*6)</f>
        <v>0.2</v>
      </c>
      <c r="E594" s="13">
        <f t="shared" si="9"/>
        <v>269.43333333333334</v>
      </c>
      <c r="F594" s="7" t="s">
        <v>843</v>
      </c>
    </row>
    <row r="595" spans="1:6" x14ac:dyDescent="0.3">
      <c r="A595" s="7" t="s">
        <v>647</v>
      </c>
      <c r="B595" s="7">
        <v>270</v>
      </c>
      <c r="C595" s="13">
        <f>MIN(B595,'Task 2'!D595*11)</f>
        <v>0.36666666666666664</v>
      </c>
      <c r="D595" s="13">
        <f>MIN(B595-C595,'Task 2'!D595*6)</f>
        <v>0.2</v>
      </c>
      <c r="E595" s="13">
        <f t="shared" si="9"/>
        <v>269.43333333333334</v>
      </c>
      <c r="F595" s="7" t="s">
        <v>843</v>
      </c>
    </row>
    <row r="596" spans="1:6" x14ac:dyDescent="0.3">
      <c r="A596" s="7" t="s">
        <v>648</v>
      </c>
      <c r="B596" s="7">
        <v>270</v>
      </c>
      <c r="C596" s="13">
        <f>MIN(B596,'Task 2'!D596*11)</f>
        <v>0.36666666666666664</v>
      </c>
      <c r="D596" s="13">
        <f>MIN(B596-C596,'Task 2'!D596*6)</f>
        <v>0.2</v>
      </c>
      <c r="E596" s="13">
        <f t="shared" si="9"/>
        <v>269.43333333333334</v>
      </c>
      <c r="F596" s="7" t="s">
        <v>843</v>
      </c>
    </row>
    <row r="597" spans="1:6" x14ac:dyDescent="0.3">
      <c r="A597" s="7" t="s">
        <v>649</v>
      </c>
      <c r="B597" s="7">
        <v>270</v>
      </c>
      <c r="C597" s="13">
        <f>MIN(B597,'Task 2'!D597*11)</f>
        <v>0.36666666666666664</v>
      </c>
      <c r="D597" s="13">
        <f>MIN(B597-C597,'Task 2'!D597*6)</f>
        <v>0.2</v>
      </c>
      <c r="E597" s="13">
        <f t="shared" si="9"/>
        <v>269.43333333333334</v>
      </c>
      <c r="F597" s="7" t="s">
        <v>843</v>
      </c>
    </row>
    <row r="598" spans="1:6" x14ac:dyDescent="0.3">
      <c r="A598" s="7" t="s">
        <v>650</v>
      </c>
      <c r="B598" s="7">
        <v>180</v>
      </c>
      <c r="C598" s="13">
        <f>MIN(B598,'Task 2'!D598*11)</f>
        <v>0.36666666666666664</v>
      </c>
      <c r="D598" s="13">
        <f>MIN(B598-C598,'Task 2'!D598*6)</f>
        <v>0.2</v>
      </c>
      <c r="E598" s="13">
        <f t="shared" si="9"/>
        <v>179.43333333333334</v>
      </c>
      <c r="F598" s="7" t="s">
        <v>843</v>
      </c>
    </row>
    <row r="599" spans="1:6" x14ac:dyDescent="0.3">
      <c r="A599" s="7" t="s">
        <v>651</v>
      </c>
      <c r="B599" s="7">
        <v>180</v>
      </c>
      <c r="C599" s="13">
        <f>MIN(B599,'Task 2'!D599*11)</f>
        <v>3.3</v>
      </c>
      <c r="D599" s="13">
        <f>MIN(B599-C599,'Task 2'!D599*6)</f>
        <v>1.7999999999999998</v>
      </c>
      <c r="E599" s="13">
        <f t="shared" si="9"/>
        <v>174.89999999999998</v>
      </c>
      <c r="F599" s="7" t="s">
        <v>843</v>
      </c>
    </row>
    <row r="600" spans="1:6" x14ac:dyDescent="0.3">
      <c r="A600" s="7" t="s">
        <v>652</v>
      </c>
      <c r="B600" s="7">
        <v>1080</v>
      </c>
      <c r="C600" s="13">
        <f>MIN(B600,'Task 2'!D600*11)</f>
        <v>4.0333333333333332</v>
      </c>
      <c r="D600" s="13">
        <f>MIN(B600-C600,'Task 2'!D600*6)</f>
        <v>2.2000000000000002</v>
      </c>
      <c r="E600" s="13">
        <f t="shared" si="9"/>
        <v>1073.7666666666667</v>
      </c>
      <c r="F600" s="7" t="s">
        <v>843</v>
      </c>
    </row>
    <row r="601" spans="1:6" x14ac:dyDescent="0.3">
      <c r="A601" s="7" t="s">
        <v>653</v>
      </c>
      <c r="B601" s="7">
        <v>270</v>
      </c>
      <c r="C601" s="13">
        <f>MIN(B601,'Task 2'!D601*11)</f>
        <v>4.7666666666666666</v>
      </c>
      <c r="D601" s="13">
        <f>MIN(B601-C601,'Task 2'!D601*6)</f>
        <v>2.6</v>
      </c>
      <c r="E601" s="13">
        <f t="shared" si="9"/>
        <v>262.63333333333333</v>
      </c>
      <c r="F601" s="7" t="s">
        <v>843</v>
      </c>
    </row>
    <row r="602" spans="1:6" x14ac:dyDescent="0.3">
      <c r="A602" s="7" t="s">
        <v>654</v>
      </c>
      <c r="B602" s="7">
        <v>0</v>
      </c>
      <c r="C602" s="13">
        <f>MIN(B602,'Task 2'!D602*11)</f>
        <v>0</v>
      </c>
      <c r="D602" s="13">
        <f>MIN(B602-C602,'Task 2'!D602*6)</f>
        <v>0</v>
      </c>
      <c r="E602" s="13">
        <f t="shared" si="9"/>
        <v>0</v>
      </c>
      <c r="F602" s="7" t="s">
        <v>843</v>
      </c>
    </row>
    <row r="603" spans="1:6" x14ac:dyDescent="0.3">
      <c r="A603" s="7" t="s">
        <v>655</v>
      </c>
      <c r="B603" s="7">
        <v>270</v>
      </c>
      <c r="C603" s="13">
        <f>MIN(B603,'Task 2'!D603*11)</f>
        <v>6.6</v>
      </c>
      <c r="D603" s="13">
        <f>MIN(B603-C603,'Task 2'!D603*6)</f>
        <v>3.5999999999999996</v>
      </c>
      <c r="E603" s="13">
        <f t="shared" si="9"/>
        <v>259.79999999999995</v>
      </c>
      <c r="F603" s="7" t="s">
        <v>843</v>
      </c>
    </row>
    <row r="604" spans="1:6" x14ac:dyDescent="0.3">
      <c r="A604" s="7" t="s">
        <v>656</v>
      </c>
      <c r="B604" s="7">
        <v>270</v>
      </c>
      <c r="C604" s="13">
        <f>MIN(B604,'Task 2'!D604*11)</f>
        <v>5.1333333333333329</v>
      </c>
      <c r="D604" s="13">
        <f>MIN(B604-C604,'Task 2'!D604*6)</f>
        <v>2.8</v>
      </c>
      <c r="E604" s="13">
        <f t="shared" si="9"/>
        <v>262.06666666666666</v>
      </c>
      <c r="F604" s="7" t="s">
        <v>843</v>
      </c>
    </row>
    <row r="605" spans="1:6" x14ac:dyDescent="0.3">
      <c r="A605" s="7" t="s">
        <v>657</v>
      </c>
      <c r="B605" s="7">
        <v>270</v>
      </c>
      <c r="C605" s="13">
        <f>MIN(B605,'Task 2'!D605*11)</f>
        <v>4.0333333333333332</v>
      </c>
      <c r="D605" s="13">
        <f>MIN(B605-C605,'Task 2'!D605*6)</f>
        <v>2.2000000000000002</v>
      </c>
      <c r="E605" s="13">
        <f t="shared" si="9"/>
        <v>263.76666666666665</v>
      </c>
      <c r="F605" s="7" t="s">
        <v>843</v>
      </c>
    </row>
    <row r="606" spans="1:6" x14ac:dyDescent="0.3">
      <c r="A606" s="7" t="s">
        <v>658</v>
      </c>
      <c r="B606" s="7">
        <v>270</v>
      </c>
      <c r="C606" s="13">
        <f>MIN(B606,'Task 2'!D606*11)</f>
        <v>2.9333333333333331</v>
      </c>
      <c r="D606" s="13">
        <f>MIN(B606-C606,'Task 2'!D606*6)</f>
        <v>1.6</v>
      </c>
      <c r="E606" s="13">
        <f t="shared" si="9"/>
        <v>265.46666666666664</v>
      </c>
      <c r="F606" s="7" t="s">
        <v>843</v>
      </c>
    </row>
    <row r="607" spans="1:6" x14ac:dyDescent="0.3">
      <c r="A607" s="7" t="s">
        <v>659</v>
      </c>
      <c r="B607" s="7">
        <v>270</v>
      </c>
      <c r="C607" s="13">
        <f>MIN(B607,'Task 2'!D607*11)</f>
        <v>4.0333333333333332</v>
      </c>
      <c r="D607" s="13">
        <f>MIN(B607-C607,'Task 2'!D607*6)</f>
        <v>2.2000000000000002</v>
      </c>
      <c r="E607" s="13">
        <f t="shared" si="9"/>
        <v>263.76666666666665</v>
      </c>
      <c r="F607" s="7" t="s">
        <v>843</v>
      </c>
    </row>
    <row r="608" spans="1:6" x14ac:dyDescent="0.3">
      <c r="A608" s="7" t="s">
        <v>660</v>
      </c>
      <c r="B608" s="7">
        <v>270</v>
      </c>
      <c r="C608" s="13">
        <f>MIN(B608,'Task 2'!D608*11)</f>
        <v>1.1000000000000003</v>
      </c>
      <c r="D608" s="13">
        <f>MIN(B608-C608,'Task 2'!D608*6)</f>
        <v>0.60000000000000009</v>
      </c>
      <c r="E608" s="13">
        <f t="shared" si="9"/>
        <v>268.29999999999995</v>
      </c>
      <c r="F608" s="7" t="s">
        <v>843</v>
      </c>
    </row>
    <row r="609" spans="1:6" x14ac:dyDescent="0.3">
      <c r="A609" s="7" t="s">
        <v>661</v>
      </c>
      <c r="B609" s="7">
        <v>270</v>
      </c>
      <c r="C609" s="13">
        <f>MIN(B609,'Task 2'!D609*11)</f>
        <v>1.1000000000000003</v>
      </c>
      <c r="D609" s="13">
        <f>MIN(B609-C609,'Task 2'!D609*6)</f>
        <v>0.60000000000000009</v>
      </c>
      <c r="E609" s="13">
        <f t="shared" si="9"/>
        <v>268.29999999999995</v>
      </c>
      <c r="F609" s="7" t="s">
        <v>843</v>
      </c>
    </row>
    <row r="610" spans="1:6" x14ac:dyDescent="0.3">
      <c r="A610" s="7" t="s">
        <v>662</v>
      </c>
      <c r="B610" s="7">
        <v>270</v>
      </c>
      <c r="C610" s="13">
        <f>MIN(B610,'Task 2'!D610*11)</f>
        <v>1.1000000000000003</v>
      </c>
      <c r="D610" s="13">
        <f>MIN(B610-C610,'Task 2'!D610*6)</f>
        <v>0.60000000000000009</v>
      </c>
      <c r="E610" s="13">
        <f t="shared" si="9"/>
        <v>268.29999999999995</v>
      </c>
      <c r="F610" s="7" t="s">
        <v>843</v>
      </c>
    </row>
    <row r="611" spans="1:6" x14ac:dyDescent="0.3">
      <c r="A611" s="7" t="s">
        <v>663</v>
      </c>
      <c r="B611" s="7">
        <v>270</v>
      </c>
      <c r="C611" s="13">
        <f>MIN(B611,'Task 2'!D611*11)</f>
        <v>0.73333333333333328</v>
      </c>
      <c r="D611" s="13">
        <f>MIN(B611-C611,'Task 2'!D611*6)</f>
        <v>0.4</v>
      </c>
      <c r="E611" s="13">
        <f t="shared" si="9"/>
        <v>268.86666666666667</v>
      </c>
      <c r="F611" s="7" t="s">
        <v>843</v>
      </c>
    </row>
    <row r="612" spans="1:6" x14ac:dyDescent="0.3">
      <c r="A612" s="7" t="s">
        <v>664</v>
      </c>
      <c r="B612" s="7">
        <v>270</v>
      </c>
      <c r="C612" s="13">
        <f>MIN(B612,'Task 2'!D612*11)</f>
        <v>0.73333333333333328</v>
      </c>
      <c r="D612" s="13">
        <f>MIN(B612-C612,'Task 2'!D612*6)</f>
        <v>0.4</v>
      </c>
      <c r="E612" s="13">
        <f t="shared" si="9"/>
        <v>268.86666666666667</v>
      </c>
      <c r="F612" s="7" t="s">
        <v>843</v>
      </c>
    </row>
    <row r="613" spans="1:6" x14ac:dyDescent="0.3">
      <c r="A613" s="7" t="s">
        <v>665</v>
      </c>
      <c r="B613" s="7">
        <v>270</v>
      </c>
      <c r="C613" s="13">
        <f>MIN(B613,'Task 2'!D613*11)</f>
        <v>1.1000000000000003</v>
      </c>
      <c r="D613" s="13">
        <f>MIN(B613-C613,'Task 2'!D613*6)</f>
        <v>0.60000000000000009</v>
      </c>
      <c r="E613" s="13">
        <f t="shared" si="9"/>
        <v>268.29999999999995</v>
      </c>
      <c r="F613" s="7" t="s">
        <v>843</v>
      </c>
    </row>
    <row r="614" spans="1:6" x14ac:dyDescent="0.3">
      <c r="A614" s="7" t="s">
        <v>666</v>
      </c>
      <c r="B614" s="7">
        <v>270</v>
      </c>
      <c r="C614" s="13">
        <f>MIN(B614,'Task 2'!D614*11)</f>
        <v>1.4666666666666666</v>
      </c>
      <c r="D614" s="13">
        <f>MIN(B614-C614,'Task 2'!D614*6)</f>
        <v>0.8</v>
      </c>
      <c r="E614" s="13">
        <f t="shared" si="9"/>
        <v>267.73333333333335</v>
      </c>
      <c r="F614" s="7" t="s">
        <v>843</v>
      </c>
    </row>
    <row r="615" spans="1:6" x14ac:dyDescent="0.3">
      <c r="A615" s="7" t="s">
        <v>667</v>
      </c>
      <c r="B615" s="7">
        <v>270</v>
      </c>
      <c r="C615" s="13">
        <f>MIN(B615,'Task 2'!D615*11)</f>
        <v>0.36666666666666664</v>
      </c>
      <c r="D615" s="13">
        <f>MIN(B615-C615,'Task 2'!D615*6)</f>
        <v>0.2</v>
      </c>
      <c r="E615" s="13">
        <f t="shared" si="9"/>
        <v>269.43333333333334</v>
      </c>
      <c r="F615" s="7" t="s">
        <v>843</v>
      </c>
    </row>
    <row r="616" spans="1:6" x14ac:dyDescent="0.3">
      <c r="A616" s="7" t="s">
        <v>668</v>
      </c>
      <c r="B616" s="7">
        <v>270</v>
      </c>
      <c r="C616" s="13">
        <f>MIN(B616,'Task 2'!D616*11)</f>
        <v>0.73333333333333328</v>
      </c>
      <c r="D616" s="13">
        <f>MIN(B616-C616,'Task 2'!D616*6)</f>
        <v>0.4</v>
      </c>
      <c r="E616" s="13">
        <f t="shared" si="9"/>
        <v>268.86666666666667</v>
      </c>
      <c r="F616" s="7" t="s">
        <v>843</v>
      </c>
    </row>
    <row r="617" spans="1:6" x14ac:dyDescent="0.3">
      <c r="A617" s="7" t="s">
        <v>669</v>
      </c>
      <c r="B617" s="7">
        <v>270</v>
      </c>
      <c r="C617" s="13">
        <f>MIN(B617,'Task 2'!D617*11)</f>
        <v>0.36666666666666664</v>
      </c>
      <c r="D617" s="13">
        <f>MIN(B617-C617,'Task 2'!D617*6)</f>
        <v>0.2</v>
      </c>
      <c r="E617" s="13">
        <f t="shared" si="9"/>
        <v>269.43333333333334</v>
      </c>
      <c r="F617" s="7" t="s">
        <v>843</v>
      </c>
    </row>
    <row r="618" spans="1:6" x14ac:dyDescent="0.3">
      <c r="A618" s="7" t="s">
        <v>670</v>
      </c>
      <c r="B618" s="7">
        <v>270</v>
      </c>
      <c r="C618" s="13">
        <f>MIN(B618,'Task 2'!D618*11)</f>
        <v>1.1000000000000003</v>
      </c>
      <c r="D618" s="13">
        <f>MIN(B618-C618,'Task 2'!D618*6)</f>
        <v>0.60000000000000009</v>
      </c>
      <c r="E618" s="13">
        <f t="shared" si="9"/>
        <v>268.29999999999995</v>
      </c>
      <c r="F618" s="7" t="s">
        <v>843</v>
      </c>
    </row>
    <row r="619" spans="1:6" x14ac:dyDescent="0.3">
      <c r="A619" s="7" t="s">
        <v>671</v>
      </c>
      <c r="B619" s="7">
        <v>270</v>
      </c>
      <c r="C619" s="13">
        <f>MIN(B619,'Task 2'!D619*11)</f>
        <v>0.73333333333333328</v>
      </c>
      <c r="D619" s="13">
        <f>MIN(B619-C619,'Task 2'!D619*6)</f>
        <v>0.4</v>
      </c>
      <c r="E619" s="13">
        <f t="shared" si="9"/>
        <v>268.86666666666667</v>
      </c>
      <c r="F619" s="7" t="s">
        <v>843</v>
      </c>
    </row>
    <row r="620" spans="1:6" x14ac:dyDescent="0.3">
      <c r="A620" s="7" t="s">
        <v>672</v>
      </c>
      <c r="B620" s="7">
        <v>270</v>
      </c>
      <c r="C620" s="13">
        <f>MIN(B620,'Task 2'!D620*11)</f>
        <v>1.8333333333333333</v>
      </c>
      <c r="D620" s="13">
        <f>MIN(B620-C620,'Task 2'!D620*6)</f>
        <v>1</v>
      </c>
      <c r="E620" s="13">
        <f t="shared" si="9"/>
        <v>267.16666666666669</v>
      </c>
      <c r="F620" s="7" t="s">
        <v>843</v>
      </c>
    </row>
    <row r="621" spans="1:6" x14ac:dyDescent="0.3">
      <c r="A621" s="7" t="s">
        <v>673</v>
      </c>
      <c r="B621" s="7">
        <v>270</v>
      </c>
      <c r="C621" s="13">
        <f>MIN(B621,'Task 2'!D621*11)</f>
        <v>0.36666666666666664</v>
      </c>
      <c r="D621" s="13">
        <f>MIN(B621-C621,'Task 2'!D621*6)</f>
        <v>0.2</v>
      </c>
      <c r="E621" s="13">
        <f t="shared" si="9"/>
        <v>269.43333333333334</v>
      </c>
      <c r="F621" s="7" t="s">
        <v>843</v>
      </c>
    </row>
    <row r="622" spans="1:6" x14ac:dyDescent="0.3">
      <c r="A622" s="7" t="s">
        <v>674</v>
      </c>
      <c r="B622" s="7">
        <v>180</v>
      </c>
      <c r="C622" s="13">
        <f>MIN(B622,'Task 2'!D622*11)</f>
        <v>0.73333333333333328</v>
      </c>
      <c r="D622" s="13">
        <f>MIN(B622-C622,'Task 2'!D622*6)</f>
        <v>0.4</v>
      </c>
      <c r="E622" s="13">
        <f t="shared" si="9"/>
        <v>178.86666666666667</v>
      </c>
      <c r="F622" s="7" t="s">
        <v>843</v>
      </c>
    </row>
    <row r="623" spans="1:6" x14ac:dyDescent="0.3">
      <c r="A623" s="7" t="s">
        <v>675</v>
      </c>
      <c r="B623" s="7">
        <v>1080</v>
      </c>
      <c r="C623" s="13">
        <f>MIN(B623,'Task 2'!D623*11)</f>
        <v>5.1333333333333337</v>
      </c>
      <c r="D623" s="13">
        <f>MIN(B623-C623,'Task 2'!D623*6)</f>
        <v>2.8000000000000003</v>
      </c>
      <c r="E623" s="13">
        <f t="shared" si="9"/>
        <v>1072.0666666666666</v>
      </c>
      <c r="F623" s="7" t="s">
        <v>843</v>
      </c>
    </row>
    <row r="624" spans="1:6" x14ac:dyDescent="0.3">
      <c r="A624" s="7" t="s">
        <v>676</v>
      </c>
      <c r="B624" s="7">
        <v>270</v>
      </c>
      <c r="C624" s="13">
        <f>MIN(B624,'Task 2'!D624*11)</f>
        <v>0.73333333333333328</v>
      </c>
      <c r="D624" s="13">
        <f>MIN(B624-C624,'Task 2'!D624*6)</f>
        <v>0.4</v>
      </c>
      <c r="E624" s="13">
        <f t="shared" si="9"/>
        <v>268.86666666666667</v>
      </c>
      <c r="F624" s="7" t="s">
        <v>843</v>
      </c>
    </row>
    <row r="625" spans="1:6" x14ac:dyDescent="0.3">
      <c r="A625" s="7" t="s">
        <v>677</v>
      </c>
      <c r="B625" s="7">
        <v>270</v>
      </c>
      <c r="C625" s="13">
        <f>MIN(B625,'Task 2'!D625*11)</f>
        <v>1.1000000000000003</v>
      </c>
      <c r="D625" s="13">
        <f>MIN(B625-C625,'Task 2'!D625*6)</f>
        <v>0.60000000000000009</v>
      </c>
      <c r="E625" s="13">
        <f t="shared" si="9"/>
        <v>268.29999999999995</v>
      </c>
      <c r="F625" s="7" t="s">
        <v>843</v>
      </c>
    </row>
    <row r="626" spans="1:6" x14ac:dyDescent="0.3">
      <c r="A626" s="7" t="s">
        <v>678</v>
      </c>
      <c r="B626" s="7">
        <v>270</v>
      </c>
      <c r="C626" s="13">
        <f>MIN(B626,'Task 2'!D626*11)</f>
        <v>0.36666666666666664</v>
      </c>
      <c r="D626" s="13">
        <f>MIN(B626-C626,'Task 2'!D626*6)</f>
        <v>0.2</v>
      </c>
      <c r="E626" s="13">
        <f t="shared" si="9"/>
        <v>269.43333333333334</v>
      </c>
      <c r="F626" s="7" t="s">
        <v>843</v>
      </c>
    </row>
    <row r="627" spans="1:6" x14ac:dyDescent="0.3">
      <c r="A627" s="7" t="s">
        <v>679</v>
      </c>
      <c r="B627" s="7">
        <v>270</v>
      </c>
      <c r="C627" s="13">
        <f>MIN(B627,'Task 2'!D627*11)</f>
        <v>0.73333333333333328</v>
      </c>
      <c r="D627" s="13">
        <f>MIN(B627-C627,'Task 2'!D627*6)</f>
        <v>0.4</v>
      </c>
      <c r="E627" s="13">
        <f t="shared" si="9"/>
        <v>268.86666666666667</v>
      </c>
      <c r="F627" s="7" t="s">
        <v>843</v>
      </c>
    </row>
    <row r="628" spans="1:6" x14ac:dyDescent="0.3">
      <c r="A628" s="7" t="s">
        <v>680</v>
      </c>
      <c r="B628" s="7">
        <v>180</v>
      </c>
      <c r="C628" s="13">
        <f>MIN(B628,'Task 2'!D628*11)</f>
        <v>0.73333333333333328</v>
      </c>
      <c r="D628" s="13">
        <f>MIN(B628-C628,'Task 2'!D628*6)</f>
        <v>0.4</v>
      </c>
      <c r="E628" s="13">
        <f t="shared" si="9"/>
        <v>178.86666666666667</v>
      </c>
      <c r="F628" s="7" t="s">
        <v>843</v>
      </c>
    </row>
    <row r="629" spans="1:6" x14ac:dyDescent="0.3">
      <c r="A629" s="7" t="s">
        <v>681</v>
      </c>
      <c r="B629" s="7">
        <v>270</v>
      </c>
      <c r="C629" s="13">
        <f>MIN(B629,'Task 2'!D629*11)</f>
        <v>1.1000000000000003</v>
      </c>
      <c r="D629" s="13">
        <f>MIN(B629-C629,'Task 2'!D629*6)</f>
        <v>0.60000000000000009</v>
      </c>
      <c r="E629" s="13">
        <f t="shared" si="9"/>
        <v>268.29999999999995</v>
      </c>
      <c r="F629" s="7" t="s">
        <v>843</v>
      </c>
    </row>
    <row r="630" spans="1:6" x14ac:dyDescent="0.3">
      <c r="A630" s="7" t="s">
        <v>682</v>
      </c>
      <c r="B630" s="7">
        <v>270</v>
      </c>
      <c r="C630" s="13">
        <f>MIN(B630,'Task 2'!D630*11)</f>
        <v>0.73333333333333328</v>
      </c>
      <c r="D630" s="13">
        <f>MIN(B630-C630,'Task 2'!D630*6)</f>
        <v>0.4</v>
      </c>
      <c r="E630" s="13">
        <f t="shared" si="9"/>
        <v>268.86666666666667</v>
      </c>
      <c r="F630" s="7" t="s">
        <v>843</v>
      </c>
    </row>
    <row r="631" spans="1:6" x14ac:dyDescent="0.3">
      <c r="A631" s="7" t="s">
        <v>683</v>
      </c>
      <c r="B631" s="7">
        <v>270</v>
      </c>
      <c r="C631" s="13">
        <f>MIN(B631,'Task 2'!D631*11)</f>
        <v>1.4666666666666666</v>
      </c>
      <c r="D631" s="13">
        <f>MIN(B631-C631,'Task 2'!D631*6)</f>
        <v>0.8</v>
      </c>
      <c r="E631" s="13">
        <f t="shared" si="9"/>
        <v>267.73333333333335</v>
      </c>
      <c r="F631" s="7" t="s">
        <v>843</v>
      </c>
    </row>
    <row r="632" spans="1:6" x14ac:dyDescent="0.3">
      <c r="A632" s="7" t="s">
        <v>684</v>
      </c>
      <c r="B632" s="7">
        <v>270</v>
      </c>
      <c r="C632" s="13">
        <f>MIN(B632,'Task 2'!D632*11)</f>
        <v>1.4666666666666666</v>
      </c>
      <c r="D632" s="13">
        <f>MIN(B632-C632,'Task 2'!D632*6)</f>
        <v>0.8</v>
      </c>
      <c r="E632" s="13">
        <f t="shared" si="9"/>
        <v>267.73333333333335</v>
      </c>
      <c r="F632" s="7" t="s">
        <v>843</v>
      </c>
    </row>
    <row r="633" spans="1:6" x14ac:dyDescent="0.3">
      <c r="A633" s="7" t="s">
        <v>685</v>
      </c>
      <c r="B633" s="7">
        <v>180</v>
      </c>
      <c r="C633" s="13">
        <f>MIN(B633,'Task 2'!D633*11)</f>
        <v>1.8333333333333333</v>
      </c>
      <c r="D633" s="13">
        <f>MIN(B633-C633,'Task 2'!D633*6)</f>
        <v>1</v>
      </c>
      <c r="E633" s="13">
        <f t="shared" si="9"/>
        <v>177.16666666666666</v>
      </c>
      <c r="F633" s="7" t="s">
        <v>843</v>
      </c>
    </row>
    <row r="634" spans="1:6" x14ac:dyDescent="0.3">
      <c r="A634" s="7" t="s">
        <v>686</v>
      </c>
      <c r="B634" s="7">
        <v>0</v>
      </c>
      <c r="C634" s="13">
        <f>MIN(B634,'Task 2'!D634*11)</f>
        <v>0</v>
      </c>
      <c r="D634" s="13">
        <f>MIN(B634-C634,'Task 2'!D634*6)</f>
        <v>0</v>
      </c>
      <c r="E634" s="13">
        <f t="shared" si="9"/>
        <v>0</v>
      </c>
      <c r="F634" s="7" t="s">
        <v>843</v>
      </c>
    </row>
    <row r="635" spans="1:6" x14ac:dyDescent="0.3">
      <c r="A635" s="7" t="s">
        <v>687</v>
      </c>
      <c r="B635" s="7">
        <v>0</v>
      </c>
      <c r="C635" s="13">
        <f>MIN(B635,'Task 2'!D635*11)</f>
        <v>0</v>
      </c>
      <c r="D635" s="13">
        <f>MIN(B635-C635,'Task 2'!D635*6)</f>
        <v>0</v>
      </c>
      <c r="E635" s="13">
        <f t="shared" si="9"/>
        <v>0</v>
      </c>
      <c r="F635" s="7" t="s">
        <v>843</v>
      </c>
    </row>
    <row r="636" spans="1:6" x14ac:dyDescent="0.3">
      <c r="A636" s="7" t="s">
        <v>688</v>
      </c>
      <c r="B636" s="7">
        <v>0</v>
      </c>
      <c r="C636" s="13">
        <f>MIN(B636,'Task 2'!D636*11)</f>
        <v>0</v>
      </c>
      <c r="D636" s="13">
        <f>MIN(B636-C636,'Task 2'!D636*6)</f>
        <v>0</v>
      </c>
      <c r="E636" s="13">
        <f t="shared" si="9"/>
        <v>0</v>
      </c>
      <c r="F636" s="7" t="s">
        <v>843</v>
      </c>
    </row>
    <row r="637" spans="1:6" x14ac:dyDescent="0.3">
      <c r="A637" s="7" t="s">
        <v>689</v>
      </c>
      <c r="B637" s="7">
        <v>0</v>
      </c>
      <c r="C637" s="13">
        <f>MIN(B637,'Task 2'!D637*11)</f>
        <v>0</v>
      </c>
      <c r="D637" s="13">
        <f>MIN(B637-C637,'Task 2'!D637*6)</f>
        <v>0</v>
      </c>
      <c r="E637" s="13">
        <f t="shared" si="9"/>
        <v>0</v>
      </c>
      <c r="F637" s="7" t="s">
        <v>843</v>
      </c>
    </row>
    <row r="638" spans="1:6" x14ac:dyDescent="0.3">
      <c r="A638" s="7" t="s">
        <v>690</v>
      </c>
      <c r="B638" s="7">
        <v>0</v>
      </c>
      <c r="C638" s="13">
        <f>MIN(B638,'Task 2'!D638*11)</f>
        <v>0</v>
      </c>
      <c r="D638" s="13">
        <f>MIN(B638-C638,'Task 2'!D638*6)</f>
        <v>0</v>
      </c>
      <c r="E638" s="13">
        <f t="shared" si="9"/>
        <v>0</v>
      </c>
      <c r="F638" s="7" t="s">
        <v>843</v>
      </c>
    </row>
    <row r="639" spans="1:6" x14ac:dyDescent="0.3">
      <c r="A639" s="7" t="s">
        <v>691</v>
      </c>
      <c r="B639" s="7">
        <v>0</v>
      </c>
      <c r="C639" s="13">
        <f>MIN(B639,'Task 2'!D639*11)</f>
        <v>0</v>
      </c>
      <c r="D639" s="13">
        <f>MIN(B639-C639,'Task 2'!D639*6)</f>
        <v>0</v>
      </c>
      <c r="E639" s="13">
        <f t="shared" si="9"/>
        <v>0</v>
      </c>
      <c r="F639" s="7" t="s">
        <v>843</v>
      </c>
    </row>
    <row r="640" spans="1:6" x14ac:dyDescent="0.3">
      <c r="A640" s="7" t="s">
        <v>692</v>
      </c>
      <c r="B640" s="7">
        <v>0</v>
      </c>
      <c r="C640" s="13">
        <f>MIN(B640,'Task 2'!D640*11)</f>
        <v>0</v>
      </c>
      <c r="D640" s="13">
        <f>MIN(B640-C640,'Task 2'!D640*6)</f>
        <v>0</v>
      </c>
      <c r="E640" s="13">
        <f t="shared" si="9"/>
        <v>0</v>
      </c>
      <c r="F640" s="7" t="s">
        <v>843</v>
      </c>
    </row>
    <row r="641" spans="1:6" x14ac:dyDescent="0.3">
      <c r="A641" s="7" t="s">
        <v>693</v>
      </c>
      <c r="B641" s="7">
        <v>0</v>
      </c>
      <c r="C641" s="13">
        <f>MIN(B641,'Task 2'!D641*11)</f>
        <v>0</v>
      </c>
      <c r="D641" s="13">
        <f>MIN(B641-C641,'Task 2'!D641*6)</f>
        <v>0</v>
      </c>
      <c r="E641" s="13">
        <f t="shared" si="9"/>
        <v>0</v>
      </c>
      <c r="F641" s="7" t="s">
        <v>843</v>
      </c>
    </row>
    <row r="642" spans="1:6" x14ac:dyDescent="0.3">
      <c r="A642" s="7" t="s">
        <v>694</v>
      </c>
      <c r="B642" s="7">
        <v>0</v>
      </c>
      <c r="C642" s="13">
        <f>MIN(B642,'Task 2'!D642*11)</f>
        <v>0</v>
      </c>
      <c r="D642" s="13">
        <f>MIN(B642-C642,'Task 2'!D642*6)</f>
        <v>0</v>
      </c>
      <c r="E642" s="13">
        <f t="shared" si="9"/>
        <v>0</v>
      </c>
      <c r="F642" s="7" t="s">
        <v>843</v>
      </c>
    </row>
    <row r="643" spans="1:6" x14ac:dyDescent="0.3">
      <c r="A643" s="7" t="s">
        <v>695</v>
      </c>
      <c r="B643" s="7">
        <v>0</v>
      </c>
      <c r="C643" s="13">
        <f>MIN(B643,'Task 2'!D643*11)</f>
        <v>0</v>
      </c>
      <c r="D643" s="13">
        <f>MIN(B643-C643,'Task 2'!D643*6)</f>
        <v>0</v>
      </c>
      <c r="E643" s="13">
        <f t="shared" ref="E643:E706" si="10">B643-C643-D643</f>
        <v>0</v>
      </c>
      <c r="F643" s="7" t="s">
        <v>843</v>
      </c>
    </row>
    <row r="644" spans="1:6" x14ac:dyDescent="0.3">
      <c r="A644" s="7" t="s">
        <v>696</v>
      </c>
      <c r="B644" s="7">
        <v>0</v>
      </c>
      <c r="C644" s="13">
        <f>MIN(B644,'Task 2'!D644*11)</f>
        <v>0</v>
      </c>
      <c r="D644" s="13">
        <f>MIN(B644-C644,'Task 2'!D644*6)</f>
        <v>0</v>
      </c>
      <c r="E644" s="13">
        <f t="shared" si="10"/>
        <v>0</v>
      </c>
      <c r="F644" s="7" t="s">
        <v>843</v>
      </c>
    </row>
    <row r="645" spans="1:6" x14ac:dyDescent="0.3">
      <c r="A645" s="7" t="s">
        <v>697</v>
      </c>
      <c r="B645" s="7">
        <v>0</v>
      </c>
      <c r="C645" s="13">
        <f>MIN(B645,'Task 2'!D645*11)</f>
        <v>0</v>
      </c>
      <c r="D645" s="13">
        <f>MIN(B645-C645,'Task 2'!D645*6)</f>
        <v>0</v>
      </c>
      <c r="E645" s="13">
        <f t="shared" si="10"/>
        <v>0</v>
      </c>
      <c r="F645" s="7" t="s">
        <v>843</v>
      </c>
    </row>
    <row r="646" spans="1:6" x14ac:dyDescent="0.3">
      <c r="A646" s="7" t="s">
        <v>698</v>
      </c>
      <c r="B646" s="7">
        <v>180</v>
      </c>
      <c r="C646" s="13">
        <f>MIN(B646,'Task 2'!D646*11)</f>
        <v>0.36666666666666664</v>
      </c>
      <c r="D646" s="13">
        <f>MIN(B646-C646,'Task 2'!D646*6)</f>
        <v>0.2</v>
      </c>
      <c r="E646" s="13">
        <f t="shared" si="10"/>
        <v>179.43333333333334</v>
      </c>
      <c r="F646" s="7" t="s">
        <v>843</v>
      </c>
    </row>
    <row r="647" spans="1:6" x14ac:dyDescent="0.3">
      <c r="A647" s="7" t="s">
        <v>699</v>
      </c>
      <c r="B647" s="7">
        <v>180</v>
      </c>
      <c r="C647" s="13">
        <f>MIN(B647,'Task 2'!D647*11)</f>
        <v>0.36666666666666664</v>
      </c>
      <c r="D647" s="13">
        <f>MIN(B647-C647,'Task 2'!D647*6)</f>
        <v>0.2</v>
      </c>
      <c r="E647" s="13">
        <f t="shared" si="10"/>
        <v>179.43333333333334</v>
      </c>
      <c r="F647" s="7" t="s">
        <v>843</v>
      </c>
    </row>
    <row r="648" spans="1:6" x14ac:dyDescent="0.3">
      <c r="A648" s="7" t="s">
        <v>700</v>
      </c>
      <c r="B648" s="7">
        <v>0</v>
      </c>
      <c r="C648" s="13">
        <f>MIN(B648,'Task 2'!D648*11)</f>
        <v>0</v>
      </c>
      <c r="D648" s="13">
        <f>MIN(B648-C648,'Task 2'!D648*6)</f>
        <v>0</v>
      </c>
      <c r="E648" s="13">
        <f t="shared" si="10"/>
        <v>0</v>
      </c>
      <c r="F648" s="7" t="s">
        <v>843</v>
      </c>
    </row>
    <row r="649" spans="1:6" x14ac:dyDescent="0.3">
      <c r="A649" s="7" t="s">
        <v>701</v>
      </c>
      <c r="B649" s="7">
        <v>0</v>
      </c>
      <c r="C649" s="13">
        <f>MIN(B649,'Task 2'!D649*11)</f>
        <v>0</v>
      </c>
      <c r="D649" s="13">
        <f>MIN(B649-C649,'Task 2'!D649*6)</f>
        <v>0</v>
      </c>
      <c r="E649" s="13">
        <f t="shared" si="10"/>
        <v>0</v>
      </c>
      <c r="F649" s="7" t="s">
        <v>843</v>
      </c>
    </row>
    <row r="650" spans="1:6" x14ac:dyDescent="0.3">
      <c r="A650" s="7" t="s">
        <v>702</v>
      </c>
      <c r="B650" s="7">
        <v>0</v>
      </c>
      <c r="C650" s="13">
        <f>MIN(B650,'Task 2'!D650*11)</f>
        <v>0</v>
      </c>
      <c r="D650" s="13">
        <f>MIN(B650-C650,'Task 2'!D650*6)</f>
        <v>0</v>
      </c>
      <c r="E650" s="13">
        <f t="shared" si="10"/>
        <v>0</v>
      </c>
      <c r="F650" s="7" t="s">
        <v>843</v>
      </c>
    </row>
    <row r="651" spans="1:6" x14ac:dyDescent="0.3">
      <c r="A651" s="7" t="s">
        <v>703</v>
      </c>
      <c r="B651" s="7">
        <v>270</v>
      </c>
      <c r="C651" s="13">
        <f>MIN(B651,'Task 2'!D651*11)</f>
        <v>0.36666666666666664</v>
      </c>
      <c r="D651" s="13">
        <f>MIN(B651-C651,'Task 2'!D651*6)</f>
        <v>0.2</v>
      </c>
      <c r="E651" s="13">
        <f t="shared" si="10"/>
        <v>269.43333333333334</v>
      </c>
      <c r="F651" s="7" t="s">
        <v>843</v>
      </c>
    </row>
    <row r="652" spans="1:6" x14ac:dyDescent="0.3">
      <c r="A652" s="7" t="s">
        <v>704</v>
      </c>
      <c r="B652" s="7">
        <v>0</v>
      </c>
      <c r="C652" s="13">
        <f>MIN(B652,'Task 2'!D652*11)</f>
        <v>0</v>
      </c>
      <c r="D652" s="13">
        <f>MIN(B652-C652,'Task 2'!D652*6)</f>
        <v>0</v>
      </c>
      <c r="E652" s="13">
        <f t="shared" si="10"/>
        <v>0</v>
      </c>
      <c r="F652" s="7" t="s">
        <v>843</v>
      </c>
    </row>
    <row r="653" spans="1:6" x14ac:dyDescent="0.3">
      <c r="A653" s="7" t="s">
        <v>705</v>
      </c>
      <c r="B653" s="7">
        <v>0</v>
      </c>
      <c r="C653" s="13">
        <f>MIN(B653,'Task 2'!D653*11)</f>
        <v>0</v>
      </c>
      <c r="D653" s="13">
        <f>MIN(B653-C653,'Task 2'!D653*6)</f>
        <v>0</v>
      </c>
      <c r="E653" s="13">
        <f t="shared" si="10"/>
        <v>0</v>
      </c>
      <c r="F653" s="7" t="s">
        <v>843</v>
      </c>
    </row>
    <row r="654" spans="1:6" x14ac:dyDescent="0.3">
      <c r="A654" s="7" t="s">
        <v>706</v>
      </c>
      <c r="B654" s="7">
        <v>0</v>
      </c>
      <c r="C654" s="13">
        <f>MIN(B654,'Task 2'!D654*11)</f>
        <v>0</v>
      </c>
      <c r="D654" s="13">
        <f>MIN(B654-C654,'Task 2'!D654*6)</f>
        <v>0</v>
      </c>
      <c r="E654" s="13">
        <f t="shared" si="10"/>
        <v>0</v>
      </c>
      <c r="F654" s="7" t="s">
        <v>843</v>
      </c>
    </row>
    <row r="655" spans="1:6" x14ac:dyDescent="0.3">
      <c r="A655" s="7" t="s">
        <v>707</v>
      </c>
      <c r="B655" s="7">
        <v>0</v>
      </c>
      <c r="C655" s="13">
        <f>MIN(B655,'Task 2'!D655*11)</f>
        <v>0</v>
      </c>
      <c r="D655" s="13">
        <f>MIN(B655-C655,'Task 2'!D655*6)</f>
        <v>0</v>
      </c>
      <c r="E655" s="13">
        <f t="shared" si="10"/>
        <v>0</v>
      </c>
      <c r="F655" s="7" t="s">
        <v>843</v>
      </c>
    </row>
    <row r="656" spans="1:6" x14ac:dyDescent="0.3">
      <c r="A656" s="7" t="s">
        <v>708</v>
      </c>
      <c r="B656" s="7">
        <v>0</v>
      </c>
      <c r="C656" s="13">
        <f>MIN(B656,'Task 2'!D656*11)</f>
        <v>0</v>
      </c>
      <c r="D656" s="13">
        <f>MIN(B656-C656,'Task 2'!D656*6)</f>
        <v>0</v>
      </c>
      <c r="E656" s="13">
        <f t="shared" si="10"/>
        <v>0</v>
      </c>
      <c r="F656" s="7" t="s">
        <v>843</v>
      </c>
    </row>
    <row r="657" spans="1:6" x14ac:dyDescent="0.3">
      <c r="A657" s="7" t="s">
        <v>709</v>
      </c>
      <c r="B657" s="7">
        <v>0</v>
      </c>
      <c r="C657" s="13">
        <f>MIN(B657,'Task 2'!D657*11)</f>
        <v>0</v>
      </c>
      <c r="D657" s="13">
        <f>MIN(B657-C657,'Task 2'!D657*6)</f>
        <v>0</v>
      </c>
      <c r="E657" s="13">
        <f t="shared" si="10"/>
        <v>0</v>
      </c>
      <c r="F657" s="7" t="s">
        <v>843</v>
      </c>
    </row>
    <row r="658" spans="1:6" x14ac:dyDescent="0.3">
      <c r="A658" s="7" t="s">
        <v>710</v>
      </c>
      <c r="B658" s="7">
        <v>0</v>
      </c>
      <c r="C658" s="13">
        <f>MIN(B658,'Task 2'!D658*11)</f>
        <v>0</v>
      </c>
      <c r="D658" s="13">
        <f>MIN(B658-C658,'Task 2'!D658*6)</f>
        <v>0</v>
      </c>
      <c r="E658" s="13">
        <f t="shared" si="10"/>
        <v>0</v>
      </c>
      <c r="F658" s="7" t="s">
        <v>843</v>
      </c>
    </row>
    <row r="659" spans="1:6" x14ac:dyDescent="0.3">
      <c r="A659" s="7" t="s">
        <v>711</v>
      </c>
      <c r="B659" s="7">
        <v>0</v>
      </c>
      <c r="C659" s="13">
        <f>MIN(B659,'Task 2'!D659*11)</f>
        <v>0</v>
      </c>
      <c r="D659" s="13">
        <f>MIN(B659-C659,'Task 2'!D659*6)</f>
        <v>0</v>
      </c>
      <c r="E659" s="13">
        <f t="shared" si="10"/>
        <v>0</v>
      </c>
      <c r="F659" s="7" t="s">
        <v>843</v>
      </c>
    </row>
    <row r="660" spans="1:6" x14ac:dyDescent="0.3">
      <c r="A660" s="7" t="s">
        <v>712</v>
      </c>
      <c r="B660" s="7">
        <v>0</v>
      </c>
      <c r="C660" s="13">
        <f>MIN(B660,'Task 2'!D660*11)</f>
        <v>0</v>
      </c>
      <c r="D660" s="13">
        <f>MIN(B660-C660,'Task 2'!D660*6)</f>
        <v>0</v>
      </c>
      <c r="E660" s="13">
        <f t="shared" si="10"/>
        <v>0</v>
      </c>
      <c r="F660" s="7" t="s">
        <v>843</v>
      </c>
    </row>
    <row r="661" spans="1:6" x14ac:dyDescent="0.3">
      <c r="A661" s="7" t="s">
        <v>713</v>
      </c>
      <c r="B661" s="7">
        <v>0</v>
      </c>
      <c r="C661" s="13">
        <f>MIN(B661,'Task 2'!D661*11)</f>
        <v>0</v>
      </c>
      <c r="D661" s="13">
        <f>MIN(B661-C661,'Task 2'!D661*6)</f>
        <v>0</v>
      </c>
      <c r="E661" s="13">
        <f t="shared" si="10"/>
        <v>0</v>
      </c>
      <c r="F661" s="7" t="s">
        <v>843</v>
      </c>
    </row>
    <row r="662" spans="1:6" x14ac:dyDescent="0.3">
      <c r="A662" s="7" t="s">
        <v>714</v>
      </c>
      <c r="B662" s="7">
        <v>0</v>
      </c>
      <c r="C662" s="13">
        <f>MIN(B662,'Task 2'!D662*11)</f>
        <v>0</v>
      </c>
      <c r="D662" s="13">
        <f>MIN(B662-C662,'Task 2'!D662*6)</f>
        <v>0</v>
      </c>
      <c r="E662" s="13">
        <f t="shared" si="10"/>
        <v>0</v>
      </c>
      <c r="F662" s="7" t="s">
        <v>843</v>
      </c>
    </row>
    <row r="663" spans="1:6" x14ac:dyDescent="0.3">
      <c r="A663" s="7" t="s">
        <v>715</v>
      </c>
      <c r="B663" s="7">
        <v>270</v>
      </c>
      <c r="C663" s="13">
        <f>MIN(B663,'Task 2'!D663*11)</f>
        <v>0.36666666666666664</v>
      </c>
      <c r="D663" s="13">
        <f>MIN(B663-C663,'Task 2'!D663*6)</f>
        <v>0.2</v>
      </c>
      <c r="E663" s="13">
        <f t="shared" si="10"/>
        <v>269.43333333333334</v>
      </c>
      <c r="F663" s="7" t="s">
        <v>843</v>
      </c>
    </row>
    <row r="664" spans="1:6" x14ac:dyDescent="0.3">
      <c r="A664" s="7" t="s">
        <v>716</v>
      </c>
      <c r="B664" s="7">
        <v>0</v>
      </c>
      <c r="C664" s="13">
        <f>MIN(B664,'Task 2'!D664*11)</f>
        <v>0</v>
      </c>
      <c r="D664" s="13">
        <f>MIN(B664-C664,'Task 2'!D664*6)</f>
        <v>0</v>
      </c>
      <c r="E664" s="13">
        <f t="shared" si="10"/>
        <v>0</v>
      </c>
      <c r="F664" s="7" t="s">
        <v>843</v>
      </c>
    </row>
    <row r="665" spans="1:6" x14ac:dyDescent="0.3">
      <c r="A665" s="7" t="s">
        <v>717</v>
      </c>
      <c r="B665" s="7">
        <v>0</v>
      </c>
      <c r="C665" s="13">
        <f>MIN(B665,'Task 2'!D665*11)</f>
        <v>0</v>
      </c>
      <c r="D665" s="13">
        <f>MIN(B665-C665,'Task 2'!D665*6)</f>
        <v>0</v>
      </c>
      <c r="E665" s="13">
        <f t="shared" si="10"/>
        <v>0</v>
      </c>
      <c r="F665" s="7" t="s">
        <v>843</v>
      </c>
    </row>
    <row r="666" spans="1:6" x14ac:dyDescent="0.3">
      <c r="A666" s="7" t="s">
        <v>718</v>
      </c>
      <c r="B666" s="7">
        <v>0</v>
      </c>
      <c r="C666" s="13">
        <f>MIN(B666,'Task 2'!D666*11)</f>
        <v>0</v>
      </c>
      <c r="D666" s="13">
        <f>MIN(B666-C666,'Task 2'!D666*6)</f>
        <v>0</v>
      </c>
      <c r="E666" s="13">
        <f t="shared" si="10"/>
        <v>0</v>
      </c>
      <c r="F666" s="7" t="s">
        <v>843</v>
      </c>
    </row>
    <row r="667" spans="1:6" x14ac:dyDescent="0.3">
      <c r="A667" s="7" t="s">
        <v>719</v>
      </c>
      <c r="B667" s="7">
        <v>0</v>
      </c>
      <c r="C667" s="13">
        <f>MIN(B667,'Task 2'!D667*11)</f>
        <v>0</v>
      </c>
      <c r="D667" s="13">
        <f>MIN(B667-C667,'Task 2'!D667*6)</f>
        <v>0</v>
      </c>
      <c r="E667" s="13">
        <f t="shared" si="10"/>
        <v>0</v>
      </c>
      <c r="F667" s="7" t="s">
        <v>843</v>
      </c>
    </row>
    <row r="668" spans="1:6" x14ac:dyDescent="0.3">
      <c r="A668" s="7" t="s">
        <v>720</v>
      </c>
      <c r="B668" s="7">
        <v>0</v>
      </c>
      <c r="C668" s="13">
        <f>MIN(B668,'Task 2'!D668*11)</f>
        <v>0</v>
      </c>
      <c r="D668" s="13">
        <f>MIN(B668-C668,'Task 2'!D668*6)</f>
        <v>0</v>
      </c>
      <c r="E668" s="13">
        <f t="shared" si="10"/>
        <v>0</v>
      </c>
      <c r="F668" s="7" t="s">
        <v>843</v>
      </c>
    </row>
    <row r="669" spans="1:6" x14ac:dyDescent="0.3">
      <c r="A669" s="7" t="s">
        <v>721</v>
      </c>
      <c r="B669" s="7">
        <v>0</v>
      </c>
      <c r="C669" s="13">
        <f>MIN(B669,'Task 2'!D669*11)</f>
        <v>0</v>
      </c>
      <c r="D669" s="13">
        <f>MIN(B669-C669,'Task 2'!D669*6)</f>
        <v>0</v>
      </c>
      <c r="E669" s="13">
        <f t="shared" si="10"/>
        <v>0</v>
      </c>
      <c r="F669" s="7" t="s">
        <v>843</v>
      </c>
    </row>
    <row r="670" spans="1:6" x14ac:dyDescent="0.3">
      <c r="A670" s="7" t="s">
        <v>722</v>
      </c>
      <c r="B670" s="7">
        <v>0</v>
      </c>
      <c r="C670" s="13">
        <f>MIN(B670,'Task 2'!D670*11)</f>
        <v>0</v>
      </c>
      <c r="D670" s="13">
        <f>MIN(B670-C670,'Task 2'!D670*6)</f>
        <v>0</v>
      </c>
      <c r="E670" s="13">
        <f t="shared" si="10"/>
        <v>0</v>
      </c>
      <c r="F670" s="7" t="s">
        <v>843</v>
      </c>
    </row>
    <row r="671" spans="1:6" x14ac:dyDescent="0.3">
      <c r="A671" s="7" t="s">
        <v>723</v>
      </c>
      <c r="B671" s="7">
        <v>0</v>
      </c>
      <c r="C671" s="13">
        <f>MIN(B671,'Task 2'!D671*11)</f>
        <v>0</v>
      </c>
      <c r="D671" s="13">
        <f>MIN(B671-C671,'Task 2'!D671*6)</f>
        <v>0</v>
      </c>
      <c r="E671" s="13">
        <f t="shared" si="10"/>
        <v>0</v>
      </c>
      <c r="F671" s="7" t="s">
        <v>843</v>
      </c>
    </row>
    <row r="672" spans="1:6" x14ac:dyDescent="0.3">
      <c r="A672" s="7" t="s">
        <v>724</v>
      </c>
      <c r="B672" s="7">
        <v>0</v>
      </c>
      <c r="C672" s="13">
        <f>MIN(B672,'Task 2'!D672*11)</f>
        <v>0</v>
      </c>
      <c r="D672" s="13">
        <f>MIN(B672-C672,'Task 2'!D672*6)</f>
        <v>0</v>
      </c>
      <c r="E672" s="13">
        <f t="shared" si="10"/>
        <v>0</v>
      </c>
      <c r="F672" s="7" t="s">
        <v>843</v>
      </c>
    </row>
    <row r="673" spans="1:6" x14ac:dyDescent="0.3">
      <c r="A673" s="7" t="s">
        <v>725</v>
      </c>
      <c r="B673" s="7">
        <v>0</v>
      </c>
      <c r="C673" s="13">
        <f>MIN(B673,'Task 2'!D673*11)</f>
        <v>0</v>
      </c>
      <c r="D673" s="13">
        <f>MIN(B673-C673,'Task 2'!D673*6)</f>
        <v>0</v>
      </c>
      <c r="E673" s="13">
        <f t="shared" si="10"/>
        <v>0</v>
      </c>
      <c r="F673" s="7" t="s">
        <v>843</v>
      </c>
    </row>
    <row r="674" spans="1:6" x14ac:dyDescent="0.3">
      <c r="A674" s="7" t="s">
        <v>726</v>
      </c>
      <c r="B674" s="7">
        <v>0</v>
      </c>
      <c r="C674" s="13">
        <f>MIN(B674,'Task 2'!D674*11)</f>
        <v>0</v>
      </c>
      <c r="D674" s="13">
        <f>MIN(B674-C674,'Task 2'!D674*6)</f>
        <v>0</v>
      </c>
      <c r="E674" s="13">
        <f t="shared" si="10"/>
        <v>0</v>
      </c>
      <c r="F674" s="7" t="s">
        <v>843</v>
      </c>
    </row>
    <row r="675" spans="1:6" x14ac:dyDescent="0.3">
      <c r="A675" s="7" t="s">
        <v>727</v>
      </c>
      <c r="B675" s="7">
        <v>270</v>
      </c>
      <c r="C675" s="13">
        <f>MIN(B675,'Task 2'!D675*11)</f>
        <v>1.0999999999999999</v>
      </c>
      <c r="D675" s="13">
        <f>MIN(B675-C675,'Task 2'!D675*6)</f>
        <v>0.6</v>
      </c>
      <c r="E675" s="13">
        <f t="shared" si="10"/>
        <v>268.29999999999995</v>
      </c>
      <c r="F675" s="7" t="s">
        <v>843</v>
      </c>
    </row>
    <row r="676" spans="1:6" x14ac:dyDescent="0.3">
      <c r="A676" s="7" t="s">
        <v>728</v>
      </c>
      <c r="B676" s="7">
        <v>270</v>
      </c>
      <c r="C676" s="13">
        <f>MIN(B676,'Task 2'!D676*11)</f>
        <v>0.36666666666666664</v>
      </c>
      <c r="D676" s="13">
        <f>MIN(B676-C676,'Task 2'!D676*6)</f>
        <v>0.2</v>
      </c>
      <c r="E676" s="13">
        <f t="shared" si="10"/>
        <v>269.43333333333334</v>
      </c>
      <c r="F676" s="7" t="s">
        <v>843</v>
      </c>
    </row>
    <row r="677" spans="1:6" x14ac:dyDescent="0.3">
      <c r="A677" s="7" t="s">
        <v>729</v>
      </c>
      <c r="B677" s="7">
        <v>270</v>
      </c>
      <c r="C677" s="13">
        <f>MIN(B677,'Task 2'!D677*11)</f>
        <v>0.36666666666666664</v>
      </c>
      <c r="D677" s="13">
        <f>MIN(B677-C677,'Task 2'!D677*6)</f>
        <v>0.2</v>
      </c>
      <c r="E677" s="13">
        <f t="shared" si="10"/>
        <v>269.43333333333334</v>
      </c>
      <c r="F677" s="7" t="s">
        <v>843</v>
      </c>
    </row>
    <row r="678" spans="1:6" x14ac:dyDescent="0.3">
      <c r="A678" s="7" t="s">
        <v>730</v>
      </c>
      <c r="B678" s="7">
        <v>270</v>
      </c>
      <c r="C678" s="13">
        <f>MIN(B678,'Task 2'!D678*11)</f>
        <v>0.36666666666666664</v>
      </c>
      <c r="D678" s="13">
        <f>MIN(B678-C678,'Task 2'!D678*6)</f>
        <v>0.2</v>
      </c>
      <c r="E678" s="13">
        <f t="shared" si="10"/>
        <v>269.43333333333334</v>
      </c>
      <c r="F678" s="7" t="s">
        <v>843</v>
      </c>
    </row>
    <row r="679" spans="1:6" x14ac:dyDescent="0.3">
      <c r="A679" s="7" t="s">
        <v>731</v>
      </c>
      <c r="B679" s="7">
        <v>0</v>
      </c>
      <c r="C679" s="13">
        <f>MIN(B679,'Task 2'!D679*11)</f>
        <v>0</v>
      </c>
      <c r="D679" s="13">
        <f>MIN(B679-C679,'Task 2'!D679*6)</f>
        <v>0</v>
      </c>
      <c r="E679" s="13">
        <f t="shared" si="10"/>
        <v>0</v>
      </c>
      <c r="F679" s="7" t="s">
        <v>843</v>
      </c>
    </row>
    <row r="680" spans="1:6" x14ac:dyDescent="0.3">
      <c r="A680" s="7" t="s">
        <v>732</v>
      </c>
      <c r="B680" s="7">
        <v>0</v>
      </c>
      <c r="C680" s="13">
        <f>MIN(B680,'Task 2'!D680*11)</f>
        <v>0</v>
      </c>
      <c r="D680" s="13">
        <f>MIN(B680-C680,'Task 2'!D680*6)</f>
        <v>0</v>
      </c>
      <c r="E680" s="13">
        <f t="shared" si="10"/>
        <v>0</v>
      </c>
      <c r="F680" s="7" t="s">
        <v>843</v>
      </c>
    </row>
    <row r="681" spans="1:6" x14ac:dyDescent="0.3">
      <c r="A681" s="7" t="s">
        <v>733</v>
      </c>
      <c r="B681" s="7">
        <v>0</v>
      </c>
      <c r="C681" s="13">
        <f>MIN(B681,'Task 2'!D681*11)</f>
        <v>0</v>
      </c>
      <c r="D681" s="13">
        <f>MIN(B681-C681,'Task 2'!D681*6)</f>
        <v>0</v>
      </c>
      <c r="E681" s="13">
        <f t="shared" si="10"/>
        <v>0</v>
      </c>
      <c r="F681" s="7" t="s">
        <v>843</v>
      </c>
    </row>
    <row r="682" spans="1:6" x14ac:dyDescent="0.3">
      <c r="A682" s="7" t="s">
        <v>734</v>
      </c>
      <c r="B682" s="7">
        <v>0</v>
      </c>
      <c r="C682" s="13">
        <f>MIN(B682,'Task 2'!D682*11)</f>
        <v>0</v>
      </c>
      <c r="D682" s="13">
        <f>MIN(B682-C682,'Task 2'!D682*6)</f>
        <v>0</v>
      </c>
      <c r="E682" s="13">
        <f t="shared" si="10"/>
        <v>0</v>
      </c>
      <c r="F682" s="7" t="s">
        <v>843</v>
      </c>
    </row>
    <row r="683" spans="1:6" x14ac:dyDescent="0.3">
      <c r="A683" s="7" t="s">
        <v>735</v>
      </c>
      <c r="B683" s="7">
        <v>0</v>
      </c>
      <c r="C683" s="13">
        <f>MIN(B683,'Task 2'!D683*11)</f>
        <v>0</v>
      </c>
      <c r="D683" s="13">
        <f>MIN(B683-C683,'Task 2'!D683*6)</f>
        <v>0</v>
      </c>
      <c r="E683" s="13">
        <f t="shared" si="10"/>
        <v>0</v>
      </c>
      <c r="F683" s="7" t="s">
        <v>843</v>
      </c>
    </row>
    <row r="684" spans="1:6" x14ac:dyDescent="0.3">
      <c r="A684" s="7" t="s">
        <v>736</v>
      </c>
      <c r="B684" s="7">
        <v>0</v>
      </c>
      <c r="C684" s="13">
        <f>MIN(B684,'Task 2'!D684*11)</f>
        <v>0</v>
      </c>
      <c r="D684" s="13">
        <f>MIN(B684-C684,'Task 2'!D684*6)</f>
        <v>0</v>
      </c>
      <c r="E684" s="13">
        <f t="shared" si="10"/>
        <v>0</v>
      </c>
      <c r="F684" s="7" t="s">
        <v>843</v>
      </c>
    </row>
    <row r="685" spans="1:6" x14ac:dyDescent="0.3">
      <c r="A685" s="7" t="s">
        <v>737</v>
      </c>
      <c r="B685" s="7">
        <v>0</v>
      </c>
      <c r="C685" s="13">
        <f>MIN(B685,'Task 2'!D685*11)</f>
        <v>0</v>
      </c>
      <c r="D685" s="13">
        <f>MIN(B685-C685,'Task 2'!D685*6)</f>
        <v>0</v>
      </c>
      <c r="E685" s="13">
        <f t="shared" si="10"/>
        <v>0</v>
      </c>
      <c r="F685" s="7" t="s">
        <v>843</v>
      </c>
    </row>
    <row r="686" spans="1:6" x14ac:dyDescent="0.3">
      <c r="A686" s="7" t="s">
        <v>738</v>
      </c>
      <c r="B686" s="7">
        <v>0</v>
      </c>
      <c r="C686" s="13">
        <f>MIN(B686,'Task 2'!D686*11)</f>
        <v>0</v>
      </c>
      <c r="D686" s="13">
        <f>MIN(B686-C686,'Task 2'!D686*6)</f>
        <v>0</v>
      </c>
      <c r="E686" s="13">
        <f t="shared" si="10"/>
        <v>0</v>
      </c>
      <c r="F686" s="7" t="s">
        <v>843</v>
      </c>
    </row>
    <row r="687" spans="1:6" x14ac:dyDescent="0.3">
      <c r="A687" s="7" t="s">
        <v>739</v>
      </c>
      <c r="B687" s="7">
        <v>0</v>
      </c>
      <c r="C687" s="13">
        <f>MIN(B687,'Task 2'!D687*11)</f>
        <v>0</v>
      </c>
      <c r="D687" s="13">
        <f>MIN(B687-C687,'Task 2'!D687*6)</f>
        <v>0</v>
      </c>
      <c r="E687" s="13">
        <f t="shared" si="10"/>
        <v>0</v>
      </c>
      <c r="F687" s="7" t="s">
        <v>843</v>
      </c>
    </row>
    <row r="688" spans="1:6" x14ac:dyDescent="0.3">
      <c r="A688" s="7" t="s">
        <v>740</v>
      </c>
      <c r="B688" s="7">
        <v>0</v>
      </c>
      <c r="C688" s="13">
        <f>MIN(B688,'Task 2'!D688*11)</f>
        <v>0</v>
      </c>
      <c r="D688" s="13">
        <f>MIN(B688-C688,'Task 2'!D688*6)</f>
        <v>0</v>
      </c>
      <c r="E688" s="13">
        <f t="shared" si="10"/>
        <v>0</v>
      </c>
      <c r="F688" s="7" t="s">
        <v>843</v>
      </c>
    </row>
    <row r="689" spans="1:6" x14ac:dyDescent="0.3">
      <c r="A689" s="7" t="s">
        <v>741</v>
      </c>
      <c r="B689" s="7">
        <v>0</v>
      </c>
      <c r="C689" s="13">
        <f>MIN(B689,'Task 2'!D689*11)</f>
        <v>0</v>
      </c>
      <c r="D689" s="13">
        <f>MIN(B689-C689,'Task 2'!D689*6)</f>
        <v>0</v>
      </c>
      <c r="E689" s="13">
        <f t="shared" si="10"/>
        <v>0</v>
      </c>
      <c r="F689" s="7" t="s">
        <v>843</v>
      </c>
    </row>
    <row r="690" spans="1:6" x14ac:dyDescent="0.3">
      <c r="A690" s="7" t="s">
        <v>742</v>
      </c>
      <c r="B690" s="7">
        <v>0</v>
      </c>
      <c r="C690" s="13">
        <f>MIN(B690,'Task 2'!D690*11)</f>
        <v>0</v>
      </c>
      <c r="D690" s="13">
        <f>MIN(B690-C690,'Task 2'!D690*6)</f>
        <v>0</v>
      </c>
      <c r="E690" s="13">
        <f t="shared" si="10"/>
        <v>0</v>
      </c>
      <c r="F690" s="7" t="s">
        <v>843</v>
      </c>
    </row>
    <row r="691" spans="1:6" x14ac:dyDescent="0.3">
      <c r="A691" s="7" t="s">
        <v>743</v>
      </c>
      <c r="B691" s="7">
        <v>0</v>
      </c>
      <c r="C691" s="13">
        <f>MIN(B691,'Task 2'!D691*11)</f>
        <v>0</v>
      </c>
      <c r="D691" s="13">
        <f>MIN(B691-C691,'Task 2'!D691*6)</f>
        <v>0</v>
      </c>
      <c r="E691" s="13">
        <f t="shared" si="10"/>
        <v>0</v>
      </c>
      <c r="F691" s="7" t="s">
        <v>843</v>
      </c>
    </row>
    <row r="692" spans="1:6" x14ac:dyDescent="0.3">
      <c r="A692" s="7" t="s">
        <v>744</v>
      </c>
      <c r="B692" s="7">
        <v>0</v>
      </c>
      <c r="C692" s="13">
        <f>MIN(B692,'Task 2'!D692*11)</f>
        <v>0</v>
      </c>
      <c r="D692" s="13">
        <f>MIN(B692-C692,'Task 2'!D692*6)</f>
        <v>0</v>
      </c>
      <c r="E692" s="13">
        <f t="shared" si="10"/>
        <v>0</v>
      </c>
      <c r="F692" s="7" t="s">
        <v>843</v>
      </c>
    </row>
    <row r="693" spans="1:6" x14ac:dyDescent="0.3">
      <c r="A693" s="7" t="s">
        <v>745</v>
      </c>
      <c r="B693" s="7">
        <v>0</v>
      </c>
      <c r="C693" s="13">
        <f>MIN(B693,'Task 2'!D693*11)</f>
        <v>0</v>
      </c>
      <c r="D693" s="13">
        <f>MIN(B693-C693,'Task 2'!D693*6)</f>
        <v>0</v>
      </c>
      <c r="E693" s="13">
        <f t="shared" si="10"/>
        <v>0</v>
      </c>
      <c r="F693" s="7" t="s">
        <v>843</v>
      </c>
    </row>
    <row r="694" spans="1:6" x14ac:dyDescent="0.3">
      <c r="A694" s="7" t="s">
        <v>746</v>
      </c>
      <c r="B694" s="7">
        <v>0</v>
      </c>
      <c r="C694" s="13">
        <f>MIN(B694,'Task 2'!D694*11)</f>
        <v>0</v>
      </c>
      <c r="D694" s="13">
        <f>MIN(B694-C694,'Task 2'!D694*6)</f>
        <v>0</v>
      </c>
      <c r="E694" s="13">
        <f t="shared" si="10"/>
        <v>0</v>
      </c>
      <c r="F694" s="7" t="s">
        <v>843</v>
      </c>
    </row>
    <row r="695" spans="1:6" x14ac:dyDescent="0.3">
      <c r="A695" s="7" t="s">
        <v>747</v>
      </c>
      <c r="B695" s="7">
        <v>0</v>
      </c>
      <c r="C695" s="13">
        <f>MIN(B695,'Task 2'!D695*11)</f>
        <v>0</v>
      </c>
      <c r="D695" s="13">
        <f>MIN(B695-C695,'Task 2'!D695*6)</f>
        <v>0</v>
      </c>
      <c r="E695" s="13">
        <f t="shared" si="10"/>
        <v>0</v>
      </c>
      <c r="F695" s="7" t="s">
        <v>843</v>
      </c>
    </row>
    <row r="696" spans="1:6" x14ac:dyDescent="0.3">
      <c r="A696" s="7" t="s">
        <v>748</v>
      </c>
      <c r="B696" s="7">
        <v>0</v>
      </c>
      <c r="C696" s="13">
        <f>MIN(B696,'Task 2'!D696*11)</f>
        <v>0</v>
      </c>
      <c r="D696" s="13">
        <f>MIN(B696-C696,'Task 2'!D696*6)</f>
        <v>0</v>
      </c>
      <c r="E696" s="13">
        <f t="shared" si="10"/>
        <v>0</v>
      </c>
      <c r="F696" s="7" t="s">
        <v>843</v>
      </c>
    </row>
    <row r="697" spans="1:6" x14ac:dyDescent="0.3">
      <c r="A697" s="7" t="s">
        <v>749</v>
      </c>
      <c r="B697" s="7">
        <v>270</v>
      </c>
      <c r="C697" s="13">
        <f>MIN(B697,'Task 2'!D697*11)</f>
        <v>0.73333333333333328</v>
      </c>
      <c r="D697" s="13">
        <f>MIN(B697-C697,'Task 2'!D697*6)</f>
        <v>0.4</v>
      </c>
      <c r="E697" s="13">
        <f t="shared" si="10"/>
        <v>268.86666666666667</v>
      </c>
      <c r="F697" s="7" t="s">
        <v>843</v>
      </c>
    </row>
    <row r="698" spans="1:6" x14ac:dyDescent="0.3">
      <c r="A698" s="7" t="s">
        <v>750</v>
      </c>
      <c r="B698" s="7">
        <v>0</v>
      </c>
      <c r="C698" s="13">
        <f>MIN(B698,'Task 2'!D698*11)</f>
        <v>0</v>
      </c>
      <c r="D698" s="13">
        <f>MIN(B698-C698,'Task 2'!D698*6)</f>
        <v>0</v>
      </c>
      <c r="E698" s="13">
        <f t="shared" si="10"/>
        <v>0</v>
      </c>
      <c r="F698" s="7" t="s">
        <v>843</v>
      </c>
    </row>
    <row r="699" spans="1:6" x14ac:dyDescent="0.3">
      <c r="A699" s="7" t="s">
        <v>751</v>
      </c>
      <c r="B699" s="7">
        <v>0</v>
      </c>
      <c r="C699" s="13">
        <f>MIN(B699,'Task 2'!D699*11)</f>
        <v>0</v>
      </c>
      <c r="D699" s="13">
        <f>MIN(B699-C699,'Task 2'!D699*6)</f>
        <v>0</v>
      </c>
      <c r="E699" s="13">
        <f t="shared" si="10"/>
        <v>0</v>
      </c>
      <c r="F699" s="7" t="s">
        <v>843</v>
      </c>
    </row>
    <row r="700" spans="1:6" x14ac:dyDescent="0.3">
      <c r="A700" s="7" t="s">
        <v>752</v>
      </c>
      <c r="B700" s="7">
        <v>0</v>
      </c>
      <c r="C700" s="13">
        <f>MIN(B700,'Task 2'!D700*11)</f>
        <v>0</v>
      </c>
      <c r="D700" s="13">
        <f>MIN(B700-C700,'Task 2'!D700*6)</f>
        <v>0</v>
      </c>
      <c r="E700" s="13">
        <f t="shared" si="10"/>
        <v>0</v>
      </c>
      <c r="F700" s="7" t="s">
        <v>843</v>
      </c>
    </row>
    <row r="701" spans="1:6" x14ac:dyDescent="0.3">
      <c r="A701" s="7" t="s">
        <v>753</v>
      </c>
      <c r="B701" s="7">
        <v>0</v>
      </c>
      <c r="C701" s="13">
        <f>MIN(B701,'Task 2'!D701*11)</f>
        <v>0</v>
      </c>
      <c r="D701" s="13">
        <f>MIN(B701-C701,'Task 2'!D701*6)</f>
        <v>0</v>
      </c>
      <c r="E701" s="13">
        <f t="shared" si="10"/>
        <v>0</v>
      </c>
      <c r="F701" s="7" t="s">
        <v>843</v>
      </c>
    </row>
    <row r="702" spans="1:6" x14ac:dyDescent="0.3">
      <c r="A702" s="7" t="s">
        <v>754</v>
      </c>
      <c r="B702" s="7">
        <v>0</v>
      </c>
      <c r="C702" s="13">
        <f>MIN(B702,'Task 2'!D702*11)</f>
        <v>0</v>
      </c>
      <c r="D702" s="13">
        <f>MIN(B702-C702,'Task 2'!D702*6)</f>
        <v>0</v>
      </c>
      <c r="E702" s="13">
        <f t="shared" si="10"/>
        <v>0</v>
      </c>
      <c r="F702" s="7" t="s">
        <v>843</v>
      </c>
    </row>
    <row r="703" spans="1:6" x14ac:dyDescent="0.3">
      <c r="A703" s="7" t="s">
        <v>755</v>
      </c>
      <c r="B703" s="7">
        <v>0</v>
      </c>
      <c r="C703" s="13">
        <f>MIN(B703,'Task 2'!D703*11)</f>
        <v>0</v>
      </c>
      <c r="D703" s="13">
        <f>MIN(B703-C703,'Task 2'!D703*6)</f>
        <v>0</v>
      </c>
      <c r="E703" s="13">
        <f t="shared" si="10"/>
        <v>0</v>
      </c>
      <c r="F703" s="7" t="s">
        <v>843</v>
      </c>
    </row>
    <row r="704" spans="1:6" x14ac:dyDescent="0.3">
      <c r="A704" s="7" t="s">
        <v>756</v>
      </c>
      <c r="B704" s="7">
        <v>0</v>
      </c>
      <c r="C704" s="13">
        <f>MIN(B704,'Task 2'!D704*11)</f>
        <v>0</v>
      </c>
      <c r="D704" s="13">
        <f>MIN(B704-C704,'Task 2'!D704*6)</f>
        <v>0</v>
      </c>
      <c r="E704" s="13">
        <f t="shared" si="10"/>
        <v>0</v>
      </c>
      <c r="F704" s="7" t="s">
        <v>843</v>
      </c>
    </row>
    <row r="705" spans="1:6" x14ac:dyDescent="0.3">
      <c r="A705" s="7" t="s">
        <v>757</v>
      </c>
      <c r="B705" s="7">
        <v>0</v>
      </c>
      <c r="C705" s="13">
        <f>MIN(B705,'Task 2'!D705*11)</f>
        <v>0</v>
      </c>
      <c r="D705" s="13">
        <f>MIN(B705-C705,'Task 2'!D705*6)</f>
        <v>0</v>
      </c>
      <c r="E705" s="13">
        <f t="shared" si="10"/>
        <v>0</v>
      </c>
      <c r="F705" s="7" t="s">
        <v>843</v>
      </c>
    </row>
    <row r="706" spans="1:6" x14ac:dyDescent="0.3">
      <c r="A706" s="7" t="s">
        <v>758</v>
      </c>
      <c r="B706" s="7">
        <v>0</v>
      </c>
      <c r="C706" s="13">
        <f>MIN(B706,'Task 2'!D706*11)</f>
        <v>0</v>
      </c>
      <c r="D706" s="13">
        <f>MIN(B706-C706,'Task 2'!D706*6)</f>
        <v>0</v>
      </c>
      <c r="E706" s="13">
        <f t="shared" si="10"/>
        <v>0</v>
      </c>
      <c r="F706" s="7" t="s">
        <v>843</v>
      </c>
    </row>
    <row r="707" spans="1:6" x14ac:dyDescent="0.3">
      <c r="A707" s="7" t="s">
        <v>759</v>
      </c>
      <c r="B707" s="7">
        <v>0</v>
      </c>
      <c r="C707" s="13">
        <f>MIN(B707,'Task 2'!D707*11)</f>
        <v>0</v>
      </c>
      <c r="D707" s="13">
        <f>MIN(B707-C707,'Task 2'!D707*6)</f>
        <v>0</v>
      </c>
      <c r="E707" s="13">
        <f t="shared" ref="E707:E763" si="11">B707-C707-D707</f>
        <v>0</v>
      </c>
      <c r="F707" s="7" t="s">
        <v>843</v>
      </c>
    </row>
    <row r="708" spans="1:6" x14ac:dyDescent="0.3">
      <c r="A708" s="7" t="s">
        <v>760</v>
      </c>
      <c r="B708" s="7">
        <v>0</v>
      </c>
      <c r="C708" s="13">
        <f>MIN(B708,'Task 2'!D708*11)</f>
        <v>0</v>
      </c>
      <c r="D708" s="13">
        <f>MIN(B708-C708,'Task 2'!D708*6)</f>
        <v>0</v>
      </c>
      <c r="E708" s="13">
        <f t="shared" si="11"/>
        <v>0</v>
      </c>
      <c r="F708" s="7" t="s">
        <v>843</v>
      </c>
    </row>
    <row r="709" spans="1:6" x14ac:dyDescent="0.3">
      <c r="A709" s="7" t="s">
        <v>761</v>
      </c>
      <c r="B709" s="7">
        <v>0</v>
      </c>
      <c r="C709" s="13">
        <f>MIN(B709,'Task 2'!D709*11)</f>
        <v>0</v>
      </c>
      <c r="D709" s="13">
        <f>MIN(B709-C709,'Task 2'!D709*6)</f>
        <v>0</v>
      </c>
      <c r="E709" s="13">
        <f t="shared" si="11"/>
        <v>0</v>
      </c>
      <c r="F709" s="7" t="s">
        <v>843</v>
      </c>
    </row>
    <row r="710" spans="1:6" x14ac:dyDescent="0.3">
      <c r="A710" s="7" t="s">
        <v>762</v>
      </c>
      <c r="B710" s="7">
        <v>0</v>
      </c>
      <c r="C710" s="13">
        <f>MIN(B710,'Task 2'!D710*11)</f>
        <v>0</v>
      </c>
      <c r="D710" s="13">
        <f>MIN(B710-C710,'Task 2'!D710*6)</f>
        <v>0</v>
      </c>
      <c r="E710" s="13">
        <f t="shared" si="11"/>
        <v>0</v>
      </c>
      <c r="F710" s="7" t="s">
        <v>843</v>
      </c>
    </row>
    <row r="711" spans="1:6" x14ac:dyDescent="0.3">
      <c r="A711" s="7" t="s">
        <v>763</v>
      </c>
      <c r="B711" s="7">
        <v>0</v>
      </c>
      <c r="C711" s="13">
        <f>MIN(B711,'Task 2'!D711*11)</f>
        <v>0</v>
      </c>
      <c r="D711" s="13">
        <f>MIN(B711-C711,'Task 2'!D711*6)</f>
        <v>0</v>
      </c>
      <c r="E711" s="13">
        <f t="shared" si="11"/>
        <v>0</v>
      </c>
      <c r="F711" s="7" t="s">
        <v>843</v>
      </c>
    </row>
    <row r="712" spans="1:6" x14ac:dyDescent="0.3">
      <c r="A712" s="7" t="s">
        <v>764</v>
      </c>
      <c r="B712" s="7">
        <v>0</v>
      </c>
      <c r="C712" s="13">
        <f>MIN(B712,'Task 2'!D712*11)</f>
        <v>0</v>
      </c>
      <c r="D712" s="13">
        <f>MIN(B712-C712,'Task 2'!D712*6)</f>
        <v>0</v>
      </c>
      <c r="E712" s="13">
        <f t="shared" si="11"/>
        <v>0</v>
      </c>
      <c r="F712" s="7" t="s">
        <v>843</v>
      </c>
    </row>
    <row r="713" spans="1:6" x14ac:dyDescent="0.3">
      <c r="A713" s="7" t="s">
        <v>765</v>
      </c>
      <c r="B713" s="7">
        <v>0</v>
      </c>
      <c r="C713" s="13">
        <f>MIN(B713,'Task 2'!D713*11)</f>
        <v>0</v>
      </c>
      <c r="D713" s="13">
        <f>MIN(B713-C713,'Task 2'!D713*6)</f>
        <v>0</v>
      </c>
      <c r="E713" s="13">
        <f t="shared" si="11"/>
        <v>0</v>
      </c>
      <c r="F713" s="7" t="s">
        <v>843</v>
      </c>
    </row>
    <row r="714" spans="1:6" x14ac:dyDescent="0.3">
      <c r="A714" s="7" t="s">
        <v>766</v>
      </c>
      <c r="B714" s="7">
        <v>0</v>
      </c>
      <c r="C714" s="13">
        <f>MIN(B714,'Task 2'!D714*11)</f>
        <v>0</v>
      </c>
      <c r="D714" s="13">
        <f>MIN(B714-C714,'Task 2'!D714*6)</f>
        <v>0</v>
      </c>
      <c r="E714" s="13">
        <f t="shared" si="11"/>
        <v>0</v>
      </c>
      <c r="F714" s="7" t="s">
        <v>843</v>
      </c>
    </row>
    <row r="715" spans="1:6" x14ac:dyDescent="0.3">
      <c r="A715" s="7" t="s">
        <v>767</v>
      </c>
      <c r="B715" s="7">
        <v>0</v>
      </c>
      <c r="C715" s="13">
        <f>MIN(B715,'Task 2'!D715*11)</f>
        <v>0</v>
      </c>
      <c r="D715" s="13">
        <f>MIN(B715-C715,'Task 2'!D715*6)</f>
        <v>0</v>
      </c>
      <c r="E715" s="13">
        <f t="shared" si="11"/>
        <v>0</v>
      </c>
      <c r="F715" s="7" t="s">
        <v>843</v>
      </c>
    </row>
    <row r="716" spans="1:6" x14ac:dyDescent="0.3">
      <c r="A716" s="7" t="s">
        <v>768</v>
      </c>
      <c r="B716" s="7">
        <v>0</v>
      </c>
      <c r="C716" s="13">
        <f>MIN(B716,'Task 2'!D716*11)</f>
        <v>0</v>
      </c>
      <c r="D716" s="13">
        <f>MIN(B716-C716,'Task 2'!D716*6)</f>
        <v>0</v>
      </c>
      <c r="E716" s="13">
        <f t="shared" si="11"/>
        <v>0</v>
      </c>
      <c r="F716" s="7" t="s">
        <v>843</v>
      </c>
    </row>
    <row r="717" spans="1:6" x14ac:dyDescent="0.3">
      <c r="A717" s="7" t="s">
        <v>769</v>
      </c>
      <c r="B717" s="7">
        <v>0</v>
      </c>
      <c r="C717" s="13">
        <f>MIN(B717,'Task 2'!D717*11)</f>
        <v>0</v>
      </c>
      <c r="D717" s="13">
        <f>MIN(B717-C717,'Task 2'!D717*6)</f>
        <v>0</v>
      </c>
      <c r="E717" s="13">
        <f t="shared" si="11"/>
        <v>0</v>
      </c>
      <c r="F717" s="7" t="s">
        <v>843</v>
      </c>
    </row>
    <row r="718" spans="1:6" x14ac:dyDescent="0.3">
      <c r="A718" s="7" t="s">
        <v>770</v>
      </c>
      <c r="B718" s="7">
        <v>0</v>
      </c>
      <c r="C718" s="13">
        <f>MIN(B718,'Task 2'!D718*11)</f>
        <v>0</v>
      </c>
      <c r="D718" s="13">
        <f>MIN(B718-C718,'Task 2'!D718*6)</f>
        <v>0</v>
      </c>
      <c r="E718" s="13">
        <f t="shared" si="11"/>
        <v>0</v>
      </c>
      <c r="F718" s="7" t="s">
        <v>843</v>
      </c>
    </row>
    <row r="719" spans="1:6" x14ac:dyDescent="0.3">
      <c r="A719" s="7" t="s">
        <v>771</v>
      </c>
      <c r="B719" s="7">
        <v>720</v>
      </c>
      <c r="C719" s="13">
        <f>MIN(B719,'Task 2'!D719*11)</f>
        <v>0.73333333333333328</v>
      </c>
      <c r="D719" s="13">
        <f>MIN(B719-C719,'Task 2'!D719*6)</f>
        <v>0.4</v>
      </c>
      <c r="E719" s="13">
        <f t="shared" si="11"/>
        <v>718.86666666666667</v>
      </c>
      <c r="F719" s="7" t="s">
        <v>843</v>
      </c>
    </row>
    <row r="720" spans="1:6" x14ac:dyDescent="0.3">
      <c r="A720" s="7" t="s">
        <v>772</v>
      </c>
      <c r="B720" s="7">
        <v>0</v>
      </c>
      <c r="C720" s="13">
        <f>MIN(B720,'Task 2'!D720*11)</f>
        <v>0</v>
      </c>
      <c r="D720" s="13">
        <f>MIN(B720-C720,'Task 2'!D720*6)</f>
        <v>0</v>
      </c>
      <c r="E720" s="13">
        <f t="shared" si="11"/>
        <v>0</v>
      </c>
      <c r="F720" s="7" t="s">
        <v>843</v>
      </c>
    </row>
    <row r="721" spans="1:6" x14ac:dyDescent="0.3">
      <c r="A721" s="7" t="s">
        <v>773</v>
      </c>
      <c r="B721" s="7">
        <v>0</v>
      </c>
      <c r="C721" s="13">
        <f>MIN(B721,'Task 2'!D721*11)</f>
        <v>0</v>
      </c>
      <c r="D721" s="13">
        <f>MIN(B721-C721,'Task 2'!D721*6)</f>
        <v>0</v>
      </c>
      <c r="E721" s="13">
        <f t="shared" si="11"/>
        <v>0</v>
      </c>
      <c r="F721" s="7" t="s">
        <v>843</v>
      </c>
    </row>
    <row r="722" spans="1:6" x14ac:dyDescent="0.3">
      <c r="A722" s="7" t="s">
        <v>774</v>
      </c>
      <c r="B722" s="7">
        <v>0</v>
      </c>
      <c r="C722" s="13">
        <f>MIN(B722,'Task 2'!D722*11)</f>
        <v>0</v>
      </c>
      <c r="D722" s="13">
        <f>MIN(B722-C722,'Task 2'!D722*6)</f>
        <v>0</v>
      </c>
      <c r="E722" s="13">
        <f t="shared" si="11"/>
        <v>0</v>
      </c>
      <c r="F722" s="7" t="s">
        <v>843</v>
      </c>
    </row>
    <row r="723" spans="1:6" x14ac:dyDescent="0.3">
      <c r="A723" s="7" t="s">
        <v>775</v>
      </c>
      <c r="B723" s="7">
        <v>0</v>
      </c>
      <c r="C723" s="13">
        <f>MIN(B723,'Task 2'!D723*11)</f>
        <v>0</v>
      </c>
      <c r="D723" s="13">
        <f>MIN(B723-C723,'Task 2'!D723*6)</f>
        <v>0</v>
      </c>
      <c r="E723" s="13">
        <f t="shared" si="11"/>
        <v>0</v>
      </c>
      <c r="F723" s="7" t="s">
        <v>843</v>
      </c>
    </row>
    <row r="724" spans="1:6" x14ac:dyDescent="0.3">
      <c r="A724" s="7" t="s">
        <v>776</v>
      </c>
      <c r="B724" s="7">
        <v>0</v>
      </c>
      <c r="C724" s="13">
        <f>MIN(B724,'Task 2'!D724*11)</f>
        <v>0</v>
      </c>
      <c r="D724" s="13">
        <f>MIN(B724-C724,'Task 2'!D724*6)</f>
        <v>0</v>
      </c>
      <c r="E724" s="13">
        <f t="shared" si="11"/>
        <v>0</v>
      </c>
      <c r="F724" s="7" t="s">
        <v>843</v>
      </c>
    </row>
    <row r="725" spans="1:6" x14ac:dyDescent="0.3">
      <c r="A725" s="7" t="s">
        <v>777</v>
      </c>
      <c r="B725" s="7">
        <v>0</v>
      </c>
      <c r="C725" s="13">
        <f>MIN(B725,'Task 2'!D725*11)</f>
        <v>0</v>
      </c>
      <c r="D725" s="13">
        <f>MIN(B725-C725,'Task 2'!D725*6)</f>
        <v>0</v>
      </c>
      <c r="E725" s="13">
        <f t="shared" si="11"/>
        <v>0</v>
      </c>
      <c r="F725" s="7" t="s">
        <v>843</v>
      </c>
    </row>
    <row r="726" spans="1:6" x14ac:dyDescent="0.3">
      <c r="A726" s="7" t="s">
        <v>778</v>
      </c>
      <c r="B726" s="7">
        <v>0</v>
      </c>
      <c r="C726" s="13">
        <f>MIN(B726,'Task 2'!D726*11)</f>
        <v>0</v>
      </c>
      <c r="D726" s="13">
        <f>MIN(B726-C726,'Task 2'!D726*6)</f>
        <v>0</v>
      </c>
      <c r="E726" s="13">
        <f t="shared" si="11"/>
        <v>0</v>
      </c>
      <c r="F726" s="7" t="s">
        <v>843</v>
      </c>
    </row>
    <row r="727" spans="1:6" x14ac:dyDescent="0.3">
      <c r="A727" s="7" t="s">
        <v>779</v>
      </c>
      <c r="B727" s="7">
        <v>0</v>
      </c>
      <c r="C727" s="13">
        <f>MIN(B727,'Task 2'!D727*11)</f>
        <v>0</v>
      </c>
      <c r="D727" s="13">
        <f>MIN(B727-C727,'Task 2'!D727*6)</f>
        <v>0</v>
      </c>
      <c r="E727" s="13">
        <f t="shared" si="11"/>
        <v>0</v>
      </c>
      <c r="F727" s="7" t="s">
        <v>843</v>
      </c>
    </row>
    <row r="728" spans="1:6" x14ac:dyDescent="0.3">
      <c r="A728" s="7" t="s">
        <v>780</v>
      </c>
      <c r="B728" s="7">
        <v>0</v>
      </c>
      <c r="C728" s="13">
        <f>MIN(B728,'Task 2'!D728*11)</f>
        <v>0</v>
      </c>
      <c r="D728" s="13">
        <f>MIN(B728-C728,'Task 2'!D728*6)</f>
        <v>0</v>
      </c>
      <c r="E728" s="13">
        <f t="shared" si="11"/>
        <v>0</v>
      </c>
      <c r="F728" s="7" t="s">
        <v>843</v>
      </c>
    </row>
    <row r="729" spans="1:6" x14ac:dyDescent="0.3">
      <c r="A729" s="7" t="s">
        <v>781</v>
      </c>
      <c r="B729" s="7">
        <v>270</v>
      </c>
      <c r="C729" s="13">
        <f>MIN(B729,'Task 2'!D729*11)</f>
        <v>0.73333333333333328</v>
      </c>
      <c r="D729" s="13">
        <f>MIN(B729-C729,'Task 2'!D729*6)</f>
        <v>0.4</v>
      </c>
      <c r="E729" s="13">
        <f t="shared" si="11"/>
        <v>268.86666666666667</v>
      </c>
      <c r="F729" s="7" t="s">
        <v>843</v>
      </c>
    </row>
    <row r="730" spans="1:6" x14ac:dyDescent="0.3">
      <c r="A730" s="7" t="s">
        <v>782</v>
      </c>
      <c r="B730" s="7">
        <v>270</v>
      </c>
      <c r="C730" s="13">
        <f>MIN(B730,'Task 2'!D730*11)</f>
        <v>0.73333333333333328</v>
      </c>
      <c r="D730" s="13">
        <f>MIN(B730-C730,'Task 2'!D730*6)</f>
        <v>0.4</v>
      </c>
      <c r="E730" s="13">
        <f t="shared" si="11"/>
        <v>268.86666666666667</v>
      </c>
      <c r="F730" s="7" t="s">
        <v>843</v>
      </c>
    </row>
    <row r="731" spans="1:6" x14ac:dyDescent="0.3">
      <c r="A731" s="7" t="s">
        <v>783</v>
      </c>
      <c r="B731" s="7">
        <v>270</v>
      </c>
      <c r="C731" s="13">
        <f>MIN(B731,'Task 2'!D731*11)</f>
        <v>0.73333333333333328</v>
      </c>
      <c r="D731" s="13">
        <f>MIN(B731-C731,'Task 2'!D731*6)</f>
        <v>0.4</v>
      </c>
      <c r="E731" s="13">
        <f t="shared" si="11"/>
        <v>268.86666666666667</v>
      </c>
      <c r="F731" s="7" t="s">
        <v>843</v>
      </c>
    </row>
    <row r="732" spans="1:6" x14ac:dyDescent="0.3">
      <c r="A732" s="7" t="s">
        <v>784</v>
      </c>
      <c r="B732" s="7">
        <v>0</v>
      </c>
      <c r="C732" s="13">
        <f>MIN(B732,'Task 2'!D732*11)</f>
        <v>0</v>
      </c>
      <c r="D732" s="13">
        <f>MIN(B732-C732,'Task 2'!D732*6)</f>
        <v>0</v>
      </c>
      <c r="E732" s="13">
        <f t="shared" si="11"/>
        <v>0</v>
      </c>
      <c r="F732" s="7" t="s">
        <v>843</v>
      </c>
    </row>
    <row r="733" spans="1:6" x14ac:dyDescent="0.3">
      <c r="A733" s="7" t="s">
        <v>785</v>
      </c>
      <c r="B733" s="7">
        <v>0</v>
      </c>
      <c r="C733" s="13">
        <f>MIN(B733,'Task 2'!D733*11)</f>
        <v>0</v>
      </c>
      <c r="D733" s="13">
        <f>MIN(B733-C733,'Task 2'!D733*6)</f>
        <v>0</v>
      </c>
      <c r="E733" s="13">
        <f t="shared" si="11"/>
        <v>0</v>
      </c>
      <c r="F733" s="7" t="s">
        <v>843</v>
      </c>
    </row>
    <row r="734" spans="1:6" x14ac:dyDescent="0.3">
      <c r="A734" s="7" t="s">
        <v>786</v>
      </c>
      <c r="B734" s="7">
        <v>270</v>
      </c>
      <c r="C734" s="13">
        <f>MIN(B734,'Task 2'!D734*11)</f>
        <v>0.36666666666666664</v>
      </c>
      <c r="D734" s="13">
        <f>MIN(B734-C734,'Task 2'!D734*6)</f>
        <v>0.2</v>
      </c>
      <c r="E734" s="13">
        <f t="shared" si="11"/>
        <v>269.43333333333334</v>
      </c>
      <c r="F734" s="7" t="s">
        <v>843</v>
      </c>
    </row>
    <row r="735" spans="1:6" x14ac:dyDescent="0.3">
      <c r="A735" s="7" t="s">
        <v>787</v>
      </c>
      <c r="B735" s="7">
        <v>0</v>
      </c>
      <c r="C735" s="13">
        <f>MIN(B735,'Task 2'!D735*11)</f>
        <v>0</v>
      </c>
      <c r="D735" s="13">
        <f>MIN(B735-C735,'Task 2'!D735*6)</f>
        <v>0</v>
      </c>
      <c r="E735" s="13">
        <f t="shared" si="11"/>
        <v>0</v>
      </c>
      <c r="F735" s="7" t="s">
        <v>843</v>
      </c>
    </row>
    <row r="736" spans="1:6" x14ac:dyDescent="0.3">
      <c r="A736" s="7" t="s">
        <v>788</v>
      </c>
      <c r="B736" s="7">
        <v>270</v>
      </c>
      <c r="C736" s="13">
        <f>MIN(B736,'Task 2'!D736*11)</f>
        <v>0.36666666666666664</v>
      </c>
      <c r="D736" s="13">
        <f>MIN(B736-C736,'Task 2'!D736*6)</f>
        <v>0.2</v>
      </c>
      <c r="E736" s="13">
        <f t="shared" si="11"/>
        <v>269.43333333333334</v>
      </c>
      <c r="F736" s="7" t="s">
        <v>843</v>
      </c>
    </row>
    <row r="737" spans="1:6" x14ac:dyDescent="0.3">
      <c r="A737" s="7" t="s">
        <v>789</v>
      </c>
      <c r="B737" s="7">
        <v>0</v>
      </c>
      <c r="C737" s="13">
        <f>MIN(B737,'Task 2'!D737*11)</f>
        <v>0</v>
      </c>
      <c r="D737" s="13">
        <f>MIN(B737-C737,'Task 2'!D737*6)</f>
        <v>0</v>
      </c>
      <c r="E737" s="13">
        <f t="shared" si="11"/>
        <v>0</v>
      </c>
      <c r="F737" s="7" t="s">
        <v>843</v>
      </c>
    </row>
    <row r="738" spans="1:6" x14ac:dyDescent="0.3">
      <c r="A738" s="7" t="s">
        <v>790</v>
      </c>
      <c r="B738" s="7">
        <v>270</v>
      </c>
      <c r="C738" s="13">
        <f>MIN(B738,'Task 2'!D738*11)</f>
        <v>1.0999999999999999</v>
      </c>
      <c r="D738" s="13">
        <f>MIN(B738-C738,'Task 2'!D738*6)</f>
        <v>0.6</v>
      </c>
      <c r="E738" s="13">
        <f t="shared" si="11"/>
        <v>268.29999999999995</v>
      </c>
      <c r="F738" s="7" t="s">
        <v>843</v>
      </c>
    </row>
    <row r="739" spans="1:6" x14ac:dyDescent="0.3">
      <c r="A739" s="7" t="s">
        <v>791</v>
      </c>
      <c r="B739" s="7">
        <v>270</v>
      </c>
      <c r="C739" s="13">
        <f>MIN(B739,'Task 2'!D739*11)</f>
        <v>0.36666666666666664</v>
      </c>
      <c r="D739" s="13">
        <f>MIN(B739-C739,'Task 2'!D739*6)</f>
        <v>0.2</v>
      </c>
      <c r="E739" s="13">
        <f t="shared" si="11"/>
        <v>269.43333333333334</v>
      </c>
      <c r="F739" s="7" t="s">
        <v>843</v>
      </c>
    </row>
    <row r="740" spans="1:6" x14ac:dyDescent="0.3">
      <c r="A740" s="7" t="s">
        <v>792</v>
      </c>
      <c r="B740" s="7">
        <v>0</v>
      </c>
      <c r="C740" s="13">
        <f>MIN(B740,'Task 2'!D740*11)</f>
        <v>0</v>
      </c>
      <c r="D740" s="13">
        <f>MIN(B740-C740,'Task 2'!D740*6)</f>
        <v>0</v>
      </c>
      <c r="E740" s="13">
        <f t="shared" si="11"/>
        <v>0</v>
      </c>
      <c r="F740" s="7" t="s">
        <v>843</v>
      </c>
    </row>
    <row r="741" spans="1:6" x14ac:dyDescent="0.3">
      <c r="A741" s="7" t="s">
        <v>793</v>
      </c>
      <c r="B741" s="7">
        <v>0</v>
      </c>
      <c r="C741" s="13">
        <f>MIN(B741,'Task 2'!D741*11)</f>
        <v>0</v>
      </c>
      <c r="D741" s="13">
        <f>MIN(B741-C741,'Task 2'!D741*6)</f>
        <v>0</v>
      </c>
      <c r="E741" s="13">
        <f t="shared" si="11"/>
        <v>0</v>
      </c>
      <c r="F741" s="7" t="s">
        <v>843</v>
      </c>
    </row>
    <row r="742" spans="1:6" x14ac:dyDescent="0.3">
      <c r="A742" s="7" t="s">
        <v>794</v>
      </c>
      <c r="B742" s="7">
        <v>0</v>
      </c>
      <c r="C742" s="13">
        <f>MIN(B742,'Task 2'!D742*11)</f>
        <v>0</v>
      </c>
      <c r="D742" s="13">
        <f>MIN(B742-C742,'Task 2'!D742*6)</f>
        <v>0</v>
      </c>
      <c r="E742" s="13">
        <f t="shared" si="11"/>
        <v>0</v>
      </c>
      <c r="F742" s="7" t="s">
        <v>843</v>
      </c>
    </row>
    <row r="743" spans="1:6" x14ac:dyDescent="0.3">
      <c r="A743" s="7" t="s">
        <v>795</v>
      </c>
      <c r="B743" s="7">
        <v>270</v>
      </c>
      <c r="C743" s="13">
        <f>MIN(B743,'Task 2'!D743*11)</f>
        <v>0.36666666666666664</v>
      </c>
      <c r="D743" s="13">
        <f>MIN(B743-C743,'Task 2'!D743*6)</f>
        <v>0.2</v>
      </c>
      <c r="E743" s="13">
        <f t="shared" si="11"/>
        <v>269.43333333333334</v>
      </c>
      <c r="F743" s="7" t="s">
        <v>843</v>
      </c>
    </row>
    <row r="744" spans="1:6" x14ac:dyDescent="0.3">
      <c r="A744" s="7" t="s">
        <v>796</v>
      </c>
      <c r="B744" s="7">
        <v>0</v>
      </c>
      <c r="C744" s="13">
        <f>MIN(B744,'Task 2'!D744*11)</f>
        <v>0</v>
      </c>
      <c r="D744" s="13">
        <f>MIN(B744-C744,'Task 2'!D744*6)</f>
        <v>0</v>
      </c>
      <c r="E744" s="13">
        <f t="shared" si="11"/>
        <v>0</v>
      </c>
      <c r="F744" s="7" t="s">
        <v>843</v>
      </c>
    </row>
    <row r="745" spans="1:6" x14ac:dyDescent="0.3">
      <c r="A745" s="7" t="s">
        <v>797</v>
      </c>
      <c r="B745" s="7">
        <v>0</v>
      </c>
      <c r="C745" s="13">
        <f>MIN(B745,'Task 2'!D745*11)</f>
        <v>0</v>
      </c>
      <c r="D745" s="13">
        <f>MIN(B745-C745,'Task 2'!D745*6)</f>
        <v>0</v>
      </c>
      <c r="E745" s="13">
        <f t="shared" si="11"/>
        <v>0</v>
      </c>
      <c r="F745" s="7" t="s">
        <v>843</v>
      </c>
    </row>
    <row r="746" spans="1:6" x14ac:dyDescent="0.3">
      <c r="A746" s="7" t="s">
        <v>798</v>
      </c>
      <c r="B746" s="7">
        <v>0</v>
      </c>
      <c r="C746" s="13">
        <f>MIN(B746,'Task 2'!D746*11)</f>
        <v>0</v>
      </c>
      <c r="D746" s="13">
        <f>MIN(B746-C746,'Task 2'!D746*6)</f>
        <v>0</v>
      </c>
      <c r="E746" s="13">
        <f t="shared" si="11"/>
        <v>0</v>
      </c>
      <c r="F746" s="7" t="s">
        <v>843</v>
      </c>
    </row>
    <row r="747" spans="1:6" x14ac:dyDescent="0.3">
      <c r="A747" s="7" t="s">
        <v>799</v>
      </c>
      <c r="B747" s="7">
        <v>270</v>
      </c>
      <c r="C747" s="13">
        <f>MIN(B747,'Task 2'!D747*11)</f>
        <v>1.0999999999999999</v>
      </c>
      <c r="D747" s="13">
        <f>MIN(B747-C747,'Task 2'!D747*6)</f>
        <v>0.6</v>
      </c>
      <c r="E747" s="13">
        <f t="shared" si="11"/>
        <v>268.29999999999995</v>
      </c>
      <c r="F747" s="7" t="s">
        <v>843</v>
      </c>
    </row>
    <row r="748" spans="1:6" x14ac:dyDescent="0.3">
      <c r="A748" s="7" t="s">
        <v>800</v>
      </c>
      <c r="B748" s="7">
        <v>0</v>
      </c>
      <c r="C748" s="13">
        <f>MIN(B748,'Task 2'!D748*11)</f>
        <v>0</v>
      </c>
      <c r="D748" s="13">
        <f>MIN(B748-C748,'Task 2'!D748*6)</f>
        <v>0</v>
      </c>
      <c r="E748" s="13">
        <f t="shared" si="11"/>
        <v>0</v>
      </c>
      <c r="F748" s="7" t="s">
        <v>843</v>
      </c>
    </row>
    <row r="749" spans="1:6" x14ac:dyDescent="0.3">
      <c r="A749" s="7" t="s">
        <v>801</v>
      </c>
      <c r="B749" s="7">
        <v>270</v>
      </c>
      <c r="C749" s="13">
        <f>MIN(B749,'Task 2'!D749*11)</f>
        <v>0.73333333333333328</v>
      </c>
      <c r="D749" s="13">
        <f>MIN(B749-C749,'Task 2'!D749*6)</f>
        <v>0.4</v>
      </c>
      <c r="E749" s="13">
        <f t="shared" si="11"/>
        <v>268.86666666666667</v>
      </c>
      <c r="F749" s="7" t="s">
        <v>843</v>
      </c>
    </row>
    <row r="750" spans="1:6" x14ac:dyDescent="0.3">
      <c r="A750" s="7" t="s">
        <v>802</v>
      </c>
      <c r="B750" s="7">
        <v>0</v>
      </c>
      <c r="C750" s="13">
        <f>MIN(B750,'Task 2'!D750*11)</f>
        <v>0</v>
      </c>
      <c r="D750" s="13">
        <f>MIN(B750-C750,'Task 2'!D750*6)</f>
        <v>0</v>
      </c>
      <c r="E750" s="13">
        <f t="shared" si="11"/>
        <v>0</v>
      </c>
      <c r="F750" s="7" t="s">
        <v>843</v>
      </c>
    </row>
    <row r="751" spans="1:6" x14ac:dyDescent="0.3">
      <c r="A751" s="7" t="s">
        <v>803</v>
      </c>
      <c r="B751" s="7">
        <v>0</v>
      </c>
      <c r="C751" s="13">
        <f>MIN(B751,'Task 2'!D751*11)</f>
        <v>0</v>
      </c>
      <c r="D751" s="13">
        <f>MIN(B751-C751,'Task 2'!D751*6)</f>
        <v>0</v>
      </c>
      <c r="E751" s="13">
        <f t="shared" si="11"/>
        <v>0</v>
      </c>
      <c r="F751" s="7" t="s">
        <v>843</v>
      </c>
    </row>
    <row r="752" spans="1:6" x14ac:dyDescent="0.3">
      <c r="A752" s="7" t="s">
        <v>804</v>
      </c>
      <c r="B752" s="7">
        <v>0</v>
      </c>
      <c r="C752" s="13">
        <f>MIN(B752,'Task 2'!D752*11)</f>
        <v>0</v>
      </c>
      <c r="D752" s="13">
        <f>MIN(B752-C752,'Task 2'!D752*6)</f>
        <v>0</v>
      </c>
      <c r="E752" s="13">
        <f t="shared" si="11"/>
        <v>0</v>
      </c>
      <c r="F752" s="7" t="s">
        <v>843</v>
      </c>
    </row>
    <row r="753" spans="1:6" x14ac:dyDescent="0.3">
      <c r="A753" s="7" t="s">
        <v>805</v>
      </c>
      <c r="B753" s="7">
        <v>0</v>
      </c>
      <c r="C753" s="13">
        <f>MIN(B753,'Task 2'!D753*11)</f>
        <v>0</v>
      </c>
      <c r="D753" s="13">
        <f>MIN(B753-C753,'Task 2'!D753*6)</f>
        <v>0</v>
      </c>
      <c r="E753" s="13">
        <f t="shared" si="11"/>
        <v>0</v>
      </c>
      <c r="F753" s="7" t="s">
        <v>843</v>
      </c>
    </row>
    <row r="754" spans="1:6" x14ac:dyDescent="0.3">
      <c r="A754" s="7" t="s">
        <v>806</v>
      </c>
      <c r="B754" s="7">
        <v>0</v>
      </c>
      <c r="C754" s="13">
        <f>MIN(B754,'Task 2'!D754*11)</f>
        <v>0</v>
      </c>
      <c r="D754" s="13">
        <f>MIN(B754-C754,'Task 2'!D754*6)</f>
        <v>0</v>
      </c>
      <c r="E754" s="13">
        <f t="shared" si="11"/>
        <v>0</v>
      </c>
      <c r="F754" s="7" t="s">
        <v>843</v>
      </c>
    </row>
    <row r="755" spans="1:6" x14ac:dyDescent="0.3">
      <c r="A755" s="7" t="s">
        <v>807</v>
      </c>
      <c r="B755" s="7">
        <v>0</v>
      </c>
      <c r="C755" s="13">
        <f>MIN(B755,'Task 2'!D755*11)</f>
        <v>0</v>
      </c>
      <c r="D755" s="13">
        <f>MIN(B755-C755,'Task 2'!D755*6)</f>
        <v>0</v>
      </c>
      <c r="E755" s="13">
        <f t="shared" si="11"/>
        <v>0</v>
      </c>
      <c r="F755" s="7" t="s">
        <v>843</v>
      </c>
    </row>
    <row r="756" spans="1:6" x14ac:dyDescent="0.3">
      <c r="A756" s="7" t="s">
        <v>808</v>
      </c>
      <c r="B756" s="7">
        <v>270</v>
      </c>
      <c r="C756" s="13">
        <f>MIN(B756,'Task 2'!D756*11)</f>
        <v>0.36666666666666664</v>
      </c>
      <c r="D756" s="13">
        <f>MIN(B756-C756,'Task 2'!D756*6)</f>
        <v>0.2</v>
      </c>
      <c r="E756" s="13">
        <f t="shared" si="11"/>
        <v>269.43333333333334</v>
      </c>
      <c r="F756" s="7" t="s">
        <v>843</v>
      </c>
    </row>
    <row r="757" spans="1:6" x14ac:dyDescent="0.3">
      <c r="A757" s="7" t="s">
        <v>809</v>
      </c>
      <c r="B757" s="7">
        <v>0</v>
      </c>
      <c r="C757" s="13">
        <f>MIN(B757,'Task 2'!D757*11)</f>
        <v>0</v>
      </c>
      <c r="D757" s="13">
        <f>MIN(B757-C757,'Task 2'!D757*6)</f>
        <v>0</v>
      </c>
      <c r="E757" s="13">
        <f t="shared" si="11"/>
        <v>0</v>
      </c>
      <c r="F757" s="7" t="s">
        <v>843</v>
      </c>
    </row>
    <row r="758" spans="1:6" x14ac:dyDescent="0.3">
      <c r="A758" s="7" t="s">
        <v>810</v>
      </c>
      <c r="B758" s="7">
        <v>180</v>
      </c>
      <c r="C758" s="13">
        <f>MIN(B758,'Task 2'!D758*11)</f>
        <v>0.36666666666666664</v>
      </c>
      <c r="D758" s="13">
        <f>MIN(B758-C758,'Task 2'!D758*6)</f>
        <v>0.2</v>
      </c>
      <c r="E758" s="13">
        <f t="shared" si="11"/>
        <v>179.43333333333334</v>
      </c>
      <c r="F758" s="7" t="s">
        <v>843</v>
      </c>
    </row>
    <row r="759" spans="1:6" x14ac:dyDescent="0.3">
      <c r="A759" s="7" t="s">
        <v>811</v>
      </c>
      <c r="B759" s="7">
        <v>180</v>
      </c>
      <c r="C759" s="13">
        <f>MIN(B759,'Task 2'!D759*11)</f>
        <v>1.0999999999999999</v>
      </c>
      <c r="D759" s="13">
        <f>MIN(B759-C759,'Task 2'!D759*6)</f>
        <v>0.6</v>
      </c>
      <c r="E759" s="13">
        <f t="shared" si="11"/>
        <v>178.3</v>
      </c>
      <c r="F759" s="7" t="s">
        <v>843</v>
      </c>
    </row>
    <row r="760" spans="1:6" x14ac:dyDescent="0.3">
      <c r="A760" s="7" t="s">
        <v>812</v>
      </c>
      <c r="B760" s="7">
        <v>0</v>
      </c>
      <c r="C760" s="13">
        <f>MIN(B760,'Task 2'!D760*11)</f>
        <v>0</v>
      </c>
      <c r="D760" s="13">
        <f>MIN(B760-C760,'Task 2'!D760*6)</f>
        <v>0</v>
      </c>
      <c r="E760" s="13">
        <f t="shared" si="11"/>
        <v>0</v>
      </c>
      <c r="F760" s="7" t="s">
        <v>843</v>
      </c>
    </row>
    <row r="761" spans="1:6" x14ac:dyDescent="0.3">
      <c r="A761" s="7" t="s">
        <v>813</v>
      </c>
      <c r="B761" s="7">
        <v>180</v>
      </c>
      <c r="C761" s="13">
        <f>MIN(B761,'Task 2'!D761*11)</f>
        <v>2.1999999999999997</v>
      </c>
      <c r="D761" s="13">
        <f>MIN(B761-C761,'Task 2'!D761*6)</f>
        <v>1.2</v>
      </c>
      <c r="E761" s="13">
        <f t="shared" si="11"/>
        <v>176.60000000000002</v>
      </c>
      <c r="F761" s="7" t="s">
        <v>843</v>
      </c>
    </row>
    <row r="762" spans="1:6" x14ac:dyDescent="0.3">
      <c r="A762" s="7" t="s">
        <v>814</v>
      </c>
      <c r="B762" s="7">
        <v>0</v>
      </c>
      <c r="C762" s="13">
        <f>MIN(B762,'Task 2'!D762*11)</f>
        <v>0</v>
      </c>
      <c r="D762" s="13">
        <f>MIN(B762-C762,'Task 2'!D762*6)</f>
        <v>0</v>
      </c>
      <c r="E762" s="13">
        <f t="shared" si="11"/>
        <v>0</v>
      </c>
      <c r="F762" s="7" t="s">
        <v>843</v>
      </c>
    </row>
    <row r="763" spans="1:6" x14ac:dyDescent="0.3">
      <c r="A763" s="7" t="s">
        <v>815</v>
      </c>
      <c r="B763" s="7">
        <v>270</v>
      </c>
      <c r="C763" s="13">
        <f>MIN(B763,'Task 2'!D763*11)</f>
        <v>0.36666666666666664</v>
      </c>
      <c r="D763" s="13">
        <f>MIN(B763-C763,'Task 2'!D763*6)</f>
        <v>0.2</v>
      </c>
      <c r="E763" s="13">
        <f t="shared" si="11"/>
        <v>269.43333333333334</v>
      </c>
      <c r="F763" s="7" t="s">
        <v>843</v>
      </c>
    </row>
  </sheetData>
  <phoneticPr fontId="18" type="noConversion"/>
  <conditionalFormatting sqref="A2:A76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Vendor -MOQ- Lead time</vt:lpstr>
      <vt:lpstr>Article Type-Days of cover</vt:lpstr>
      <vt:lpstr>Vendor code- SKU mapping</vt:lpstr>
      <vt:lpstr>SKU sales and Inventory</vt:lpstr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gupta</dc:creator>
  <cp:lastModifiedBy>Vikrant Kotiyal</cp:lastModifiedBy>
  <dcterms:created xsi:type="dcterms:W3CDTF">2025-12-01T08:25:33Z</dcterms:created>
  <dcterms:modified xsi:type="dcterms:W3CDTF">2026-01-21T18:41:47Z</dcterms:modified>
</cp:coreProperties>
</file>